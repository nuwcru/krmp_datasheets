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5140" yWindow="30" windowWidth="24240" windowHeight="12120" tabRatio="856" activeTab="12"/>
  </bookViews>
  <sheets>
    <sheet name="Ex" sheetId="1" r:id="rId1"/>
    <sheet name="Site1" sheetId="2" r:id="rId2"/>
    <sheet name="Site2" sheetId="3" r:id="rId3"/>
    <sheet name="Site3" sheetId="4" r:id="rId4"/>
    <sheet name="Site4" sheetId="5" r:id="rId5"/>
    <sheet name="Site5" sheetId="6" r:id="rId6"/>
    <sheet name="Site6" sheetId="7" r:id="rId7"/>
    <sheet name="Site7" sheetId="8" r:id="rId8"/>
    <sheet name="Site8" sheetId="9" r:id="rId9"/>
    <sheet name="Site9" sheetId="10" r:id="rId10"/>
    <sheet name="Site10" sheetId="11" r:id="rId11"/>
    <sheet name="Site11" sheetId="12" r:id="rId12"/>
    <sheet name="Site12" sheetId="13" r:id="rId13"/>
    <sheet name="Site13" sheetId="14" r:id="rId14"/>
    <sheet name="Site14" sheetId="15" r:id="rId15"/>
    <sheet name="Site15" sheetId="16" r:id="rId16"/>
    <sheet name="Site16" sheetId="17" r:id="rId17"/>
    <sheet name="Site17" sheetId="18" r:id="rId18"/>
    <sheet name="Site18" sheetId="19" r:id="rId19"/>
    <sheet name="Site19" sheetId="20" r:id="rId20"/>
    <sheet name="Site20" sheetId="21" r:id="rId21"/>
    <sheet name="Site21" sheetId="22" r:id="rId22"/>
    <sheet name="Site22" sheetId="23" r:id="rId23"/>
    <sheet name="Site23" sheetId="24" r:id="rId24"/>
    <sheet name="Site24" sheetId="25" r:id="rId25"/>
    <sheet name="Site25" sheetId="26" r:id="rId26"/>
    <sheet name="Site26" sheetId="27" r:id="rId27"/>
    <sheet name="Site27" sheetId="28" r:id="rId28"/>
    <sheet name="Site28" sheetId="29" r:id="rId29"/>
    <sheet name="Site29" sheetId="30" r:id="rId30"/>
    <sheet name="Site30" sheetId="31" r:id="rId31"/>
    <sheet name="Site31" sheetId="32" r:id="rId32"/>
    <sheet name="Site32" sheetId="33" r:id="rId33"/>
    <sheet name="Site33" sheetId="34" r:id="rId34"/>
    <sheet name="Site34" sheetId="35" r:id="rId35"/>
    <sheet name="Site35" sheetId="36" r:id="rId36"/>
    <sheet name="Site36" sheetId="37" r:id="rId37"/>
    <sheet name="Site37" sheetId="38" r:id="rId38"/>
    <sheet name="Site38" sheetId="39" r:id="rId39"/>
    <sheet name="Site39" sheetId="40" r:id="rId40"/>
    <sheet name="Site40" sheetId="41" r:id="rId41"/>
    <sheet name="Site41" sheetId="42" r:id="rId42"/>
    <sheet name="Site42" sheetId="43" r:id="rId43"/>
    <sheet name="Site43" sheetId="44" r:id="rId44"/>
    <sheet name="Site44" sheetId="45" r:id="rId45"/>
    <sheet name="Site45" sheetId="46" r:id="rId46"/>
    <sheet name="Site46" sheetId="47" r:id="rId47"/>
    <sheet name="Site47" sheetId="48" r:id="rId48"/>
    <sheet name="Site48" sheetId="49" r:id="rId49"/>
    <sheet name="Site49" sheetId="50" r:id="rId50"/>
    <sheet name="Site50" sheetId="51" r:id="rId51"/>
    <sheet name="Site51" sheetId="52" r:id="rId52"/>
    <sheet name="Site52" sheetId="53" r:id="rId53"/>
    <sheet name="Site53" sheetId="54" r:id="rId54"/>
    <sheet name="Site54" sheetId="55" r:id="rId55"/>
    <sheet name="Site55" sheetId="56" r:id="rId56"/>
    <sheet name="Site56" sheetId="57" r:id="rId57"/>
    <sheet name="Site57" sheetId="58" r:id="rId58"/>
    <sheet name="Site58" sheetId="59" r:id="rId59"/>
    <sheet name="Site59" sheetId="60" r:id="rId60"/>
    <sheet name="Site60" sheetId="61" r:id="rId61"/>
    <sheet name="Site61" sheetId="62" r:id="rId62"/>
    <sheet name="Site62" sheetId="63" r:id="rId63"/>
    <sheet name="Site63" sheetId="64" r:id="rId64"/>
    <sheet name="Site64" sheetId="65" r:id="rId65"/>
    <sheet name="Site65" sheetId="66" r:id="rId66"/>
    <sheet name="Site66" sheetId="67" r:id="rId67"/>
    <sheet name="Site67" sheetId="68" r:id="rId68"/>
    <sheet name="Site68" sheetId="69" r:id="rId69"/>
    <sheet name="Site69" sheetId="70" r:id="rId70"/>
    <sheet name="Site70" sheetId="71" r:id="rId71"/>
    <sheet name="Site71" sheetId="72" r:id="rId72"/>
    <sheet name="Site72" sheetId="73" r:id="rId73"/>
    <sheet name="Site73" sheetId="74" r:id="rId74"/>
    <sheet name="Site74" sheetId="75" r:id="rId75"/>
    <sheet name="Site75" sheetId="76" r:id="rId76"/>
    <sheet name="Site76" sheetId="77" r:id="rId77"/>
    <sheet name="Site77" sheetId="78" r:id="rId78"/>
    <sheet name="Site78" sheetId="79" r:id="rId79"/>
    <sheet name="Site79" sheetId="80" r:id="rId80"/>
    <sheet name="Site80" sheetId="81" r:id="rId81"/>
    <sheet name="Site81" sheetId="82" r:id="rId82"/>
    <sheet name="Site82" sheetId="83" r:id="rId83"/>
    <sheet name="Site83" sheetId="84" r:id="rId84"/>
    <sheet name="Site84" sheetId="85" r:id="rId85"/>
    <sheet name="Site85" sheetId="86" r:id="rId86"/>
    <sheet name="Site86" sheetId="87" r:id="rId87"/>
    <sheet name="Site87" sheetId="88" r:id="rId88"/>
    <sheet name="Site88" sheetId="89" r:id="rId89"/>
    <sheet name="Site89" sheetId="90" r:id="rId90"/>
    <sheet name="Site90" sheetId="91" r:id="rId91"/>
    <sheet name="Site91" sheetId="92" r:id="rId92"/>
    <sheet name="Site92" sheetId="93" r:id="rId93"/>
    <sheet name="Site93" sheetId="94" r:id="rId94"/>
    <sheet name="Site94" sheetId="95" r:id="rId95"/>
    <sheet name="Site95" sheetId="96" r:id="rId96"/>
    <sheet name="Site96" sheetId="97" r:id="rId97"/>
    <sheet name="Site97" sheetId="98" r:id="rId98"/>
    <sheet name="Site98" sheetId="99" r:id="rId99"/>
    <sheet name="Site99" sheetId="100" r:id="rId100"/>
    <sheet name="Site100" sheetId="101" r:id="rId101"/>
    <sheet name="Site101" sheetId="102" r:id="rId102"/>
    <sheet name="Site102" sheetId="103" r:id="rId103"/>
    <sheet name="Site103" sheetId="104" r:id="rId104"/>
    <sheet name="Site104" sheetId="105" r:id="rId105"/>
    <sheet name="Site105" sheetId="106" r:id="rId106"/>
    <sheet name="Site106" sheetId="107" r:id="rId107"/>
    <sheet name="Site107" sheetId="108" r:id="rId108"/>
    <sheet name="Site108" sheetId="109" r:id="rId109"/>
    <sheet name="Site109" sheetId="110" r:id="rId110"/>
    <sheet name="Site110" sheetId="111" r:id="rId111"/>
    <sheet name="Site111" sheetId="112" r:id="rId112"/>
    <sheet name="Site112" sheetId="113" r:id="rId113"/>
    <sheet name="Site113" sheetId="114" r:id="rId114"/>
    <sheet name="Site114" sheetId="115" r:id="rId115"/>
    <sheet name="Site115" sheetId="116" r:id="rId116"/>
    <sheet name="Site116" sheetId="117" r:id="rId117"/>
    <sheet name="Site 117" sheetId="120" r:id="rId118"/>
    <sheet name="Site 118" sheetId="121" r:id="rId119"/>
    <sheet name="Site 119" sheetId="122" r:id="rId120"/>
    <sheet name="Site 120" sheetId="118" r:id="rId121"/>
    <sheet name="Site 121" sheetId="123" r:id="rId122"/>
    <sheet name="Site 122" sheetId="125" r:id="rId123"/>
    <sheet name="Site 123" sheetId="124" r:id="rId124"/>
    <sheet name="Site 124" sheetId="126" r:id="rId125"/>
    <sheet name="Site 125" sheetId="127" r:id="rId126"/>
    <sheet name="Site 126" sheetId="128" r:id="rId127"/>
    <sheet name="Site 127" sheetId="129" r:id="rId128"/>
    <sheet name="Cabin" sheetId="119" r:id="rId129"/>
  </sheets>
  <calcPr calcId="144525"/>
</workbook>
</file>

<file path=xl/calcChain.xml><?xml version="1.0" encoding="utf-8"?>
<calcChain xmlns="http://schemas.openxmlformats.org/spreadsheetml/2006/main">
  <c r="N35" i="68" l="1"/>
  <c r="P21" i="129" l="1"/>
  <c r="N21" i="129"/>
  <c r="L21" i="129"/>
  <c r="J21" i="129"/>
  <c r="G17" i="129"/>
  <c r="F17" i="129"/>
  <c r="E17" i="129"/>
  <c r="D17" i="129"/>
  <c r="C17" i="129"/>
  <c r="P16" i="129"/>
  <c r="N16" i="129"/>
  <c r="L16" i="129"/>
  <c r="J16" i="129"/>
  <c r="G16" i="129"/>
  <c r="P11" i="129"/>
  <c r="N11" i="129"/>
  <c r="L11" i="129"/>
  <c r="J11" i="129"/>
  <c r="P8" i="129"/>
  <c r="N8" i="129"/>
  <c r="L8" i="129"/>
  <c r="J8" i="129"/>
  <c r="G7" i="129"/>
  <c r="P21" i="119" l="1"/>
  <c r="N21" i="119"/>
  <c r="L21" i="119"/>
  <c r="J21" i="119"/>
  <c r="F17" i="119"/>
  <c r="E17" i="119"/>
  <c r="D17" i="119"/>
  <c r="C17" i="119"/>
  <c r="G17" i="119" s="1"/>
  <c r="P16" i="119"/>
  <c r="N16" i="119"/>
  <c r="L16" i="119"/>
  <c r="J16" i="119"/>
  <c r="G16" i="119"/>
  <c r="P11" i="119"/>
  <c r="N11" i="119"/>
  <c r="L11" i="119"/>
  <c r="J11" i="119"/>
  <c r="P8" i="119"/>
  <c r="N8" i="119"/>
  <c r="L8" i="119"/>
  <c r="J8" i="119"/>
  <c r="G7" i="119"/>
  <c r="P21" i="128"/>
  <c r="N21" i="128"/>
  <c r="L21" i="128"/>
  <c r="J21" i="128"/>
  <c r="F17" i="128"/>
  <c r="E17" i="128"/>
  <c r="D17" i="128"/>
  <c r="C17" i="128"/>
  <c r="G17" i="128" s="1"/>
  <c r="P16" i="128"/>
  <c r="N16" i="128"/>
  <c r="L16" i="128"/>
  <c r="J16" i="128"/>
  <c r="G16" i="128"/>
  <c r="P11" i="128"/>
  <c r="N11" i="128"/>
  <c r="L11" i="128"/>
  <c r="J11" i="128"/>
  <c r="P8" i="128"/>
  <c r="N8" i="128"/>
  <c r="L8" i="128"/>
  <c r="J8" i="128"/>
  <c r="G7" i="128"/>
  <c r="P21" i="127"/>
  <c r="N21" i="127"/>
  <c r="L21" i="127"/>
  <c r="J21" i="127"/>
  <c r="F17" i="127"/>
  <c r="E17" i="127"/>
  <c r="D17" i="127"/>
  <c r="C17" i="127"/>
  <c r="G17" i="127" s="1"/>
  <c r="P16" i="127"/>
  <c r="N16" i="127"/>
  <c r="L16" i="127"/>
  <c r="J16" i="127"/>
  <c r="G16" i="127"/>
  <c r="P11" i="127"/>
  <c r="N11" i="127"/>
  <c r="L11" i="127"/>
  <c r="J11" i="127"/>
  <c r="P8" i="127"/>
  <c r="N8" i="127"/>
  <c r="L8" i="127"/>
  <c r="J8" i="127"/>
  <c r="G7" i="127"/>
  <c r="P21" i="126"/>
  <c r="N21" i="126"/>
  <c r="L21" i="126"/>
  <c r="J21" i="126"/>
  <c r="F17" i="126"/>
  <c r="E17" i="126"/>
  <c r="D17" i="126"/>
  <c r="C17" i="126"/>
  <c r="G17" i="126" s="1"/>
  <c r="P16" i="126"/>
  <c r="N16" i="126"/>
  <c r="L16" i="126"/>
  <c r="J16" i="126"/>
  <c r="G16" i="126"/>
  <c r="P11" i="126"/>
  <c r="N11" i="126"/>
  <c r="L11" i="126"/>
  <c r="J11" i="126"/>
  <c r="P8" i="126"/>
  <c r="N8" i="126"/>
  <c r="L8" i="126"/>
  <c r="J8" i="126"/>
  <c r="G7" i="126"/>
  <c r="P21" i="124"/>
  <c r="N21" i="124"/>
  <c r="L21" i="124"/>
  <c r="J21" i="124"/>
  <c r="F17" i="124"/>
  <c r="E17" i="124"/>
  <c r="D17" i="124"/>
  <c r="C17" i="124"/>
  <c r="G17" i="124" s="1"/>
  <c r="P16" i="124"/>
  <c r="N16" i="124"/>
  <c r="L16" i="124"/>
  <c r="J16" i="124"/>
  <c r="G16" i="124"/>
  <c r="P11" i="124"/>
  <c r="N11" i="124"/>
  <c r="L11" i="124"/>
  <c r="J11" i="124"/>
  <c r="P8" i="124"/>
  <c r="N8" i="124"/>
  <c r="L8" i="124"/>
  <c r="J8" i="124"/>
  <c r="G7" i="124"/>
  <c r="P21" i="125"/>
  <c r="N21" i="125"/>
  <c r="L21" i="125"/>
  <c r="J21" i="125"/>
  <c r="F17" i="125"/>
  <c r="E17" i="125"/>
  <c r="D17" i="125"/>
  <c r="C17" i="125"/>
  <c r="G17" i="125" s="1"/>
  <c r="P16" i="125"/>
  <c r="N16" i="125"/>
  <c r="L16" i="125"/>
  <c r="J16" i="125"/>
  <c r="G16" i="125"/>
  <c r="P11" i="125"/>
  <c r="N11" i="125"/>
  <c r="L11" i="125"/>
  <c r="J11" i="125"/>
  <c r="P8" i="125"/>
  <c r="N8" i="125"/>
  <c r="L8" i="125"/>
  <c r="J8" i="125"/>
  <c r="G7" i="125"/>
  <c r="P21" i="123"/>
  <c r="N21" i="123"/>
  <c r="L21" i="123"/>
  <c r="J21" i="123"/>
  <c r="F17" i="123"/>
  <c r="E17" i="123"/>
  <c r="D17" i="123"/>
  <c r="C17" i="123"/>
  <c r="G17" i="123" s="1"/>
  <c r="P16" i="123"/>
  <c r="N16" i="123"/>
  <c r="L16" i="123"/>
  <c r="J16" i="123"/>
  <c r="G16" i="123"/>
  <c r="P11" i="123"/>
  <c r="N11" i="123"/>
  <c r="L11" i="123"/>
  <c r="J11" i="123"/>
  <c r="P8" i="123"/>
  <c r="N8" i="123"/>
  <c r="L8" i="123"/>
  <c r="J8" i="123"/>
  <c r="G7" i="123"/>
  <c r="P21" i="118"/>
  <c r="N21" i="118"/>
  <c r="L21" i="118"/>
  <c r="J21" i="118"/>
  <c r="F17" i="118"/>
  <c r="E17" i="118"/>
  <c r="D17" i="118"/>
  <c r="C17" i="118"/>
  <c r="G17" i="118" s="1"/>
  <c r="P16" i="118"/>
  <c r="N16" i="118"/>
  <c r="L16" i="118"/>
  <c r="J16" i="118"/>
  <c r="G16" i="118"/>
  <c r="P11" i="118"/>
  <c r="N11" i="118"/>
  <c r="L11" i="118"/>
  <c r="J11" i="118"/>
  <c r="P8" i="118"/>
  <c r="N8" i="118"/>
  <c r="L8" i="118"/>
  <c r="J8" i="118"/>
  <c r="G7" i="118"/>
  <c r="P21" i="121"/>
  <c r="N21" i="121"/>
  <c r="L21" i="121"/>
  <c r="J21" i="121"/>
  <c r="F17" i="121"/>
  <c r="E17" i="121"/>
  <c r="D17" i="121"/>
  <c r="C17" i="121"/>
  <c r="G17" i="121" s="1"/>
  <c r="P16" i="121"/>
  <c r="N16" i="121"/>
  <c r="L16" i="121"/>
  <c r="J16" i="121"/>
  <c r="G16" i="121"/>
  <c r="P11" i="121"/>
  <c r="N11" i="121"/>
  <c r="L11" i="121"/>
  <c r="J11" i="121"/>
  <c r="P8" i="121"/>
  <c r="N8" i="121"/>
  <c r="L8" i="121"/>
  <c r="J8" i="121"/>
  <c r="G7" i="121"/>
  <c r="P21" i="120"/>
  <c r="N21" i="120"/>
  <c r="L21" i="120"/>
  <c r="J21" i="120"/>
  <c r="F17" i="120"/>
  <c r="E17" i="120"/>
  <c r="D17" i="120"/>
  <c r="C17" i="120"/>
  <c r="G17" i="120" s="1"/>
  <c r="P16" i="120"/>
  <c r="N16" i="120"/>
  <c r="L16" i="120"/>
  <c r="J16" i="120"/>
  <c r="G16" i="120"/>
  <c r="P11" i="120"/>
  <c r="N11" i="120"/>
  <c r="L11" i="120"/>
  <c r="J11" i="120"/>
  <c r="P8" i="120"/>
  <c r="N8" i="120"/>
  <c r="L8" i="120"/>
  <c r="J8" i="120"/>
  <c r="G7" i="120"/>
  <c r="P21" i="117"/>
  <c r="N21" i="117"/>
  <c r="L21" i="117"/>
  <c r="J21" i="117"/>
  <c r="F17" i="117"/>
  <c r="E17" i="117"/>
  <c r="D17" i="117"/>
  <c r="C17" i="117"/>
  <c r="G17" i="117" s="1"/>
  <c r="P16" i="117"/>
  <c r="N16" i="117"/>
  <c r="L16" i="117"/>
  <c r="J16" i="117"/>
  <c r="G16" i="117"/>
  <c r="P11" i="117"/>
  <c r="N11" i="117"/>
  <c r="L11" i="117"/>
  <c r="J11" i="117"/>
  <c r="P8" i="117"/>
  <c r="N8" i="117"/>
  <c r="L8" i="117"/>
  <c r="J8" i="117"/>
  <c r="G7" i="117"/>
  <c r="P21" i="116"/>
  <c r="N21" i="116"/>
  <c r="L21" i="116"/>
  <c r="J21" i="116"/>
  <c r="F17" i="116"/>
  <c r="E17" i="116"/>
  <c r="D17" i="116"/>
  <c r="C17" i="116"/>
  <c r="G17" i="116" s="1"/>
  <c r="P16" i="116"/>
  <c r="N16" i="116"/>
  <c r="L16" i="116"/>
  <c r="J16" i="116"/>
  <c r="G16" i="116"/>
  <c r="P11" i="116"/>
  <c r="N11" i="116"/>
  <c r="L11" i="116"/>
  <c r="J11" i="116"/>
  <c r="P8" i="116"/>
  <c r="N8" i="116"/>
  <c r="L8" i="116"/>
  <c r="J8" i="116"/>
  <c r="G7" i="116"/>
  <c r="P21" i="115"/>
  <c r="N21" i="115"/>
  <c r="L21" i="115"/>
  <c r="J21" i="115"/>
  <c r="F17" i="115"/>
  <c r="E17" i="115"/>
  <c r="D17" i="115"/>
  <c r="C17" i="115"/>
  <c r="G17" i="115" s="1"/>
  <c r="P16" i="115"/>
  <c r="N16" i="115"/>
  <c r="L16" i="115"/>
  <c r="J16" i="115"/>
  <c r="G16" i="115"/>
  <c r="P11" i="115"/>
  <c r="N11" i="115"/>
  <c r="L11" i="115"/>
  <c r="J11" i="115"/>
  <c r="P8" i="115"/>
  <c r="N8" i="115"/>
  <c r="L8" i="115"/>
  <c r="J8" i="115"/>
  <c r="G7" i="115"/>
  <c r="P21" i="114"/>
  <c r="N21" i="114"/>
  <c r="L21" i="114"/>
  <c r="J21" i="114"/>
  <c r="F17" i="114"/>
  <c r="E17" i="114"/>
  <c r="D17" i="114"/>
  <c r="C17" i="114"/>
  <c r="G17" i="114" s="1"/>
  <c r="P16" i="114"/>
  <c r="N16" i="114"/>
  <c r="L16" i="114"/>
  <c r="J16" i="114"/>
  <c r="G16" i="114"/>
  <c r="P11" i="114"/>
  <c r="N11" i="114"/>
  <c r="L11" i="114"/>
  <c r="J11" i="114"/>
  <c r="P8" i="114"/>
  <c r="N8" i="114"/>
  <c r="L8" i="114"/>
  <c r="J8" i="114"/>
  <c r="G7" i="114"/>
  <c r="P21" i="113"/>
  <c r="N21" i="113"/>
  <c r="L21" i="113"/>
  <c r="J21" i="113"/>
  <c r="F17" i="113"/>
  <c r="E17" i="113"/>
  <c r="D17" i="113"/>
  <c r="C17" i="113"/>
  <c r="G17" i="113" s="1"/>
  <c r="P16" i="113"/>
  <c r="N16" i="113"/>
  <c r="L16" i="113"/>
  <c r="J16" i="113"/>
  <c r="G16" i="113"/>
  <c r="P11" i="113"/>
  <c r="N11" i="113"/>
  <c r="L11" i="113"/>
  <c r="J11" i="113"/>
  <c r="P8" i="113"/>
  <c r="N8" i="113"/>
  <c r="L8" i="113"/>
  <c r="J8" i="113"/>
  <c r="G7" i="113"/>
  <c r="P21" i="112"/>
  <c r="N21" i="112"/>
  <c r="L21" i="112"/>
  <c r="J21" i="112"/>
  <c r="F17" i="112"/>
  <c r="E17" i="112"/>
  <c r="D17" i="112"/>
  <c r="C17" i="112"/>
  <c r="G17" i="112" s="1"/>
  <c r="P16" i="112"/>
  <c r="N16" i="112"/>
  <c r="L16" i="112"/>
  <c r="J16" i="112"/>
  <c r="G16" i="112"/>
  <c r="P11" i="112"/>
  <c r="N11" i="112"/>
  <c r="L11" i="112"/>
  <c r="J11" i="112"/>
  <c r="P8" i="112"/>
  <c r="N8" i="112"/>
  <c r="L8" i="112"/>
  <c r="J8" i="112"/>
  <c r="G7" i="112"/>
  <c r="P21" i="111"/>
  <c r="N21" i="111"/>
  <c r="L21" i="111"/>
  <c r="J21" i="111"/>
  <c r="F17" i="111"/>
  <c r="E17" i="111"/>
  <c r="D17" i="111"/>
  <c r="C17" i="111"/>
  <c r="G17" i="111" s="1"/>
  <c r="P16" i="111"/>
  <c r="N16" i="111"/>
  <c r="L16" i="111"/>
  <c r="J16" i="111"/>
  <c r="G16" i="111"/>
  <c r="P11" i="111"/>
  <c r="N11" i="111"/>
  <c r="L11" i="111"/>
  <c r="J11" i="111"/>
  <c r="P8" i="111"/>
  <c r="N8" i="111"/>
  <c r="L8" i="111"/>
  <c r="J8" i="111"/>
  <c r="G7" i="111"/>
  <c r="P21" i="110"/>
  <c r="N21" i="110"/>
  <c r="L21" i="110"/>
  <c r="J21" i="110"/>
  <c r="F17" i="110"/>
  <c r="E17" i="110"/>
  <c r="D17" i="110"/>
  <c r="C17" i="110"/>
  <c r="G17" i="110" s="1"/>
  <c r="P16" i="110"/>
  <c r="N16" i="110"/>
  <c r="L16" i="110"/>
  <c r="J16" i="110"/>
  <c r="G16" i="110"/>
  <c r="P11" i="110"/>
  <c r="N11" i="110"/>
  <c r="L11" i="110"/>
  <c r="J11" i="110"/>
  <c r="P8" i="110"/>
  <c r="N8" i="110"/>
  <c r="L8" i="110"/>
  <c r="J8" i="110"/>
  <c r="G7" i="110"/>
  <c r="P21" i="108"/>
  <c r="N21" i="108"/>
  <c r="L21" i="108"/>
  <c r="J21" i="108"/>
  <c r="F17" i="108"/>
  <c r="E17" i="108"/>
  <c r="D17" i="108"/>
  <c r="C17" i="108"/>
  <c r="G17" i="108" s="1"/>
  <c r="P16" i="108"/>
  <c r="N16" i="108"/>
  <c r="L16" i="108"/>
  <c r="J16" i="108"/>
  <c r="G16" i="108"/>
  <c r="P11" i="108"/>
  <c r="N11" i="108"/>
  <c r="L11" i="108"/>
  <c r="J11" i="108"/>
  <c r="P8" i="108"/>
  <c r="N8" i="108"/>
  <c r="L8" i="108"/>
  <c r="J8" i="108"/>
  <c r="G7" i="108"/>
  <c r="P21" i="107"/>
  <c r="N21" i="107"/>
  <c r="L21" i="107"/>
  <c r="J21" i="107"/>
  <c r="F17" i="107"/>
  <c r="E17" i="107"/>
  <c r="D17" i="107"/>
  <c r="C17" i="107"/>
  <c r="G17" i="107" s="1"/>
  <c r="P16" i="107"/>
  <c r="N16" i="107"/>
  <c r="L16" i="107"/>
  <c r="J16" i="107"/>
  <c r="G16" i="107"/>
  <c r="P11" i="107"/>
  <c r="N11" i="107"/>
  <c r="L11" i="107"/>
  <c r="J11" i="107"/>
  <c r="P8" i="107"/>
  <c r="N8" i="107"/>
  <c r="L8" i="107"/>
  <c r="J8" i="107"/>
  <c r="G7" i="107"/>
  <c r="P21" i="106"/>
  <c r="N21" i="106"/>
  <c r="L21" i="106"/>
  <c r="J21" i="106"/>
  <c r="F17" i="106"/>
  <c r="E17" i="106"/>
  <c r="D17" i="106"/>
  <c r="C17" i="106"/>
  <c r="G17" i="106" s="1"/>
  <c r="P16" i="106"/>
  <c r="N16" i="106"/>
  <c r="L16" i="106"/>
  <c r="J16" i="106"/>
  <c r="G16" i="106"/>
  <c r="P11" i="106"/>
  <c r="N11" i="106"/>
  <c r="L11" i="106"/>
  <c r="J11" i="106"/>
  <c r="P8" i="106"/>
  <c r="N8" i="106"/>
  <c r="L8" i="106"/>
  <c r="J8" i="106"/>
  <c r="G7" i="106"/>
  <c r="P21" i="105"/>
  <c r="N21" i="105"/>
  <c r="L21" i="105"/>
  <c r="J21" i="105"/>
  <c r="F17" i="105"/>
  <c r="E17" i="105"/>
  <c r="D17" i="105"/>
  <c r="C17" i="105"/>
  <c r="G17" i="105" s="1"/>
  <c r="P16" i="105"/>
  <c r="N16" i="105"/>
  <c r="L16" i="105"/>
  <c r="J16" i="105"/>
  <c r="G16" i="105"/>
  <c r="P11" i="105"/>
  <c r="N11" i="105"/>
  <c r="L11" i="105"/>
  <c r="J11" i="105"/>
  <c r="P8" i="105"/>
  <c r="N8" i="105"/>
  <c r="L8" i="105"/>
  <c r="J8" i="105"/>
  <c r="G7" i="105"/>
  <c r="P21" i="104"/>
  <c r="N21" i="104"/>
  <c r="L21" i="104"/>
  <c r="J21" i="104"/>
  <c r="F17" i="104"/>
  <c r="E17" i="104"/>
  <c r="D17" i="104"/>
  <c r="C17" i="104"/>
  <c r="G17" i="104" s="1"/>
  <c r="P16" i="104"/>
  <c r="N16" i="104"/>
  <c r="L16" i="104"/>
  <c r="J16" i="104"/>
  <c r="G16" i="104"/>
  <c r="P11" i="104"/>
  <c r="N11" i="104"/>
  <c r="L11" i="104"/>
  <c r="J11" i="104"/>
  <c r="P8" i="104"/>
  <c r="N8" i="104"/>
  <c r="L8" i="104"/>
  <c r="J8" i="104"/>
  <c r="G7" i="104"/>
  <c r="P21" i="103"/>
  <c r="N21" i="103"/>
  <c r="L21" i="103"/>
  <c r="J21" i="103"/>
  <c r="F17" i="103"/>
  <c r="E17" i="103"/>
  <c r="D17" i="103"/>
  <c r="C17" i="103"/>
  <c r="G17" i="103" s="1"/>
  <c r="P16" i="103"/>
  <c r="N16" i="103"/>
  <c r="L16" i="103"/>
  <c r="J16" i="103"/>
  <c r="G16" i="103"/>
  <c r="P11" i="103"/>
  <c r="N11" i="103"/>
  <c r="L11" i="103"/>
  <c r="J11" i="103"/>
  <c r="P8" i="103"/>
  <c r="N8" i="103"/>
  <c r="L8" i="103"/>
  <c r="J8" i="103"/>
  <c r="G7" i="103"/>
  <c r="P21" i="102"/>
  <c r="N21" i="102"/>
  <c r="L21" i="102"/>
  <c r="J21" i="102"/>
  <c r="F17" i="102"/>
  <c r="E17" i="102"/>
  <c r="D17" i="102"/>
  <c r="C17" i="102"/>
  <c r="G17" i="102" s="1"/>
  <c r="P16" i="102"/>
  <c r="N16" i="102"/>
  <c r="L16" i="102"/>
  <c r="J16" i="102"/>
  <c r="G16" i="102"/>
  <c r="P11" i="102"/>
  <c r="N11" i="102"/>
  <c r="L11" i="102"/>
  <c r="J11" i="102"/>
  <c r="P8" i="102"/>
  <c r="N8" i="102"/>
  <c r="L8" i="102"/>
  <c r="J8" i="102"/>
  <c r="G7" i="102"/>
  <c r="P21" i="100"/>
  <c r="N21" i="100"/>
  <c r="L21" i="100"/>
  <c r="J21" i="100"/>
  <c r="F17" i="100"/>
  <c r="E17" i="100"/>
  <c r="D17" i="100"/>
  <c r="C17" i="100"/>
  <c r="G17" i="100" s="1"/>
  <c r="P16" i="100"/>
  <c r="N16" i="100"/>
  <c r="L16" i="100"/>
  <c r="J16" i="100"/>
  <c r="G16" i="100"/>
  <c r="P11" i="100"/>
  <c r="N11" i="100"/>
  <c r="L11" i="100"/>
  <c r="J11" i="100"/>
  <c r="P8" i="100"/>
  <c r="N8" i="100"/>
  <c r="L8" i="100"/>
  <c r="J8" i="100"/>
  <c r="G7" i="100"/>
  <c r="P21" i="99"/>
  <c r="N21" i="99"/>
  <c r="L21" i="99"/>
  <c r="J21" i="99"/>
  <c r="F17" i="99"/>
  <c r="E17" i="99"/>
  <c r="D17" i="99"/>
  <c r="C17" i="99"/>
  <c r="G17" i="99" s="1"/>
  <c r="P16" i="99"/>
  <c r="N16" i="99"/>
  <c r="L16" i="99"/>
  <c r="J16" i="99"/>
  <c r="G16" i="99"/>
  <c r="P11" i="99"/>
  <c r="N11" i="99"/>
  <c r="L11" i="99"/>
  <c r="J11" i="99"/>
  <c r="P8" i="99"/>
  <c r="N8" i="99"/>
  <c r="L8" i="99"/>
  <c r="J8" i="99"/>
  <c r="G7" i="99"/>
  <c r="P21" i="97"/>
  <c r="N21" i="97"/>
  <c r="L21" i="97"/>
  <c r="J21" i="97"/>
  <c r="F17" i="97"/>
  <c r="E17" i="97"/>
  <c r="D17" i="97"/>
  <c r="C17" i="97"/>
  <c r="G17" i="97" s="1"/>
  <c r="P16" i="97"/>
  <c r="N16" i="97"/>
  <c r="L16" i="97"/>
  <c r="J16" i="97"/>
  <c r="G16" i="97"/>
  <c r="P11" i="97"/>
  <c r="N11" i="97"/>
  <c r="L11" i="97"/>
  <c r="J11" i="97"/>
  <c r="P8" i="97"/>
  <c r="N8" i="97"/>
  <c r="L8" i="97"/>
  <c r="J8" i="97"/>
  <c r="G7" i="97"/>
  <c r="P21" i="96"/>
  <c r="N21" i="96"/>
  <c r="L21" i="96"/>
  <c r="J21" i="96"/>
  <c r="F17" i="96"/>
  <c r="E17" i="96"/>
  <c r="D17" i="96"/>
  <c r="C17" i="96"/>
  <c r="G17" i="96" s="1"/>
  <c r="P16" i="96"/>
  <c r="N16" i="96"/>
  <c r="L16" i="96"/>
  <c r="J16" i="96"/>
  <c r="G16" i="96"/>
  <c r="P11" i="96"/>
  <c r="N11" i="96"/>
  <c r="L11" i="96"/>
  <c r="J11" i="96"/>
  <c r="P8" i="96"/>
  <c r="N8" i="96"/>
  <c r="L8" i="96"/>
  <c r="J8" i="96"/>
  <c r="G7" i="96"/>
  <c r="P21" i="95"/>
  <c r="N21" i="95"/>
  <c r="L21" i="95"/>
  <c r="J21" i="95"/>
  <c r="F17" i="95"/>
  <c r="E17" i="95"/>
  <c r="D17" i="95"/>
  <c r="C17" i="95"/>
  <c r="G17" i="95" s="1"/>
  <c r="P16" i="95"/>
  <c r="N16" i="95"/>
  <c r="L16" i="95"/>
  <c r="J16" i="95"/>
  <c r="G16" i="95"/>
  <c r="P11" i="95"/>
  <c r="N11" i="95"/>
  <c r="L11" i="95"/>
  <c r="J11" i="95"/>
  <c r="P8" i="95"/>
  <c r="N8" i="95"/>
  <c r="L8" i="95"/>
  <c r="J8" i="95"/>
  <c r="G7" i="95"/>
  <c r="P21" i="94"/>
  <c r="N21" i="94"/>
  <c r="L21" i="94"/>
  <c r="J21" i="94"/>
  <c r="F17" i="94"/>
  <c r="E17" i="94"/>
  <c r="D17" i="94"/>
  <c r="C17" i="94"/>
  <c r="G17" i="94" s="1"/>
  <c r="P16" i="94"/>
  <c r="N16" i="94"/>
  <c r="L16" i="94"/>
  <c r="J16" i="94"/>
  <c r="G16" i="94"/>
  <c r="P11" i="94"/>
  <c r="N11" i="94"/>
  <c r="L11" i="94"/>
  <c r="J11" i="94"/>
  <c r="P8" i="94"/>
  <c r="N8" i="94"/>
  <c r="L8" i="94"/>
  <c r="J8" i="94"/>
  <c r="G7" i="94"/>
  <c r="P21" i="93"/>
  <c r="N21" i="93"/>
  <c r="L21" i="93"/>
  <c r="J21" i="93"/>
  <c r="F17" i="93"/>
  <c r="E17" i="93"/>
  <c r="D17" i="93"/>
  <c r="C17" i="93"/>
  <c r="G17" i="93" s="1"/>
  <c r="P16" i="93"/>
  <c r="N16" i="93"/>
  <c r="L16" i="93"/>
  <c r="J16" i="93"/>
  <c r="G16" i="93"/>
  <c r="P11" i="93"/>
  <c r="N11" i="93"/>
  <c r="L11" i="93"/>
  <c r="J11" i="93"/>
  <c r="P8" i="93"/>
  <c r="N8" i="93"/>
  <c r="L8" i="93"/>
  <c r="J8" i="93"/>
  <c r="G7" i="93"/>
  <c r="P21" i="92"/>
  <c r="N21" i="92"/>
  <c r="L21" i="92"/>
  <c r="J21" i="92"/>
  <c r="F17" i="92"/>
  <c r="E17" i="92"/>
  <c r="D17" i="92"/>
  <c r="C17" i="92"/>
  <c r="G17" i="92" s="1"/>
  <c r="P16" i="92"/>
  <c r="N16" i="92"/>
  <c r="L16" i="92"/>
  <c r="J16" i="92"/>
  <c r="G16" i="92"/>
  <c r="P11" i="92"/>
  <c r="N11" i="92"/>
  <c r="L11" i="92"/>
  <c r="J11" i="92"/>
  <c r="P8" i="92"/>
  <c r="N8" i="92"/>
  <c r="L8" i="92"/>
  <c r="J8" i="92"/>
  <c r="G7" i="92"/>
  <c r="P21" i="91"/>
  <c r="N21" i="91"/>
  <c r="L21" i="91"/>
  <c r="J21" i="91"/>
  <c r="F17" i="91"/>
  <c r="E17" i="91"/>
  <c r="D17" i="91"/>
  <c r="C17" i="91"/>
  <c r="G17" i="91" s="1"/>
  <c r="P16" i="91"/>
  <c r="N16" i="91"/>
  <c r="L16" i="91"/>
  <c r="J16" i="91"/>
  <c r="G16" i="91"/>
  <c r="P11" i="91"/>
  <c r="N11" i="91"/>
  <c r="L11" i="91"/>
  <c r="J11" i="91"/>
  <c r="P8" i="91"/>
  <c r="N8" i="91"/>
  <c r="L8" i="91"/>
  <c r="J8" i="91"/>
  <c r="G7" i="91"/>
  <c r="P21" i="90"/>
  <c r="N21" i="90"/>
  <c r="L21" i="90"/>
  <c r="J21" i="90"/>
  <c r="F17" i="90"/>
  <c r="E17" i="90"/>
  <c r="D17" i="90"/>
  <c r="C17" i="90"/>
  <c r="G17" i="90" s="1"/>
  <c r="P16" i="90"/>
  <c r="N16" i="90"/>
  <c r="L16" i="90"/>
  <c r="J16" i="90"/>
  <c r="G16" i="90"/>
  <c r="P11" i="90"/>
  <c r="N11" i="90"/>
  <c r="L11" i="90"/>
  <c r="J11" i="90"/>
  <c r="P8" i="90"/>
  <c r="N8" i="90"/>
  <c r="L8" i="90"/>
  <c r="J8" i="90"/>
  <c r="G7" i="90"/>
  <c r="P21" i="88"/>
  <c r="N21" i="88"/>
  <c r="L21" i="88"/>
  <c r="J21" i="88"/>
  <c r="F17" i="88"/>
  <c r="E17" i="88"/>
  <c r="D17" i="88"/>
  <c r="C17" i="88"/>
  <c r="G17" i="88" s="1"/>
  <c r="P16" i="88"/>
  <c r="N16" i="88"/>
  <c r="L16" i="88"/>
  <c r="J16" i="88"/>
  <c r="G16" i="88"/>
  <c r="P11" i="88"/>
  <c r="N11" i="88"/>
  <c r="L11" i="88"/>
  <c r="J11" i="88"/>
  <c r="P8" i="88"/>
  <c r="N8" i="88"/>
  <c r="L8" i="88"/>
  <c r="J8" i="88"/>
  <c r="G7" i="88"/>
  <c r="P21" i="87"/>
  <c r="N21" i="87"/>
  <c r="L21" i="87"/>
  <c r="J21" i="87"/>
  <c r="F17" i="87"/>
  <c r="E17" i="87"/>
  <c r="D17" i="87"/>
  <c r="C17" i="87"/>
  <c r="G17" i="87" s="1"/>
  <c r="P16" i="87"/>
  <c r="N16" i="87"/>
  <c r="L16" i="87"/>
  <c r="J16" i="87"/>
  <c r="G16" i="87"/>
  <c r="P11" i="87"/>
  <c r="N11" i="87"/>
  <c r="L11" i="87"/>
  <c r="J11" i="87"/>
  <c r="P8" i="87"/>
  <c r="N8" i="87"/>
  <c r="L8" i="87"/>
  <c r="J8" i="87"/>
  <c r="G7" i="87"/>
  <c r="P21" i="85"/>
  <c r="N21" i="85"/>
  <c r="L21" i="85"/>
  <c r="J21" i="85"/>
  <c r="F17" i="85"/>
  <c r="E17" i="85"/>
  <c r="D17" i="85"/>
  <c r="C17" i="85"/>
  <c r="G17" i="85" s="1"/>
  <c r="P16" i="85"/>
  <c r="N16" i="85"/>
  <c r="L16" i="85"/>
  <c r="J16" i="85"/>
  <c r="G16" i="85"/>
  <c r="P11" i="85"/>
  <c r="N11" i="85"/>
  <c r="L11" i="85"/>
  <c r="J11" i="85"/>
  <c r="P8" i="85"/>
  <c r="N8" i="85"/>
  <c r="L8" i="85"/>
  <c r="J8" i="85"/>
  <c r="G7" i="85"/>
  <c r="P21" i="84"/>
  <c r="N21" i="84"/>
  <c r="L21" i="84"/>
  <c r="J21" i="84"/>
  <c r="F17" i="84"/>
  <c r="E17" i="84"/>
  <c r="D17" i="84"/>
  <c r="C17" i="84"/>
  <c r="G17" i="84" s="1"/>
  <c r="P16" i="84"/>
  <c r="N16" i="84"/>
  <c r="L16" i="84"/>
  <c r="J16" i="84"/>
  <c r="G16" i="84"/>
  <c r="P11" i="84"/>
  <c r="N11" i="84"/>
  <c r="L11" i="84"/>
  <c r="J11" i="84"/>
  <c r="P8" i="84"/>
  <c r="N8" i="84"/>
  <c r="L8" i="84"/>
  <c r="J8" i="84"/>
  <c r="G7" i="84"/>
  <c r="P21" i="83"/>
  <c r="N21" i="83"/>
  <c r="L21" i="83"/>
  <c r="J21" i="83"/>
  <c r="F17" i="83"/>
  <c r="E17" i="83"/>
  <c r="D17" i="83"/>
  <c r="C17" i="83"/>
  <c r="G17" i="83" s="1"/>
  <c r="P16" i="83"/>
  <c r="N16" i="83"/>
  <c r="L16" i="83"/>
  <c r="J16" i="83"/>
  <c r="G16" i="83"/>
  <c r="P11" i="83"/>
  <c r="N11" i="83"/>
  <c r="L11" i="83"/>
  <c r="J11" i="83"/>
  <c r="P8" i="83"/>
  <c r="N8" i="83"/>
  <c r="L8" i="83"/>
  <c r="J8" i="83"/>
  <c r="G7" i="83"/>
  <c r="P21" i="82"/>
  <c r="N21" i="82"/>
  <c r="L21" i="82"/>
  <c r="J21" i="82"/>
  <c r="F17" i="82"/>
  <c r="E17" i="82"/>
  <c r="D17" i="82"/>
  <c r="C17" i="82"/>
  <c r="G17" i="82" s="1"/>
  <c r="P16" i="82"/>
  <c r="N16" i="82"/>
  <c r="L16" i="82"/>
  <c r="J16" i="82"/>
  <c r="G16" i="82"/>
  <c r="P11" i="82"/>
  <c r="N11" i="82"/>
  <c r="L11" i="82"/>
  <c r="J11" i="82"/>
  <c r="P8" i="82"/>
  <c r="N8" i="82"/>
  <c r="L8" i="82"/>
  <c r="J8" i="82"/>
  <c r="G7" i="82"/>
  <c r="P21" i="81"/>
  <c r="N21" i="81"/>
  <c r="L21" i="81"/>
  <c r="J21" i="81"/>
  <c r="F17" i="81"/>
  <c r="E17" i="81"/>
  <c r="D17" i="81"/>
  <c r="C17" i="81"/>
  <c r="G17" i="81" s="1"/>
  <c r="P16" i="81"/>
  <c r="N16" i="81"/>
  <c r="L16" i="81"/>
  <c r="J16" i="81"/>
  <c r="G16" i="81"/>
  <c r="P11" i="81"/>
  <c r="N11" i="81"/>
  <c r="L11" i="81"/>
  <c r="J11" i="81"/>
  <c r="P8" i="81"/>
  <c r="N8" i="81"/>
  <c r="L8" i="81"/>
  <c r="J8" i="81"/>
  <c r="G7" i="81"/>
  <c r="C27" i="76"/>
  <c r="D27" i="76"/>
  <c r="E27" i="76"/>
  <c r="F27" i="76"/>
  <c r="P21" i="76" l="1"/>
  <c r="N21" i="76"/>
  <c r="L21" i="76"/>
  <c r="J21" i="76"/>
  <c r="F17" i="76"/>
  <c r="E17" i="76"/>
  <c r="D17" i="76"/>
  <c r="C17" i="76"/>
  <c r="P16" i="76"/>
  <c r="N16" i="76"/>
  <c r="L16" i="76"/>
  <c r="J16" i="76"/>
  <c r="G16" i="76"/>
  <c r="P11" i="76"/>
  <c r="N11" i="76"/>
  <c r="L11" i="76"/>
  <c r="J11" i="76"/>
  <c r="P8" i="76"/>
  <c r="N8" i="76"/>
  <c r="L8" i="76"/>
  <c r="J8" i="76"/>
  <c r="G7" i="76"/>
  <c r="P21" i="75"/>
  <c r="N21" i="75"/>
  <c r="L21" i="75"/>
  <c r="J21" i="75"/>
  <c r="F17" i="75"/>
  <c r="E17" i="75"/>
  <c r="D17" i="75"/>
  <c r="C17" i="75"/>
  <c r="G17" i="75" s="1"/>
  <c r="P16" i="75"/>
  <c r="N16" i="75"/>
  <c r="L16" i="75"/>
  <c r="J16" i="75"/>
  <c r="G16" i="75"/>
  <c r="P11" i="75"/>
  <c r="N11" i="75"/>
  <c r="L11" i="75"/>
  <c r="J11" i="75"/>
  <c r="P8" i="75"/>
  <c r="N8" i="75"/>
  <c r="L8" i="75"/>
  <c r="J8" i="75"/>
  <c r="G7" i="75"/>
  <c r="P21" i="74"/>
  <c r="N21" i="74"/>
  <c r="L21" i="74"/>
  <c r="J21" i="74"/>
  <c r="F17" i="74"/>
  <c r="E17" i="74"/>
  <c r="D17" i="74"/>
  <c r="C17" i="74"/>
  <c r="G17" i="74" s="1"/>
  <c r="P16" i="74"/>
  <c r="N16" i="74"/>
  <c r="L16" i="74"/>
  <c r="J16" i="74"/>
  <c r="G16" i="74"/>
  <c r="P11" i="74"/>
  <c r="N11" i="74"/>
  <c r="L11" i="74"/>
  <c r="J11" i="74"/>
  <c r="P8" i="74"/>
  <c r="N8" i="74"/>
  <c r="L8" i="74"/>
  <c r="J8" i="74"/>
  <c r="G7" i="74"/>
  <c r="P21" i="72"/>
  <c r="N21" i="72"/>
  <c r="L21" i="72"/>
  <c r="J21" i="72"/>
  <c r="F17" i="72"/>
  <c r="E17" i="72"/>
  <c r="D17" i="72"/>
  <c r="C17" i="72"/>
  <c r="G17" i="72" s="1"/>
  <c r="P16" i="72"/>
  <c r="N16" i="72"/>
  <c r="L16" i="72"/>
  <c r="J16" i="72"/>
  <c r="G16" i="72"/>
  <c r="P11" i="72"/>
  <c r="N11" i="72"/>
  <c r="L11" i="72"/>
  <c r="J11" i="72"/>
  <c r="P8" i="72"/>
  <c r="N8" i="72"/>
  <c r="L8" i="72"/>
  <c r="J8" i="72"/>
  <c r="G7" i="72"/>
  <c r="P21" i="71"/>
  <c r="N21" i="71"/>
  <c r="L21" i="71"/>
  <c r="J21" i="71"/>
  <c r="F17" i="71"/>
  <c r="E17" i="71"/>
  <c r="D17" i="71"/>
  <c r="C17" i="71"/>
  <c r="G17" i="71" s="1"/>
  <c r="P16" i="71"/>
  <c r="N16" i="71"/>
  <c r="L16" i="71"/>
  <c r="J16" i="71"/>
  <c r="G16" i="71"/>
  <c r="P11" i="71"/>
  <c r="N11" i="71"/>
  <c r="L11" i="71"/>
  <c r="J11" i="71"/>
  <c r="P8" i="71"/>
  <c r="N8" i="71"/>
  <c r="L8" i="71"/>
  <c r="J8" i="71"/>
  <c r="G7" i="71"/>
  <c r="P21" i="70"/>
  <c r="N21" i="70"/>
  <c r="L21" i="70"/>
  <c r="J21" i="70"/>
  <c r="F17" i="70"/>
  <c r="E17" i="70"/>
  <c r="D17" i="70"/>
  <c r="C17" i="70"/>
  <c r="G17" i="70" s="1"/>
  <c r="P16" i="70"/>
  <c r="N16" i="70"/>
  <c r="L16" i="70"/>
  <c r="J16" i="70"/>
  <c r="G16" i="70"/>
  <c r="P11" i="70"/>
  <c r="N11" i="70"/>
  <c r="L11" i="70"/>
  <c r="J11" i="70"/>
  <c r="P8" i="70"/>
  <c r="N8" i="70"/>
  <c r="L8" i="70"/>
  <c r="J8" i="70"/>
  <c r="G7" i="70"/>
  <c r="P21" i="69"/>
  <c r="N21" i="69"/>
  <c r="L21" i="69"/>
  <c r="J21" i="69"/>
  <c r="F17" i="69"/>
  <c r="E17" i="69"/>
  <c r="D17" i="69"/>
  <c r="C17" i="69"/>
  <c r="G17" i="69" s="1"/>
  <c r="P16" i="69"/>
  <c r="N16" i="69"/>
  <c r="L16" i="69"/>
  <c r="J16" i="69"/>
  <c r="G16" i="69"/>
  <c r="P11" i="69"/>
  <c r="N11" i="69"/>
  <c r="L11" i="69"/>
  <c r="J11" i="69"/>
  <c r="P8" i="69"/>
  <c r="N8" i="69"/>
  <c r="L8" i="69"/>
  <c r="J8" i="69"/>
  <c r="G7" i="69"/>
  <c r="P21" i="67"/>
  <c r="N21" i="67"/>
  <c r="L21" i="67"/>
  <c r="J21" i="67"/>
  <c r="F17" i="67"/>
  <c r="E17" i="67"/>
  <c r="D17" i="67"/>
  <c r="C17" i="67"/>
  <c r="G17" i="67" s="1"/>
  <c r="P16" i="67"/>
  <c r="N16" i="67"/>
  <c r="L16" i="67"/>
  <c r="J16" i="67"/>
  <c r="G16" i="67"/>
  <c r="P11" i="67"/>
  <c r="N11" i="67"/>
  <c r="L11" i="67"/>
  <c r="J11" i="67"/>
  <c r="P8" i="67"/>
  <c r="N8" i="67"/>
  <c r="L8" i="67"/>
  <c r="J8" i="67"/>
  <c r="G7" i="67"/>
  <c r="P22" i="66"/>
  <c r="N22" i="66"/>
  <c r="L22" i="66"/>
  <c r="J22" i="66"/>
  <c r="F18" i="66"/>
  <c r="E18" i="66"/>
  <c r="D18" i="66"/>
  <c r="C18" i="66"/>
  <c r="G18" i="66" s="1"/>
  <c r="P17" i="66"/>
  <c r="N17" i="66"/>
  <c r="L17" i="66"/>
  <c r="J17" i="66"/>
  <c r="G17" i="66"/>
  <c r="P12" i="66"/>
  <c r="N12" i="66"/>
  <c r="L12" i="66"/>
  <c r="J12" i="66"/>
  <c r="P9" i="66"/>
  <c r="N9" i="66"/>
  <c r="L9" i="66"/>
  <c r="J9" i="66"/>
  <c r="G8" i="66"/>
  <c r="P21" i="65"/>
  <c r="N21" i="65"/>
  <c r="L21" i="65"/>
  <c r="J21" i="65"/>
  <c r="F17" i="65"/>
  <c r="E17" i="65"/>
  <c r="D17" i="65"/>
  <c r="C17" i="65"/>
  <c r="G17" i="65" s="1"/>
  <c r="P16" i="65"/>
  <c r="N16" i="65"/>
  <c r="L16" i="65"/>
  <c r="J16" i="65"/>
  <c r="G16" i="65"/>
  <c r="P11" i="65"/>
  <c r="N11" i="65"/>
  <c r="L11" i="65"/>
  <c r="J11" i="65"/>
  <c r="P8" i="65"/>
  <c r="N8" i="65"/>
  <c r="L8" i="65"/>
  <c r="J8" i="65"/>
  <c r="G7" i="65"/>
  <c r="P21" i="63"/>
  <c r="N21" i="63"/>
  <c r="L21" i="63"/>
  <c r="J21" i="63"/>
  <c r="F17" i="63"/>
  <c r="E17" i="63"/>
  <c r="D17" i="63"/>
  <c r="C17" i="63"/>
  <c r="G17" i="63" s="1"/>
  <c r="P16" i="63"/>
  <c r="N16" i="63"/>
  <c r="L16" i="63"/>
  <c r="J16" i="63"/>
  <c r="G16" i="63"/>
  <c r="P11" i="63"/>
  <c r="N11" i="63"/>
  <c r="L11" i="63"/>
  <c r="J11" i="63"/>
  <c r="P8" i="63"/>
  <c r="N8" i="63"/>
  <c r="L8" i="63"/>
  <c r="J8" i="63"/>
  <c r="G7" i="63"/>
  <c r="P21" i="62"/>
  <c r="N21" i="62"/>
  <c r="L21" i="62"/>
  <c r="J21" i="62"/>
  <c r="F17" i="62"/>
  <c r="E17" i="62"/>
  <c r="D17" i="62"/>
  <c r="C17" i="62"/>
  <c r="G17" i="62" s="1"/>
  <c r="P16" i="62"/>
  <c r="N16" i="62"/>
  <c r="L16" i="62"/>
  <c r="J16" i="62"/>
  <c r="G16" i="62"/>
  <c r="P11" i="62"/>
  <c r="N11" i="62"/>
  <c r="L11" i="62"/>
  <c r="J11" i="62"/>
  <c r="P8" i="62"/>
  <c r="N8" i="62"/>
  <c r="L8" i="62"/>
  <c r="J8" i="62"/>
  <c r="G7" i="62"/>
  <c r="P21" i="61"/>
  <c r="N21" i="61"/>
  <c r="L21" i="61"/>
  <c r="J21" i="61"/>
  <c r="F17" i="61"/>
  <c r="E17" i="61"/>
  <c r="D17" i="61"/>
  <c r="C17" i="61"/>
  <c r="G17" i="61" s="1"/>
  <c r="P16" i="61"/>
  <c r="N16" i="61"/>
  <c r="L16" i="61"/>
  <c r="J16" i="61"/>
  <c r="G16" i="61"/>
  <c r="P11" i="61"/>
  <c r="N11" i="61"/>
  <c r="L11" i="61"/>
  <c r="J11" i="61"/>
  <c r="P8" i="61"/>
  <c r="N8" i="61"/>
  <c r="L8" i="61"/>
  <c r="J8" i="61"/>
  <c r="G7" i="61"/>
  <c r="P21" i="59"/>
  <c r="N21" i="59"/>
  <c r="L21" i="59"/>
  <c r="J21" i="59"/>
  <c r="F17" i="59"/>
  <c r="E17" i="59"/>
  <c r="D17" i="59"/>
  <c r="C17" i="59"/>
  <c r="G17" i="59" s="1"/>
  <c r="P16" i="59"/>
  <c r="N16" i="59"/>
  <c r="L16" i="59"/>
  <c r="J16" i="59"/>
  <c r="G16" i="59"/>
  <c r="P11" i="59"/>
  <c r="N11" i="59"/>
  <c r="L11" i="59"/>
  <c r="J11" i="59"/>
  <c r="P8" i="59"/>
  <c r="N8" i="59"/>
  <c r="L8" i="59"/>
  <c r="J8" i="59"/>
  <c r="G7" i="59"/>
  <c r="P21" i="58"/>
  <c r="N21" i="58"/>
  <c r="L21" i="58"/>
  <c r="J21" i="58"/>
  <c r="F17" i="58"/>
  <c r="E17" i="58"/>
  <c r="D17" i="58"/>
  <c r="C17" i="58"/>
  <c r="G17" i="58" s="1"/>
  <c r="P16" i="58"/>
  <c r="N16" i="58"/>
  <c r="L16" i="58"/>
  <c r="J16" i="58"/>
  <c r="G16" i="58"/>
  <c r="P11" i="58"/>
  <c r="N11" i="58"/>
  <c r="L11" i="58"/>
  <c r="J11" i="58"/>
  <c r="P8" i="58"/>
  <c r="N8" i="58"/>
  <c r="L8" i="58"/>
  <c r="J8" i="58"/>
  <c r="G7" i="58"/>
  <c r="P21" i="57"/>
  <c r="N21" i="57"/>
  <c r="L21" i="57"/>
  <c r="J21" i="57"/>
  <c r="F17" i="57"/>
  <c r="E17" i="57"/>
  <c r="D17" i="57"/>
  <c r="C17" i="57"/>
  <c r="G17" i="57" s="1"/>
  <c r="P16" i="57"/>
  <c r="N16" i="57"/>
  <c r="L16" i="57"/>
  <c r="J16" i="57"/>
  <c r="G16" i="57"/>
  <c r="P11" i="57"/>
  <c r="N11" i="57"/>
  <c r="L11" i="57"/>
  <c r="J11" i="57"/>
  <c r="P8" i="57"/>
  <c r="N8" i="57"/>
  <c r="L8" i="57"/>
  <c r="J8" i="57"/>
  <c r="G7" i="57"/>
  <c r="P21" i="56"/>
  <c r="N21" i="56"/>
  <c r="L21" i="56"/>
  <c r="J21" i="56"/>
  <c r="F17" i="56"/>
  <c r="E17" i="56"/>
  <c r="D17" i="56"/>
  <c r="C17" i="56"/>
  <c r="G17" i="56" s="1"/>
  <c r="P16" i="56"/>
  <c r="N16" i="56"/>
  <c r="L16" i="56"/>
  <c r="J16" i="56"/>
  <c r="G16" i="56"/>
  <c r="P11" i="56"/>
  <c r="N11" i="56"/>
  <c r="L11" i="56"/>
  <c r="J11" i="56"/>
  <c r="P8" i="56"/>
  <c r="N8" i="56"/>
  <c r="L8" i="56"/>
  <c r="J8" i="56"/>
  <c r="G7" i="56"/>
  <c r="P21" i="55"/>
  <c r="N21" i="55"/>
  <c r="L21" i="55"/>
  <c r="J21" i="55"/>
  <c r="F17" i="55"/>
  <c r="E17" i="55"/>
  <c r="D17" i="55"/>
  <c r="C17" i="55"/>
  <c r="G17" i="55" s="1"/>
  <c r="P16" i="55"/>
  <c r="N16" i="55"/>
  <c r="L16" i="55"/>
  <c r="J16" i="55"/>
  <c r="G16" i="55"/>
  <c r="P11" i="55"/>
  <c r="N11" i="55"/>
  <c r="L11" i="55"/>
  <c r="J11" i="55"/>
  <c r="P8" i="55"/>
  <c r="N8" i="55"/>
  <c r="L8" i="55"/>
  <c r="J8" i="55"/>
  <c r="G7" i="55"/>
  <c r="P21" i="54"/>
  <c r="N21" i="54"/>
  <c r="L21" i="54"/>
  <c r="J21" i="54"/>
  <c r="F17" i="54"/>
  <c r="E17" i="54"/>
  <c r="D17" i="54"/>
  <c r="C17" i="54"/>
  <c r="G17" i="54" s="1"/>
  <c r="P16" i="54"/>
  <c r="N16" i="54"/>
  <c r="L16" i="54"/>
  <c r="J16" i="54"/>
  <c r="G16" i="54"/>
  <c r="P11" i="54"/>
  <c r="N11" i="54"/>
  <c r="L11" i="54"/>
  <c r="J11" i="54"/>
  <c r="P8" i="54"/>
  <c r="N8" i="54"/>
  <c r="L8" i="54"/>
  <c r="J8" i="54"/>
  <c r="G7" i="54"/>
  <c r="G17" i="76" l="1"/>
  <c r="P21" i="53" l="1"/>
  <c r="N21" i="53"/>
  <c r="L21" i="53"/>
  <c r="J21" i="53"/>
  <c r="F17" i="53"/>
  <c r="E17" i="53"/>
  <c r="D17" i="53"/>
  <c r="C17" i="53"/>
  <c r="G17" i="53" s="1"/>
  <c r="P16" i="53"/>
  <c r="N16" i="53"/>
  <c r="L16" i="53"/>
  <c r="J16" i="53"/>
  <c r="G16" i="53"/>
  <c r="P11" i="53"/>
  <c r="N11" i="53"/>
  <c r="L11" i="53"/>
  <c r="J11" i="53"/>
  <c r="P8" i="53"/>
  <c r="N8" i="53"/>
  <c r="L8" i="53"/>
  <c r="J8" i="53"/>
  <c r="G7" i="53"/>
  <c r="P21" i="50"/>
  <c r="N21" i="50"/>
  <c r="L21" i="50"/>
  <c r="J21" i="50"/>
  <c r="F17" i="50"/>
  <c r="E17" i="50"/>
  <c r="D17" i="50"/>
  <c r="C17" i="50"/>
  <c r="G17" i="50" s="1"/>
  <c r="P16" i="50"/>
  <c r="N16" i="50"/>
  <c r="L16" i="50"/>
  <c r="J16" i="50"/>
  <c r="G16" i="50"/>
  <c r="P11" i="50"/>
  <c r="N11" i="50"/>
  <c r="L11" i="50"/>
  <c r="J11" i="50"/>
  <c r="P8" i="50"/>
  <c r="N8" i="50"/>
  <c r="L8" i="50"/>
  <c r="J8" i="50"/>
  <c r="G7" i="50"/>
  <c r="P21" i="49"/>
  <c r="N21" i="49"/>
  <c r="L21" i="49"/>
  <c r="J21" i="49"/>
  <c r="F17" i="49"/>
  <c r="E17" i="49"/>
  <c r="D17" i="49"/>
  <c r="C17" i="49"/>
  <c r="G17" i="49" s="1"/>
  <c r="P16" i="49"/>
  <c r="N16" i="49"/>
  <c r="L16" i="49"/>
  <c r="J16" i="49"/>
  <c r="G16" i="49"/>
  <c r="P11" i="49"/>
  <c r="N11" i="49"/>
  <c r="L11" i="49"/>
  <c r="J11" i="49"/>
  <c r="P8" i="49"/>
  <c r="N8" i="49"/>
  <c r="L8" i="49"/>
  <c r="J8" i="49"/>
  <c r="G7" i="49"/>
  <c r="P21" i="47"/>
  <c r="N21" i="47"/>
  <c r="L21" i="47"/>
  <c r="J21" i="47"/>
  <c r="F17" i="47"/>
  <c r="E17" i="47"/>
  <c r="D17" i="47"/>
  <c r="C17" i="47"/>
  <c r="G17" i="47" s="1"/>
  <c r="P16" i="47"/>
  <c r="N16" i="47"/>
  <c r="L16" i="47"/>
  <c r="J16" i="47"/>
  <c r="G16" i="47"/>
  <c r="P11" i="47"/>
  <c r="N11" i="47"/>
  <c r="L11" i="47"/>
  <c r="J11" i="47"/>
  <c r="P8" i="47"/>
  <c r="N8" i="47"/>
  <c r="L8" i="47"/>
  <c r="J8" i="47"/>
  <c r="G7" i="47"/>
  <c r="P21" i="46"/>
  <c r="N21" i="46"/>
  <c r="L21" i="46"/>
  <c r="J21" i="46"/>
  <c r="F17" i="46"/>
  <c r="E17" i="46"/>
  <c r="D17" i="46"/>
  <c r="C17" i="46"/>
  <c r="G17" i="46" s="1"/>
  <c r="P16" i="46"/>
  <c r="N16" i="46"/>
  <c r="L16" i="46"/>
  <c r="J16" i="46"/>
  <c r="G16" i="46"/>
  <c r="P11" i="46"/>
  <c r="N11" i="46"/>
  <c r="L11" i="46"/>
  <c r="J11" i="46"/>
  <c r="P8" i="46"/>
  <c r="N8" i="46"/>
  <c r="L8" i="46"/>
  <c r="J8" i="46"/>
  <c r="G7" i="46"/>
  <c r="P21" i="44"/>
  <c r="N21" i="44"/>
  <c r="L21" i="44"/>
  <c r="J21" i="44"/>
  <c r="F17" i="44"/>
  <c r="E17" i="44"/>
  <c r="D17" i="44"/>
  <c r="C17" i="44"/>
  <c r="G17" i="44" s="1"/>
  <c r="P16" i="44"/>
  <c r="N16" i="44"/>
  <c r="L16" i="44"/>
  <c r="J16" i="44"/>
  <c r="G16" i="44"/>
  <c r="P11" i="44"/>
  <c r="N11" i="44"/>
  <c r="L11" i="44"/>
  <c r="J11" i="44"/>
  <c r="P8" i="44"/>
  <c r="N8" i="44"/>
  <c r="L8" i="44"/>
  <c r="J8" i="44"/>
  <c r="G7" i="44"/>
  <c r="P21" i="43"/>
  <c r="N21" i="43"/>
  <c r="L21" i="43"/>
  <c r="J21" i="43"/>
  <c r="F17" i="43"/>
  <c r="E17" i="43"/>
  <c r="D17" i="43"/>
  <c r="C17" i="43"/>
  <c r="G17" i="43" s="1"/>
  <c r="P16" i="43"/>
  <c r="N16" i="43"/>
  <c r="L16" i="43"/>
  <c r="J16" i="43"/>
  <c r="G16" i="43"/>
  <c r="P11" i="43"/>
  <c r="N11" i="43"/>
  <c r="L11" i="43"/>
  <c r="J11" i="43"/>
  <c r="P8" i="43"/>
  <c r="N8" i="43"/>
  <c r="L8" i="43"/>
  <c r="J8" i="43"/>
  <c r="G7" i="43"/>
  <c r="P21" i="42"/>
  <c r="N21" i="42"/>
  <c r="L21" i="42"/>
  <c r="J21" i="42"/>
  <c r="F17" i="42"/>
  <c r="E17" i="42"/>
  <c r="D17" i="42"/>
  <c r="C17" i="42"/>
  <c r="G17" i="42" s="1"/>
  <c r="P16" i="42"/>
  <c r="N16" i="42"/>
  <c r="L16" i="42"/>
  <c r="J16" i="42"/>
  <c r="G16" i="42"/>
  <c r="P11" i="42"/>
  <c r="N11" i="42"/>
  <c r="L11" i="42"/>
  <c r="J11" i="42"/>
  <c r="P8" i="42"/>
  <c r="N8" i="42"/>
  <c r="L8" i="42"/>
  <c r="J8" i="42"/>
  <c r="G7" i="42"/>
  <c r="P22" i="41"/>
  <c r="N22" i="41"/>
  <c r="L22" i="41"/>
  <c r="J22" i="41"/>
  <c r="F18" i="41"/>
  <c r="E18" i="41"/>
  <c r="D18" i="41"/>
  <c r="C18" i="41"/>
  <c r="G18" i="41" s="1"/>
  <c r="P17" i="41"/>
  <c r="N17" i="41"/>
  <c r="L17" i="41"/>
  <c r="J17" i="41"/>
  <c r="G17" i="41"/>
  <c r="P12" i="41"/>
  <c r="N12" i="41"/>
  <c r="L12" i="41"/>
  <c r="J12" i="41"/>
  <c r="P9" i="41"/>
  <c r="N9" i="41"/>
  <c r="L9" i="41"/>
  <c r="J9" i="41"/>
  <c r="G8" i="41"/>
  <c r="P22" i="40"/>
  <c r="N22" i="40"/>
  <c r="L22" i="40"/>
  <c r="J22" i="40"/>
  <c r="F18" i="40"/>
  <c r="E18" i="40"/>
  <c r="D18" i="40"/>
  <c r="C18" i="40"/>
  <c r="G18" i="40" s="1"/>
  <c r="P17" i="40"/>
  <c r="N17" i="40"/>
  <c r="L17" i="40"/>
  <c r="J17" i="40"/>
  <c r="G17" i="40"/>
  <c r="P12" i="40"/>
  <c r="N12" i="40"/>
  <c r="L12" i="40"/>
  <c r="J12" i="40"/>
  <c r="P9" i="40"/>
  <c r="N9" i="40"/>
  <c r="L9" i="40"/>
  <c r="J9" i="40"/>
  <c r="G8" i="40"/>
  <c r="P21" i="39"/>
  <c r="N21" i="39"/>
  <c r="L21" i="39"/>
  <c r="J21" i="39"/>
  <c r="F17" i="39"/>
  <c r="E17" i="39"/>
  <c r="D17" i="39"/>
  <c r="C17" i="39"/>
  <c r="G17" i="39" s="1"/>
  <c r="P16" i="39"/>
  <c r="N16" i="39"/>
  <c r="L16" i="39"/>
  <c r="J16" i="39"/>
  <c r="G16" i="39"/>
  <c r="P11" i="39"/>
  <c r="N11" i="39"/>
  <c r="L11" i="39"/>
  <c r="J11" i="39"/>
  <c r="P8" i="39"/>
  <c r="N8" i="39"/>
  <c r="L8" i="39"/>
  <c r="J8" i="39"/>
  <c r="G7" i="39"/>
  <c r="P21" i="38"/>
  <c r="N21" i="38"/>
  <c r="L21" i="38"/>
  <c r="J21" i="38"/>
  <c r="F17" i="38"/>
  <c r="E17" i="38"/>
  <c r="D17" i="38"/>
  <c r="C17" i="38"/>
  <c r="G17" i="38" s="1"/>
  <c r="P16" i="38"/>
  <c r="N16" i="38"/>
  <c r="L16" i="38"/>
  <c r="J16" i="38"/>
  <c r="G16" i="38"/>
  <c r="P11" i="38"/>
  <c r="N11" i="38"/>
  <c r="L11" i="38"/>
  <c r="J11" i="38"/>
  <c r="P8" i="38"/>
  <c r="N8" i="38"/>
  <c r="L8" i="38"/>
  <c r="J8" i="38"/>
  <c r="G7" i="38"/>
  <c r="P21" i="37"/>
  <c r="N21" i="37"/>
  <c r="L21" i="37"/>
  <c r="J21" i="37"/>
  <c r="F17" i="37"/>
  <c r="E17" i="37"/>
  <c r="D17" i="37"/>
  <c r="C17" i="37"/>
  <c r="G17" i="37" s="1"/>
  <c r="P16" i="37"/>
  <c r="N16" i="37"/>
  <c r="L16" i="37"/>
  <c r="J16" i="37"/>
  <c r="G16" i="37"/>
  <c r="P11" i="37"/>
  <c r="N11" i="37"/>
  <c r="L11" i="37"/>
  <c r="J11" i="37"/>
  <c r="P8" i="37"/>
  <c r="N8" i="37"/>
  <c r="L8" i="37"/>
  <c r="J8" i="37"/>
  <c r="G7" i="37"/>
  <c r="P21" i="35"/>
  <c r="N21" i="35"/>
  <c r="L21" i="35"/>
  <c r="J21" i="35"/>
  <c r="F17" i="35"/>
  <c r="E17" i="35"/>
  <c r="D17" i="35"/>
  <c r="C17" i="35"/>
  <c r="G17" i="35" s="1"/>
  <c r="P16" i="35"/>
  <c r="N16" i="35"/>
  <c r="L16" i="35"/>
  <c r="J16" i="35"/>
  <c r="G16" i="35"/>
  <c r="P11" i="35"/>
  <c r="N11" i="35"/>
  <c r="L11" i="35"/>
  <c r="J11" i="35"/>
  <c r="P8" i="35"/>
  <c r="N8" i="35"/>
  <c r="L8" i="35"/>
  <c r="J8" i="35"/>
  <c r="G7" i="35"/>
  <c r="P21" i="33"/>
  <c r="N21" i="33"/>
  <c r="L21" i="33"/>
  <c r="J21" i="33"/>
  <c r="F17" i="33"/>
  <c r="E17" i="33"/>
  <c r="D17" i="33"/>
  <c r="C17" i="33"/>
  <c r="G17" i="33" s="1"/>
  <c r="P16" i="33"/>
  <c r="N16" i="33"/>
  <c r="L16" i="33"/>
  <c r="J16" i="33"/>
  <c r="G16" i="33"/>
  <c r="P11" i="33"/>
  <c r="N11" i="33"/>
  <c r="L11" i="33"/>
  <c r="J11" i="33"/>
  <c r="P8" i="33"/>
  <c r="N8" i="33"/>
  <c r="L8" i="33"/>
  <c r="J8" i="33"/>
  <c r="G7" i="33"/>
  <c r="P23" i="32"/>
  <c r="N23" i="32"/>
  <c r="L23" i="32"/>
  <c r="J23" i="32"/>
  <c r="F19" i="32"/>
  <c r="E19" i="32"/>
  <c r="D19" i="32"/>
  <c r="C19" i="32"/>
  <c r="G19" i="32" s="1"/>
  <c r="P18" i="32"/>
  <c r="N18" i="32"/>
  <c r="L18" i="32"/>
  <c r="J18" i="32"/>
  <c r="G18" i="32"/>
  <c r="P13" i="32"/>
  <c r="N13" i="32"/>
  <c r="L13" i="32"/>
  <c r="J13" i="32"/>
  <c r="P10" i="32"/>
  <c r="N10" i="32"/>
  <c r="L10" i="32"/>
  <c r="J10" i="32"/>
  <c r="G9" i="32"/>
  <c r="P21" i="31"/>
  <c r="N21" i="31"/>
  <c r="L21" i="31"/>
  <c r="J21" i="31"/>
  <c r="F17" i="31"/>
  <c r="E17" i="31"/>
  <c r="D17" i="31"/>
  <c r="C17" i="31"/>
  <c r="G17" i="31" s="1"/>
  <c r="P16" i="31"/>
  <c r="N16" i="31"/>
  <c r="L16" i="31"/>
  <c r="J16" i="31"/>
  <c r="G16" i="31"/>
  <c r="P11" i="31"/>
  <c r="N11" i="31"/>
  <c r="L11" i="31"/>
  <c r="J11" i="31"/>
  <c r="P8" i="31"/>
  <c r="N8" i="31"/>
  <c r="L8" i="31"/>
  <c r="J8" i="31"/>
  <c r="G7" i="31"/>
  <c r="P21" i="30"/>
  <c r="N21" i="30"/>
  <c r="L21" i="30"/>
  <c r="J21" i="30"/>
  <c r="F17" i="30"/>
  <c r="E17" i="30"/>
  <c r="D17" i="30"/>
  <c r="C17" i="30"/>
  <c r="G17" i="30" s="1"/>
  <c r="P16" i="30"/>
  <c r="N16" i="30"/>
  <c r="L16" i="30"/>
  <c r="J16" i="30"/>
  <c r="G16" i="30"/>
  <c r="P11" i="30"/>
  <c r="N11" i="30"/>
  <c r="L11" i="30"/>
  <c r="J11" i="30"/>
  <c r="P8" i="30"/>
  <c r="N8" i="30"/>
  <c r="L8" i="30"/>
  <c r="J8" i="30"/>
  <c r="G7" i="30"/>
  <c r="P21" i="28"/>
  <c r="N21" i="28"/>
  <c r="L21" i="28"/>
  <c r="J21" i="28"/>
  <c r="F17" i="28"/>
  <c r="E17" i="28"/>
  <c r="D17" i="28"/>
  <c r="C17" i="28"/>
  <c r="G17" i="28" s="1"/>
  <c r="P16" i="28"/>
  <c r="N16" i="28"/>
  <c r="L16" i="28"/>
  <c r="J16" i="28"/>
  <c r="G16" i="28"/>
  <c r="P11" i="28"/>
  <c r="N11" i="28"/>
  <c r="L11" i="28"/>
  <c r="J11" i="28"/>
  <c r="P8" i="28"/>
  <c r="N8" i="28"/>
  <c r="L8" i="28"/>
  <c r="J8" i="28"/>
  <c r="G7" i="28"/>
  <c r="P21" i="27"/>
  <c r="N21" i="27"/>
  <c r="L21" i="27"/>
  <c r="J21" i="27"/>
  <c r="F17" i="27"/>
  <c r="E17" i="27"/>
  <c r="D17" i="27"/>
  <c r="C17" i="27"/>
  <c r="G17" i="27" s="1"/>
  <c r="P16" i="27"/>
  <c r="N16" i="27"/>
  <c r="L16" i="27"/>
  <c r="J16" i="27"/>
  <c r="G16" i="27"/>
  <c r="P11" i="27"/>
  <c r="N11" i="27"/>
  <c r="L11" i="27"/>
  <c r="J11" i="27"/>
  <c r="P8" i="27"/>
  <c r="N8" i="27"/>
  <c r="L8" i="27"/>
  <c r="J8" i="27"/>
  <c r="G7" i="27"/>
  <c r="P21" i="26"/>
  <c r="N21" i="26"/>
  <c r="L21" i="26"/>
  <c r="J21" i="26"/>
  <c r="F17" i="26"/>
  <c r="E17" i="26"/>
  <c r="D17" i="26"/>
  <c r="C17" i="26"/>
  <c r="G17" i="26" s="1"/>
  <c r="P16" i="26"/>
  <c r="N16" i="26"/>
  <c r="L16" i="26"/>
  <c r="J16" i="26"/>
  <c r="G16" i="26"/>
  <c r="P11" i="26"/>
  <c r="N11" i="26"/>
  <c r="L11" i="26"/>
  <c r="J11" i="26"/>
  <c r="P8" i="26"/>
  <c r="N8" i="26"/>
  <c r="L8" i="26"/>
  <c r="J8" i="26"/>
  <c r="G7" i="26"/>
  <c r="P21" i="25"/>
  <c r="N21" i="25"/>
  <c r="L21" i="25"/>
  <c r="J21" i="25"/>
  <c r="F17" i="25"/>
  <c r="E17" i="25"/>
  <c r="D17" i="25"/>
  <c r="C17" i="25"/>
  <c r="G17" i="25" s="1"/>
  <c r="P16" i="25"/>
  <c r="N16" i="25"/>
  <c r="L16" i="25"/>
  <c r="J16" i="25"/>
  <c r="G16" i="25"/>
  <c r="P11" i="25"/>
  <c r="N11" i="25"/>
  <c r="L11" i="25"/>
  <c r="J11" i="25"/>
  <c r="P8" i="25"/>
  <c r="N8" i="25"/>
  <c r="L8" i="25"/>
  <c r="J8" i="25"/>
  <c r="G7" i="25"/>
  <c r="P21" i="23"/>
  <c r="N21" i="23"/>
  <c r="L21" i="23"/>
  <c r="J21" i="23"/>
  <c r="F17" i="23"/>
  <c r="E17" i="23"/>
  <c r="D17" i="23"/>
  <c r="C17" i="23"/>
  <c r="G17" i="23" s="1"/>
  <c r="P16" i="23"/>
  <c r="N16" i="23"/>
  <c r="L16" i="23"/>
  <c r="J16" i="23"/>
  <c r="G16" i="23"/>
  <c r="P11" i="23"/>
  <c r="N11" i="23"/>
  <c r="L11" i="23"/>
  <c r="J11" i="23"/>
  <c r="P8" i="23"/>
  <c r="N8" i="23"/>
  <c r="L8" i="23"/>
  <c r="J8" i="23"/>
  <c r="G7" i="23"/>
  <c r="P21" i="22"/>
  <c r="N21" i="22"/>
  <c r="L21" i="22"/>
  <c r="J21" i="22"/>
  <c r="G17" i="22"/>
  <c r="F17" i="22"/>
  <c r="E17" i="22"/>
  <c r="D17" i="22"/>
  <c r="C17" i="22"/>
  <c r="P16" i="22"/>
  <c r="N16" i="22"/>
  <c r="L16" i="22"/>
  <c r="J16" i="22"/>
  <c r="G16" i="22"/>
  <c r="P11" i="22"/>
  <c r="N11" i="22"/>
  <c r="L11" i="22"/>
  <c r="J11" i="22"/>
  <c r="P8" i="22"/>
  <c r="N8" i="22"/>
  <c r="L8" i="22"/>
  <c r="J8" i="22"/>
  <c r="G7" i="22"/>
  <c r="P23" i="20"/>
  <c r="N23" i="20"/>
  <c r="L23" i="20"/>
  <c r="J23" i="20"/>
  <c r="F19" i="20"/>
  <c r="E19" i="20"/>
  <c r="D19" i="20"/>
  <c r="C19" i="20"/>
  <c r="G19" i="20" s="1"/>
  <c r="P18" i="20"/>
  <c r="N18" i="20"/>
  <c r="L18" i="20"/>
  <c r="J18" i="20"/>
  <c r="G18" i="20"/>
  <c r="P13" i="20"/>
  <c r="N13" i="20"/>
  <c r="L13" i="20"/>
  <c r="J13" i="20"/>
  <c r="P10" i="20"/>
  <c r="N10" i="20"/>
  <c r="L10" i="20"/>
  <c r="J10" i="20"/>
  <c r="G9" i="20"/>
  <c r="P21" i="19"/>
  <c r="N21" i="19"/>
  <c r="L21" i="19"/>
  <c r="J21" i="19"/>
  <c r="F17" i="19"/>
  <c r="E17" i="19"/>
  <c r="D17" i="19"/>
  <c r="C17" i="19"/>
  <c r="G17" i="19" s="1"/>
  <c r="P16" i="19"/>
  <c r="N16" i="19"/>
  <c r="L16" i="19"/>
  <c r="J16" i="19"/>
  <c r="G16" i="19"/>
  <c r="P11" i="19"/>
  <c r="N11" i="19"/>
  <c r="L11" i="19"/>
  <c r="J11" i="19"/>
  <c r="P8" i="19"/>
  <c r="N8" i="19"/>
  <c r="L8" i="19"/>
  <c r="J8" i="19"/>
  <c r="G7" i="19"/>
  <c r="P21" i="18"/>
  <c r="N21" i="18"/>
  <c r="L21" i="18"/>
  <c r="J21" i="18"/>
  <c r="F17" i="18"/>
  <c r="E17" i="18"/>
  <c r="D17" i="18"/>
  <c r="C17" i="18"/>
  <c r="G17" i="18" s="1"/>
  <c r="P16" i="18"/>
  <c r="N16" i="18"/>
  <c r="L16" i="18"/>
  <c r="J16" i="18"/>
  <c r="G16" i="18"/>
  <c r="P11" i="18"/>
  <c r="N11" i="18"/>
  <c r="L11" i="18"/>
  <c r="J11" i="18"/>
  <c r="P8" i="18"/>
  <c r="N8" i="18"/>
  <c r="L8" i="18"/>
  <c r="J8" i="18"/>
  <c r="G7" i="18"/>
  <c r="P21" i="17"/>
  <c r="N21" i="17"/>
  <c r="L21" i="17"/>
  <c r="J21" i="17"/>
  <c r="F17" i="17"/>
  <c r="E17" i="17"/>
  <c r="D17" i="17"/>
  <c r="C17" i="17"/>
  <c r="G17" i="17" s="1"/>
  <c r="P16" i="17"/>
  <c r="N16" i="17"/>
  <c r="L16" i="17"/>
  <c r="J16" i="17"/>
  <c r="G16" i="17"/>
  <c r="P11" i="17"/>
  <c r="N11" i="17"/>
  <c r="L11" i="17"/>
  <c r="J11" i="17"/>
  <c r="P8" i="17"/>
  <c r="N8" i="17"/>
  <c r="L8" i="17"/>
  <c r="J8" i="17"/>
  <c r="G7" i="17"/>
  <c r="P21" i="16"/>
  <c r="N21" i="16"/>
  <c r="L21" i="16"/>
  <c r="J21" i="16"/>
  <c r="F17" i="16"/>
  <c r="E17" i="16"/>
  <c r="D17" i="16"/>
  <c r="C17" i="16"/>
  <c r="G17" i="16" s="1"/>
  <c r="P16" i="16"/>
  <c r="N16" i="16"/>
  <c r="L16" i="16"/>
  <c r="J16" i="16"/>
  <c r="G16" i="16"/>
  <c r="P11" i="16"/>
  <c r="N11" i="16"/>
  <c r="L11" i="16"/>
  <c r="J11" i="16"/>
  <c r="P8" i="16"/>
  <c r="N8" i="16"/>
  <c r="L8" i="16"/>
  <c r="J8" i="16"/>
  <c r="G7" i="16"/>
  <c r="P21" i="15"/>
  <c r="N21" i="15"/>
  <c r="L21" i="15"/>
  <c r="J21" i="15"/>
  <c r="F17" i="15"/>
  <c r="E17" i="15"/>
  <c r="D17" i="15"/>
  <c r="C17" i="15"/>
  <c r="G17" i="15" s="1"/>
  <c r="P16" i="15"/>
  <c r="N16" i="15"/>
  <c r="L16" i="15"/>
  <c r="J16" i="15"/>
  <c r="G16" i="15"/>
  <c r="P11" i="15"/>
  <c r="N11" i="15"/>
  <c r="L11" i="15"/>
  <c r="J11" i="15"/>
  <c r="P8" i="15"/>
  <c r="N8" i="15"/>
  <c r="L8" i="15"/>
  <c r="J8" i="15"/>
  <c r="G7" i="15"/>
  <c r="P21" i="14"/>
  <c r="N21" i="14"/>
  <c r="L21" i="14"/>
  <c r="J21" i="14"/>
  <c r="F17" i="14"/>
  <c r="E17" i="14"/>
  <c r="D17" i="14"/>
  <c r="C17" i="14"/>
  <c r="G17" i="14" s="1"/>
  <c r="P16" i="14"/>
  <c r="N16" i="14"/>
  <c r="L16" i="14"/>
  <c r="J16" i="14"/>
  <c r="G16" i="14"/>
  <c r="P11" i="14"/>
  <c r="N11" i="14"/>
  <c r="L11" i="14"/>
  <c r="J11" i="14"/>
  <c r="P8" i="14"/>
  <c r="N8" i="14"/>
  <c r="L8" i="14"/>
  <c r="J8" i="14"/>
  <c r="G7" i="14"/>
  <c r="P21" i="12"/>
  <c r="N21" i="12"/>
  <c r="L21" i="12"/>
  <c r="J21" i="12"/>
  <c r="F17" i="12"/>
  <c r="E17" i="12"/>
  <c r="D17" i="12"/>
  <c r="C17" i="12"/>
  <c r="G17" i="12" s="1"/>
  <c r="P16" i="12"/>
  <c r="N16" i="12"/>
  <c r="L16" i="12"/>
  <c r="J16" i="12"/>
  <c r="G16" i="12"/>
  <c r="P11" i="12"/>
  <c r="N11" i="12"/>
  <c r="L11" i="12"/>
  <c r="J11" i="12"/>
  <c r="P8" i="12"/>
  <c r="N8" i="12"/>
  <c r="L8" i="12"/>
  <c r="J8" i="12"/>
  <c r="G7" i="12"/>
  <c r="P21" i="11"/>
  <c r="N21" i="11"/>
  <c r="L21" i="11"/>
  <c r="J21" i="11"/>
  <c r="F17" i="11"/>
  <c r="E17" i="11"/>
  <c r="D17" i="11"/>
  <c r="C17" i="11"/>
  <c r="G17" i="11" s="1"/>
  <c r="P16" i="11"/>
  <c r="N16" i="11"/>
  <c r="L16" i="11"/>
  <c r="J16" i="11"/>
  <c r="G16" i="11"/>
  <c r="P11" i="11"/>
  <c r="N11" i="11"/>
  <c r="L11" i="11"/>
  <c r="J11" i="11"/>
  <c r="P8" i="11"/>
  <c r="N8" i="11"/>
  <c r="L8" i="11"/>
  <c r="J8" i="11"/>
  <c r="G7" i="11"/>
  <c r="P21" i="10"/>
  <c r="N21" i="10"/>
  <c r="L21" i="10"/>
  <c r="J21" i="10"/>
  <c r="F17" i="10"/>
  <c r="E17" i="10"/>
  <c r="D17" i="10"/>
  <c r="C17" i="10"/>
  <c r="G17" i="10" s="1"/>
  <c r="P16" i="10"/>
  <c r="N16" i="10"/>
  <c r="L16" i="10"/>
  <c r="J16" i="10"/>
  <c r="G16" i="10"/>
  <c r="P11" i="10"/>
  <c r="N11" i="10"/>
  <c r="L11" i="10"/>
  <c r="J11" i="10"/>
  <c r="P8" i="10"/>
  <c r="N8" i="10"/>
  <c r="L8" i="10"/>
  <c r="J8" i="10"/>
  <c r="G7" i="10"/>
  <c r="P21" i="9"/>
  <c r="N21" i="9"/>
  <c r="L21" i="9"/>
  <c r="J21" i="9"/>
  <c r="F17" i="9"/>
  <c r="E17" i="9"/>
  <c r="D17" i="9"/>
  <c r="C17" i="9"/>
  <c r="G17" i="9" s="1"/>
  <c r="P16" i="9"/>
  <c r="N16" i="9"/>
  <c r="L16" i="9"/>
  <c r="J16" i="9"/>
  <c r="G16" i="9"/>
  <c r="P11" i="9"/>
  <c r="N11" i="9"/>
  <c r="L11" i="9"/>
  <c r="J11" i="9"/>
  <c r="P8" i="9"/>
  <c r="N8" i="9"/>
  <c r="L8" i="9"/>
  <c r="J8" i="9"/>
  <c r="G7" i="9"/>
  <c r="P21" i="7"/>
  <c r="N21" i="7"/>
  <c r="L21" i="7"/>
  <c r="J21" i="7"/>
  <c r="F17" i="7"/>
  <c r="E17" i="7"/>
  <c r="D17" i="7"/>
  <c r="C17" i="7"/>
  <c r="G17" i="7" s="1"/>
  <c r="P16" i="7"/>
  <c r="N16" i="7"/>
  <c r="L16" i="7"/>
  <c r="J16" i="7"/>
  <c r="G16" i="7"/>
  <c r="P11" i="7"/>
  <c r="N11" i="7"/>
  <c r="L11" i="7"/>
  <c r="J11" i="7"/>
  <c r="P8" i="7"/>
  <c r="N8" i="7"/>
  <c r="L8" i="7"/>
  <c r="J8" i="7"/>
  <c r="G7" i="7"/>
  <c r="P22" i="6"/>
  <c r="N22" i="6"/>
  <c r="L22" i="6"/>
  <c r="J22" i="6"/>
  <c r="F18" i="6"/>
  <c r="E18" i="6"/>
  <c r="D18" i="6"/>
  <c r="C18" i="6"/>
  <c r="G18" i="6" s="1"/>
  <c r="P17" i="6"/>
  <c r="N17" i="6"/>
  <c r="L17" i="6"/>
  <c r="J17" i="6"/>
  <c r="G17" i="6"/>
  <c r="P12" i="6"/>
  <c r="N12" i="6"/>
  <c r="L12" i="6"/>
  <c r="J12" i="6"/>
  <c r="P9" i="6"/>
  <c r="N9" i="6"/>
  <c r="L9" i="6"/>
  <c r="J9" i="6"/>
  <c r="G8" i="6"/>
  <c r="P21" i="5"/>
  <c r="N21" i="5"/>
  <c r="L21" i="5"/>
  <c r="J21" i="5"/>
  <c r="F17" i="5"/>
  <c r="E17" i="5"/>
  <c r="D17" i="5"/>
  <c r="C17" i="5"/>
  <c r="G17" i="5" s="1"/>
  <c r="P16" i="5"/>
  <c r="N16" i="5"/>
  <c r="L16" i="5"/>
  <c r="J16" i="5"/>
  <c r="G16" i="5"/>
  <c r="P11" i="5"/>
  <c r="N11" i="5"/>
  <c r="L11" i="5"/>
  <c r="J11" i="5"/>
  <c r="P8" i="5"/>
  <c r="N8" i="5"/>
  <c r="L8" i="5"/>
  <c r="J8" i="5"/>
  <c r="G7" i="5"/>
  <c r="P21" i="4"/>
  <c r="N21" i="4"/>
  <c r="L21" i="4"/>
  <c r="J21" i="4"/>
  <c r="F17" i="4"/>
  <c r="E17" i="4"/>
  <c r="D17" i="4"/>
  <c r="C17" i="4"/>
  <c r="G17" i="4" s="1"/>
  <c r="P16" i="4"/>
  <c r="N16" i="4"/>
  <c r="L16" i="4"/>
  <c r="J16" i="4"/>
  <c r="G16" i="4"/>
  <c r="P11" i="4"/>
  <c r="N11" i="4"/>
  <c r="L11" i="4"/>
  <c r="J11" i="4"/>
  <c r="P8" i="4"/>
  <c r="N8" i="4"/>
  <c r="L8" i="4"/>
  <c r="J8" i="4"/>
  <c r="G7" i="4"/>
  <c r="P21" i="3"/>
  <c r="N21" i="3"/>
  <c r="L21" i="3"/>
  <c r="J21" i="3"/>
  <c r="F17" i="3"/>
  <c r="E17" i="3"/>
  <c r="D17" i="3"/>
  <c r="C17" i="3"/>
  <c r="G17" i="3" s="1"/>
  <c r="P16" i="3"/>
  <c r="N16" i="3"/>
  <c r="L16" i="3"/>
  <c r="J16" i="3"/>
  <c r="G16" i="3"/>
  <c r="P11" i="3"/>
  <c r="N11" i="3"/>
  <c r="L11" i="3"/>
  <c r="J11" i="3"/>
  <c r="P8" i="3"/>
  <c r="N8" i="3"/>
  <c r="L8" i="3"/>
  <c r="J8" i="3"/>
  <c r="G7" i="3"/>
  <c r="P21" i="2"/>
  <c r="N21" i="2"/>
  <c r="L21" i="2"/>
  <c r="J21" i="2"/>
  <c r="F17" i="2"/>
  <c r="E17" i="2"/>
  <c r="D17" i="2"/>
  <c r="C17" i="2"/>
  <c r="G17" i="2" s="1"/>
  <c r="P16" i="2"/>
  <c r="N16" i="2"/>
  <c r="L16" i="2"/>
  <c r="J16" i="2"/>
  <c r="G16" i="2"/>
  <c r="P11" i="2"/>
  <c r="N11" i="2"/>
  <c r="L11" i="2"/>
  <c r="J11" i="2"/>
  <c r="P8" i="2"/>
  <c r="N8" i="2"/>
  <c r="L8" i="2"/>
  <c r="J8" i="2"/>
  <c r="G7" i="2"/>
  <c r="D28" i="36" l="1"/>
  <c r="F28" i="36"/>
  <c r="J43" i="34"/>
  <c r="E28" i="34" l="1"/>
  <c r="F17" i="29"/>
  <c r="E17" i="29"/>
  <c r="D17" i="29"/>
  <c r="C17" i="29"/>
  <c r="F17" i="21" l="1"/>
  <c r="E17" i="21"/>
  <c r="D17" i="21"/>
  <c r="C17" i="21"/>
  <c r="N36" i="21"/>
  <c r="L36" i="21"/>
  <c r="J31" i="21"/>
  <c r="J36" i="21"/>
  <c r="J42" i="13"/>
  <c r="J35" i="13"/>
  <c r="J16" i="13"/>
  <c r="J11" i="13"/>
  <c r="J8" i="13"/>
  <c r="F17" i="8"/>
  <c r="E17" i="8"/>
  <c r="D17" i="8"/>
  <c r="C17" i="8"/>
  <c r="G17" i="8" s="1"/>
  <c r="P16" i="8"/>
  <c r="G16" i="8"/>
  <c r="P11" i="8"/>
  <c r="P8" i="8"/>
  <c r="G7" i="8"/>
  <c r="J35" i="122" l="1"/>
  <c r="J28" i="122"/>
  <c r="N8" i="122"/>
  <c r="J21" i="122"/>
  <c r="J16" i="122"/>
  <c r="J11" i="122"/>
  <c r="J8" i="122"/>
  <c r="J38" i="101" l="1"/>
  <c r="J37" i="98"/>
  <c r="C17" i="89"/>
  <c r="D17" i="89"/>
  <c r="L37" i="89"/>
  <c r="J37" i="89"/>
  <c r="J8" i="89"/>
  <c r="L8" i="89"/>
  <c r="L23" i="89"/>
  <c r="J23" i="89"/>
  <c r="L30" i="89"/>
  <c r="J30" i="89"/>
  <c r="F17" i="86"/>
  <c r="E17" i="86"/>
  <c r="D17" i="86"/>
  <c r="C17" i="86"/>
  <c r="J35" i="86"/>
  <c r="J11" i="86" l="1"/>
  <c r="F27" i="86"/>
  <c r="D27" i="80"/>
  <c r="N36" i="80"/>
  <c r="J36" i="80"/>
  <c r="N31" i="80"/>
  <c r="L31" i="80"/>
  <c r="J31" i="80"/>
  <c r="J42" i="79"/>
  <c r="J35" i="79"/>
  <c r="J28" i="79"/>
  <c r="J21" i="79"/>
  <c r="J16" i="79"/>
  <c r="E27" i="79"/>
  <c r="J8" i="79"/>
  <c r="J8" i="78"/>
  <c r="J42" i="78" l="1"/>
  <c r="J35" i="78"/>
  <c r="J28" i="78"/>
  <c r="J21" i="78"/>
  <c r="J16" i="78"/>
  <c r="J11" i="78"/>
  <c r="F27" i="78"/>
  <c r="F17" i="77"/>
  <c r="E17" i="77"/>
  <c r="D17" i="77"/>
  <c r="C17" i="77"/>
  <c r="J35" i="77"/>
  <c r="J28" i="77"/>
  <c r="E27" i="77"/>
  <c r="F27" i="77"/>
  <c r="J16" i="77"/>
  <c r="J11" i="77"/>
  <c r="P8" i="77"/>
  <c r="L8" i="77"/>
  <c r="J8" i="77"/>
  <c r="E28" i="73"/>
  <c r="C28" i="73"/>
  <c r="L29" i="73"/>
  <c r="L22" i="73"/>
  <c r="J17" i="73"/>
  <c r="L12" i="73"/>
  <c r="J12" i="73"/>
  <c r="N9" i="73"/>
  <c r="L9" i="73"/>
  <c r="J9" i="73"/>
  <c r="E17" i="68"/>
  <c r="D17" i="68"/>
  <c r="C17" i="68"/>
  <c r="C27" i="68"/>
  <c r="F17" i="60" l="1"/>
  <c r="E17" i="60"/>
  <c r="D17" i="60"/>
  <c r="C17" i="60"/>
  <c r="N42" i="60"/>
  <c r="J42" i="60"/>
  <c r="D27" i="60" l="1"/>
  <c r="J43" i="52" l="1"/>
  <c r="J36" i="52"/>
  <c r="J29" i="52"/>
  <c r="J22" i="52"/>
  <c r="J17" i="52"/>
  <c r="J12" i="52"/>
  <c r="J9" i="52"/>
  <c r="F27" i="51"/>
  <c r="J43" i="45"/>
  <c r="J36" i="45"/>
  <c r="J29" i="45"/>
  <c r="J22" i="45"/>
  <c r="J17" i="45"/>
  <c r="J12" i="45"/>
  <c r="J9" i="45"/>
  <c r="P12" i="48"/>
  <c r="J9" i="48"/>
  <c r="J12" i="48"/>
  <c r="J17" i="48"/>
  <c r="N22" i="48"/>
  <c r="L22" i="48"/>
  <c r="J22" i="48"/>
  <c r="J29" i="48"/>
  <c r="N29" i="48"/>
  <c r="L29" i="48"/>
  <c r="L35" i="51" l="1"/>
  <c r="J35" i="51"/>
  <c r="L30" i="98"/>
  <c r="J30" i="98"/>
  <c r="L37" i="98"/>
  <c r="N35" i="60"/>
  <c r="J35" i="60"/>
  <c r="N28" i="60"/>
  <c r="J28" i="60"/>
  <c r="N21" i="60"/>
  <c r="J21" i="60"/>
  <c r="N16" i="60"/>
  <c r="J16" i="60"/>
  <c r="N11" i="60"/>
  <c r="J11" i="60"/>
  <c r="L8" i="60" l="1"/>
  <c r="J8" i="60"/>
  <c r="N26" i="80"/>
  <c r="L26" i="80"/>
  <c r="J26" i="80"/>
  <c r="D27" i="68"/>
  <c r="N30" i="68"/>
  <c r="F27" i="21" l="1"/>
  <c r="P31" i="21" l="1"/>
  <c r="N31" i="21"/>
  <c r="G17" i="77" l="1"/>
  <c r="G16" i="77"/>
  <c r="G7" i="77"/>
  <c r="F18" i="64"/>
  <c r="E18" i="64"/>
  <c r="D18" i="64"/>
  <c r="C18" i="64"/>
  <c r="G17" i="64"/>
  <c r="G8" i="64"/>
  <c r="G7" i="78"/>
  <c r="G16" i="78"/>
  <c r="G17" i="78"/>
  <c r="G17" i="86"/>
  <c r="G16" i="86"/>
  <c r="P8" i="86"/>
  <c r="G7" i="86"/>
  <c r="G18" i="64" l="1"/>
  <c r="G17" i="13"/>
  <c r="G16" i="13"/>
  <c r="G7" i="13"/>
  <c r="F18" i="45"/>
  <c r="E18" i="45"/>
  <c r="D18" i="45"/>
  <c r="C18" i="45"/>
  <c r="G17" i="45"/>
  <c r="G8" i="45"/>
  <c r="F18" i="36"/>
  <c r="E18" i="36"/>
  <c r="D18" i="36"/>
  <c r="C18" i="36"/>
  <c r="G17" i="36"/>
  <c r="G8" i="36"/>
  <c r="L23" i="98"/>
  <c r="J23" i="98"/>
  <c r="F19" i="98"/>
  <c r="E19" i="98"/>
  <c r="D19" i="98"/>
  <c r="C19" i="98"/>
  <c r="L18" i="98"/>
  <c r="J18" i="98"/>
  <c r="G18" i="98"/>
  <c r="L13" i="98"/>
  <c r="J13" i="98"/>
  <c r="L10" i="98"/>
  <c r="J10" i="98"/>
  <c r="G9" i="98"/>
  <c r="F18" i="52"/>
  <c r="E18" i="52"/>
  <c r="D18" i="52"/>
  <c r="C18" i="52"/>
  <c r="G17" i="52"/>
  <c r="G8" i="52"/>
  <c r="P22" i="48"/>
  <c r="F18" i="48"/>
  <c r="E18" i="48"/>
  <c r="D18" i="48"/>
  <c r="C18" i="48"/>
  <c r="P17" i="48"/>
  <c r="N17" i="48"/>
  <c r="G17" i="48"/>
  <c r="N12" i="48"/>
  <c r="G8" i="48"/>
  <c r="F18" i="73"/>
  <c r="E18" i="73"/>
  <c r="D18" i="73"/>
  <c r="C18" i="73"/>
  <c r="G18" i="73" s="1"/>
  <c r="G17" i="73"/>
  <c r="G8" i="73"/>
  <c r="G18" i="52" l="1"/>
  <c r="G18" i="36"/>
  <c r="G18" i="48"/>
  <c r="G18" i="45"/>
  <c r="G19" i="98"/>
  <c r="P26" i="21"/>
  <c r="N26" i="21"/>
  <c r="L26" i="21"/>
  <c r="N26" i="68"/>
  <c r="L26" i="68"/>
  <c r="J26" i="68"/>
  <c r="J26" i="21"/>
  <c r="J18" i="89"/>
  <c r="G17" i="122" l="1"/>
  <c r="G16" i="122"/>
  <c r="G7" i="122"/>
  <c r="G16" i="109" l="1"/>
  <c r="G7" i="109"/>
  <c r="P16" i="101"/>
  <c r="N16" i="101"/>
  <c r="L16" i="101"/>
  <c r="J16" i="101"/>
  <c r="G16" i="101"/>
  <c r="P11" i="101"/>
  <c r="N11" i="101"/>
  <c r="L11" i="101"/>
  <c r="J11" i="101"/>
  <c r="P8" i="101"/>
  <c r="N8" i="101"/>
  <c r="L8" i="101"/>
  <c r="J8" i="101"/>
  <c r="G7" i="101"/>
  <c r="L18" i="89"/>
  <c r="G16" i="89"/>
  <c r="L13" i="89"/>
  <c r="J13" i="89"/>
  <c r="L10" i="89"/>
  <c r="J10" i="89"/>
  <c r="G7" i="89"/>
  <c r="N21" i="80"/>
  <c r="L21" i="80"/>
  <c r="J21" i="80"/>
  <c r="N16" i="80"/>
  <c r="L16" i="80"/>
  <c r="J16" i="80"/>
  <c r="G16" i="80"/>
  <c r="N11" i="80"/>
  <c r="L11" i="80"/>
  <c r="J11" i="80"/>
  <c r="N8" i="80"/>
  <c r="L8" i="80"/>
  <c r="J8" i="80"/>
  <c r="G7" i="80"/>
  <c r="G17" i="79"/>
  <c r="G16" i="79"/>
  <c r="G7" i="79"/>
  <c r="N21" i="68"/>
  <c r="L21" i="68"/>
  <c r="J21" i="68"/>
  <c r="N16" i="68"/>
  <c r="L16" i="68"/>
  <c r="J16" i="68"/>
  <c r="G16" i="68"/>
  <c r="N11" i="68"/>
  <c r="L11" i="68"/>
  <c r="J11" i="68"/>
  <c r="N8" i="68"/>
  <c r="L8" i="68"/>
  <c r="J8" i="68"/>
  <c r="G7" i="68"/>
  <c r="G16" i="60"/>
  <c r="G7" i="60"/>
  <c r="G17" i="51"/>
  <c r="G16" i="51"/>
  <c r="G7" i="51"/>
  <c r="F18" i="34"/>
  <c r="E18" i="34"/>
  <c r="D18" i="34"/>
  <c r="C18" i="34"/>
  <c r="G17" i="34"/>
  <c r="G8" i="34"/>
  <c r="N21" i="29"/>
  <c r="L21" i="29"/>
  <c r="J21" i="29"/>
  <c r="P16" i="29"/>
  <c r="N16" i="29"/>
  <c r="L16" i="29"/>
  <c r="J16" i="29"/>
  <c r="G16" i="29"/>
  <c r="P11" i="29"/>
  <c r="N11" i="29"/>
  <c r="L11" i="29"/>
  <c r="J11" i="29"/>
  <c r="P8" i="29"/>
  <c r="N8" i="29"/>
  <c r="L8" i="29"/>
  <c r="J8" i="29"/>
  <c r="G7" i="29"/>
  <c r="G16" i="24"/>
  <c r="G7" i="24"/>
  <c r="P21" i="21"/>
  <c r="N21" i="21"/>
  <c r="L21" i="21"/>
  <c r="J21" i="21"/>
  <c r="P16" i="21"/>
  <c r="N16" i="21"/>
  <c r="L16" i="21"/>
  <c r="J16" i="21"/>
  <c r="G16" i="21"/>
  <c r="P11" i="21"/>
  <c r="N11" i="21"/>
  <c r="L11" i="21"/>
  <c r="J11" i="21"/>
  <c r="P8" i="21"/>
  <c r="N8" i="21"/>
  <c r="L8" i="21"/>
  <c r="J8" i="21"/>
  <c r="G7" i="21"/>
  <c r="P21" i="1"/>
  <c r="N21" i="1"/>
  <c r="L21" i="1"/>
  <c r="J21" i="1"/>
  <c r="F17" i="1"/>
  <c r="E17" i="1"/>
  <c r="D17" i="1"/>
  <c r="C17" i="1"/>
  <c r="P16" i="1"/>
  <c r="N16" i="1"/>
  <c r="L16" i="1"/>
  <c r="J16" i="1"/>
  <c r="G16" i="1"/>
  <c r="P11" i="1"/>
  <c r="N11" i="1"/>
  <c r="L11" i="1"/>
  <c r="J11" i="1"/>
  <c r="P8" i="1"/>
  <c r="N8" i="1"/>
  <c r="L8" i="1"/>
  <c r="J8" i="1"/>
  <c r="G7" i="1"/>
  <c r="G17" i="21" l="1"/>
  <c r="G17" i="24"/>
  <c r="G17" i="29"/>
  <c r="G18" i="34"/>
  <c r="G17" i="68"/>
  <c r="G17" i="89"/>
  <c r="G17" i="101"/>
  <c r="G17" i="109"/>
  <c r="G17" i="60"/>
  <c r="G17" i="80"/>
  <c r="G17" i="1"/>
</calcChain>
</file>

<file path=xl/comments1.xml><?xml version="1.0" encoding="utf-8"?>
<comments xmlns="http://schemas.openxmlformats.org/spreadsheetml/2006/main">
  <authors>
    <author>Vincent</author>
  </authors>
  <commentList>
    <comment ref="C7" authorId="0">
      <text>
        <r>
          <rPr>
            <b/>
            <sz val="9"/>
            <color indexed="81"/>
            <rFont val="Tahoma"/>
            <family val="2"/>
          </rPr>
          <t>Vincent:</t>
        </r>
        <r>
          <rPr>
            <sz val="9"/>
            <color indexed="81"/>
            <rFont val="Tahoma"/>
            <family val="2"/>
          </rPr>
          <t xml:space="preserve">
The first egg may have been layed on June 6.</t>
        </r>
      </text>
    </comment>
  </commentList>
</comments>
</file>

<file path=xl/comments2.xml><?xml version="1.0" encoding="utf-8"?>
<comments xmlns="http://schemas.openxmlformats.org/spreadsheetml/2006/main">
  <authors>
    <author>erik hedlin</author>
  </authors>
  <commentList>
    <comment ref="E26" authorId="0">
      <text>
        <r>
          <rPr>
            <b/>
            <sz val="9"/>
            <color indexed="81"/>
            <rFont val="Tahoma"/>
            <family val="2"/>
          </rPr>
          <t>erik hedlin:</t>
        </r>
        <r>
          <rPr>
            <sz val="9"/>
            <color indexed="81"/>
            <rFont val="Tahoma"/>
            <family val="2"/>
          </rPr>
          <t xml:space="preserve">
No pictures because memory card was full. Died either on the 17th or 18th</t>
        </r>
      </text>
    </comment>
  </commentList>
</comments>
</file>

<file path=xl/comments3.xml><?xml version="1.0" encoding="utf-8"?>
<comments xmlns="http://schemas.openxmlformats.org/spreadsheetml/2006/main">
  <authors>
    <author>Vincent</author>
  </authors>
  <commentList>
    <comment ref="F7" authorId="0">
      <text>
        <r>
          <rPr>
            <b/>
            <sz val="9"/>
            <color indexed="81"/>
            <rFont val="Tahoma"/>
            <family val="2"/>
          </rPr>
          <t>Vincent:</t>
        </r>
        <r>
          <rPr>
            <sz val="9"/>
            <color indexed="81"/>
            <rFont val="Tahoma"/>
            <family val="2"/>
          </rPr>
          <t xml:space="preserve">
Estimated. Not caught on camera. 3 eggs when camera stopped working on June 12, 4:22 AM.</t>
        </r>
      </text>
    </comment>
  </commentList>
</comments>
</file>

<file path=xl/comments4.xml><?xml version="1.0" encoding="utf-8"?>
<comments xmlns="http://schemas.openxmlformats.org/spreadsheetml/2006/main">
  <authors>
    <author>erik hedlin</author>
  </authors>
  <commentList>
    <comment ref="D27" authorId="0">
      <text>
        <r>
          <rPr>
            <b/>
            <sz val="9"/>
            <color indexed="81"/>
            <rFont val="Tahoma"/>
            <family val="2"/>
          </rPr>
          <t>Death not captured on camera. Last image of green nestling is on august 4th at 13:00</t>
        </r>
      </text>
    </comment>
    <comment ref="E27" authorId="0">
      <text>
        <r>
          <rPr>
            <b/>
            <sz val="9"/>
            <color indexed="81"/>
            <rFont val="Tahoma"/>
            <family val="2"/>
          </rPr>
          <t>not captured on camera</t>
        </r>
      </text>
    </comment>
  </commentList>
</comments>
</file>

<file path=xl/comments5.xml><?xml version="1.0" encoding="utf-8"?>
<comments xmlns="http://schemas.openxmlformats.org/spreadsheetml/2006/main">
  <authors>
    <author>erik hedlin</author>
  </authors>
  <commentList>
    <comment ref="D28" authorId="0">
      <text>
        <r>
          <rPr>
            <b/>
            <sz val="9"/>
            <color indexed="81"/>
            <rFont val="Tahoma"/>
            <family val="2"/>
          </rPr>
          <t xml:space="preserve">last seen on camera at 647 am on aug 8. Large rain storm rolled through the area late aug 7, and adult looks wet shortly after green disappears </t>
        </r>
      </text>
    </comment>
  </commentList>
</comments>
</file>

<file path=xl/comments6.xml><?xml version="1.0" encoding="utf-8"?>
<comments xmlns="http://schemas.openxmlformats.org/spreadsheetml/2006/main">
  <authors>
    <author>Vincent</author>
  </authors>
  <commentList>
    <comment ref="AG5" authorId="0">
      <text>
        <r>
          <rPr>
            <b/>
            <sz val="9"/>
            <color indexed="81"/>
            <rFont val="Tahoma"/>
            <family val="2"/>
          </rPr>
          <t>Vincent:</t>
        </r>
        <r>
          <rPr>
            <sz val="9"/>
            <color indexed="81"/>
            <rFont val="Tahoma"/>
            <family val="2"/>
          </rPr>
          <t xml:space="preserve">
Sample with burst red blood cells
</t>
        </r>
      </text>
    </comment>
  </commentList>
</comments>
</file>

<file path=xl/comments7.xml><?xml version="1.0" encoding="utf-8"?>
<comments xmlns="http://schemas.openxmlformats.org/spreadsheetml/2006/main">
  <authors>
    <author>erik hedlin</author>
  </authors>
  <commentList>
    <comment ref="D26" authorId="0">
      <text>
        <r>
          <rPr>
            <b/>
            <sz val="9"/>
            <color indexed="81"/>
            <rFont val="Tahoma"/>
            <family val="2"/>
          </rPr>
          <t>picture taken at 6:11 am shows adult removing nestling from nest</t>
        </r>
      </text>
    </comment>
  </commentList>
</comments>
</file>

<file path=xl/comments8.xml><?xml version="1.0" encoding="utf-8"?>
<comments xmlns="http://schemas.openxmlformats.org/spreadsheetml/2006/main">
  <authors>
    <author>erik hedlin</author>
  </authors>
  <commentList>
    <comment ref="C26" authorId="0">
      <text>
        <r>
          <rPr>
            <b/>
            <sz val="9"/>
            <color indexed="81"/>
            <rFont val="Tahoma"/>
            <family val="2"/>
          </rPr>
          <t>Death not caught on camera (no pictures between 31-Jul and 6-Aug. Heavy rainfall on the night of august 4th, and it is assumed both blue and green died during this storm. See notes for more detail</t>
        </r>
      </text>
    </comment>
    <comment ref="D26" authorId="0">
      <text>
        <r>
          <rPr>
            <b/>
            <sz val="9"/>
            <color indexed="81"/>
            <rFont val="Tahoma"/>
            <family val="2"/>
          </rPr>
          <t>Death not caught on camera (no pictures between 31-Jul and 6-Aug. Heavy rainfall on the night of august 4th, and it is assumed both blue and green died during this storm. See notes for more detail</t>
        </r>
      </text>
    </comment>
  </commentList>
</comments>
</file>

<file path=xl/comments9.xml><?xml version="1.0" encoding="utf-8"?>
<comments xmlns="http://schemas.openxmlformats.org/spreadsheetml/2006/main">
  <authors>
    <author>erik hedlin</author>
  </authors>
  <commentList>
    <comment ref="J13" authorId="0">
      <text>
        <r>
          <rPr>
            <b/>
            <sz val="9"/>
            <color indexed="81"/>
            <rFont val="Tahoma"/>
            <family val="2"/>
          </rPr>
          <t>weight not taken</t>
        </r>
      </text>
    </comment>
    <comment ref="D28" authorId="0">
      <text>
        <r>
          <rPr>
            <b/>
            <sz val="9"/>
            <color indexed="81"/>
            <rFont val="Tahoma"/>
            <family val="2"/>
          </rPr>
          <t xml:space="preserve">death Not captured on camera, but happened between august 11 and august 19.
</t>
        </r>
      </text>
    </comment>
  </commentList>
</comments>
</file>

<file path=xl/comments10.xml><?xml version="1.0" encoding="utf-8"?>
<comments xmlns="http://schemas.openxmlformats.org/spreadsheetml/2006/main">
  <authors>
    <author>erik hedlin</author>
  </authors>
  <commentList>
    <comment ref="E27" authorId="0">
      <text>
        <r>
          <rPr>
            <b/>
            <sz val="9"/>
            <color indexed="81"/>
            <rFont val="Tahoma"/>
            <family val="2"/>
          </rPr>
          <t>erik hedlin:</t>
        </r>
        <r>
          <rPr>
            <sz val="9"/>
            <color indexed="81"/>
            <rFont val="Tahoma"/>
            <family val="2"/>
          </rPr>
          <t xml:space="preserve">
at 13:15 august 7, wound appears on nestlings wing. Red nestling is killed shortly after by siblings.</t>
        </r>
      </text>
    </comment>
  </commentList>
</comments>
</file>

<file path=xl/comments11.xml><?xml version="1.0" encoding="utf-8"?>
<comments xmlns="http://schemas.openxmlformats.org/spreadsheetml/2006/main">
  <authors>
    <author>erik hedlin</author>
  </authors>
  <commentList>
    <comment ref="F26" authorId="0">
      <text>
        <r>
          <rPr>
            <b/>
            <sz val="9"/>
            <color indexed="81"/>
            <rFont val="Tahoma"/>
            <family val="2"/>
          </rPr>
          <t>erik hedlin:</t>
        </r>
        <r>
          <rPr>
            <sz val="9"/>
            <color indexed="81"/>
            <rFont val="Tahoma"/>
            <family val="2"/>
          </rPr>
          <t xml:space="preserve">
Starvation. Died around 12:30 july 21, and picked up by parent at 13:26 july 21</t>
        </r>
      </text>
    </comment>
  </commentList>
</comments>
</file>

<file path=xl/comments12.xml><?xml version="1.0" encoding="utf-8"?>
<comments xmlns="http://schemas.openxmlformats.org/spreadsheetml/2006/main">
  <authors>
    <author>erik hedlin</author>
  </authors>
  <commentList>
    <comment ref="D26" authorId="0">
      <text>
        <r>
          <rPr>
            <b/>
            <sz val="9"/>
            <color indexed="81"/>
            <rFont val="Tahoma"/>
            <family val="2"/>
          </rPr>
          <t>Death happened after August 5.  Not caught on camera. No pictures after Aug 5</t>
        </r>
      </text>
    </comment>
  </commentList>
</comments>
</file>

<file path=xl/comments13.xml><?xml version="1.0" encoding="utf-8"?>
<comments xmlns="http://schemas.openxmlformats.org/spreadsheetml/2006/main">
  <authors>
    <author>Vincent</author>
  </authors>
  <commentList>
    <comment ref="F7" authorId="0">
      <text>
        <r>
          <rPr>
            <b/>
            <sz val="9"/>
            <color indexed="81"/>
            <rFont val="Tahoma"/>
            <family val="2"/>
          </rPr>
          <t>Vincent:</t>
        </r>
        <r>
          <rPr>
            <sz val="9"/>
            <color indexed="81"/>
            <rFont val="Tahoma"/>
            <family val="2"/>
          </rPr>
          <t xml:space="preserve">
Need to look at photos to confirm when 3rd and 4th were layed.</t>
        </r>
      </text>
    </comment>
  </commentList>
</comments>
</file>

<file path=xl/comments14.xml><?xml version="1.0" encoding="utf-8"?>
<comments xmlns="http://schemas.openxmlformats.org/spreadsheetml/2006/main">
  <authors>
    <author>erik hedlin</author>
  </authors>
  <commentList>
    <comment ref="E28" authorId="0">
      <text>
        <r>
          <rPr>
            <b/>
            <sz val="9"/>
            <color indexed="81"/>
            <rFont val="Tahoma"/>
            <family val="2"/>
          </rPr>
          <t>erik hedlin:
Impossible cliff to get good camera placement. Could not see when this nestling died.</t>
        </r>
      </text>
    </comment>
  </commentList>
</comments>
</file>

<file path=xl/sharedStrings.xml><?xml version="1.0" encoding="utf-8"?>
<sst xmlns="http://schemas.openxmlformats.org/spreadsheetml/2006/main" count="45735" uniqueCount="489">
  <si>
    <t>Year</t>
  </si>
  <si>
    <t>Territory</t>
  </si>
  <si>
    <t>Site</t>
  </si>
  <si>
    <t>Visit</t>
  </si>
  <si>
    <t>Yes</t>
  </si>
  <si>
    <t>Coords (xx.xxxx)</t>
  </si>
  <si>
    <t>Species</t>
  </si>
  <si>
    <t>PEFA</t>
  </si>
  <si>
    <t>Male Age/Sex</t>
  </si>
  <si>
    <t>Date</t>
  </si>
  <si>
    <t>Encounter History</t>
  </si>
  <si>
    <t>Banded by</t>
  </si>
  <si>
    <t>USFW #</t>
  </si>
  <si>
    <t>BB #</t>
  </si>
  <si>
    <t>Method</t>
  </si>
  <si>
    <t>Encounter by</t>
  </si>
  <si>
    <t>Recruit Y or N</t>
  </si>
  <si>
    <t>Trap wt   (g)</t>
  </si>
  <si>
    <t>Keel         (1-5)</t>
  </si>
  <si>
    <t>Tarsus (mm)                 L        W</t>
  </si>
  <si>
    <t>Wing   (mm)</t>
  </si>
  <si>
    <t>Tail   (mm)</t>
  </si>
  <si>
    <t>Foot          (mm)</t>
  </si>
  <si>
    <t>Culmen (mm)    L        W</t>
  </si>
  <si>
    <t>Halux        (mm)</t>
  </si>
  <si>
    <t>Length        (mm)</t>
  </si>
  <si>
    <t>Feather          (Yr-XX)</t>
  </si>
  <si>
    <t>Axillary        (mm)</t>
  </si>
  <si>
    <t>Swab                     C          P</t>
  </si>
  <si>
    <t>/</t>
  </si>
  <si>
    <t>Female Age/Sex</t>
  </si>
  <si>
    <t>Trap wt (g)</t>
  </si>
  <si>
    <t>Keel        (1-5)</t>
  </si>
  <si>
    <t>Egg Stage</t>
  </si>
  <si>
    <t>Egg #1</t>
  </si>
  <si>
    <t>Egg #2</t>
  </si>
  <si>
    <t>Egg #3</t>
  </si>
  <si>
    <t>Egg #4</t>
  </si>
  <si>
    <t>Mean</t>
  </si>
  <si>
    <t>Samples</t>
  </si>
  <si>
    <t>Chick #1</t>
  </si>
  <si>
    <t>Chick #2</t>
  </si>
  <si>
    <t>Chick #3</t>
  </si>
  <si>
    <t>Chick #4</t>
  </si>
  <si>
    <t>Site Summary</t>
  </si>
  <si>
    <t>Layed</t>
  </si>
  <si>
    <t>Color</t>
  </si>
  <si>
    <t># eggs layed</t>
  </si>
  <si>
    <t>Aspect</t>
  </si>
  <si>
    <t>Stage</t>
  </si>
  <si>
    <t>Age #1</t>
  </si>
  <si>
    <t># eggs addled</t>
  </si>
  <si>
    <t>Wall L</t>
  </si>
  <si>
    <t>Weight #1</t>
  </si>
  <si>
    <t># chicks hatched</t>
  </si>
  <si>
    <t>Wall R</t>
  </si>
  <si>
    <t>Blood #1 - 40ul</t>
  </si>
  <si>
    <t># chicks banded</t>
  </si>
  <si>
    <t>Roof</t>
  </si>
  <si>
    <t>Age #2</t>
  </si>
  <si>
    <t># chicks fledged</t>
  </si>
  <si>
    <t>Drainage</t>
  </si>
  <si>
    <t>Weight #2</t>
  </si>
  <si>
    <t># chicks died</t>
  </si>
  <si>
    <t>Date nestbox</t>
  </si>
  <si>
    <t>Blood #2 - 1 ml</t>
  </si>
  <si>
    <t>Notes</t>
  </si>
  <si>
    <t>Pharyngeal swab</t>
  </si>
  <si>
    <t>Cloacal swab</t>
  </si>
  <si>
    <t>Hatched</t>
  </si>
  <si>
    <t>Age #3</t>
  </si>
  <si>
    <t>Hatch-Lay</t>
  </si>
  <si>
    <t>Weight #3</t>
  </si>
  <si>
    <t>Nestlings</t>
  </si>
  <si>
    <t>Chick #1</t>
  </si>
  <si>
    <t>Chick #2</t>
  </si>
  <si>
    <t>Chick #3</t>
  </si>
  <si>
    <t>Chick #4</t>
  </si>
  <si>
    <t>Blood #3 - 1 ml</t>
  </si>
  <si>
    <t>Age-Sex</t>
  </si>
  <si>
    <t>Age #4</t>
  </si>
  <si>
    <t>Date banded</t>
  </si>
  <si>
    <t>Weight #4</t>
  </si>
  <si>
    <t>Blood #4 - 1.5 ml</t>
  </si>
  <si>
    <t>BB#</t>
  </si>
  <si>
    <t>Date died</t>
  </si>
  <si>
    <t>Feather</t>
  </si>
  <si>
    <t>Age when died</t>
  </si>
  <si>
    <t>Carcass collected</t>
  </si>
  <si>
    <t>crop</t>
  </si>
  <si>
    <t>Geolocator # retreived</t>
  </si>
  <si>
    <t>Geolocator # deployed</t>
  </si>
  <si>
    <t>Blood1 (Yr-XX) (time)</t>
  </si>
  <si>
    <t>Blood2 (Yr-XX) (time)</t>
  </si>
  <si>
    <t>New capture/Recapture/Foreign recapture/observation</t>
  </si>
  <si>
    <t>Geolocator present? (Y/N)</t>
  </si>
  <si>
    <t>62.XXXX    -92.XXXX</t>
  </si>
  <si>
    <t>Pigeon/Reconyx/Canon/Binos</t>
  </si>
  <si>
    <t>R-14-01-F</t>
  </si>
  <si>
    <t>Feather          (Yr-XX-F)</t>
  </si>
  <si>
    <t xml:space="preserve">Indicate method used to determine laying and hatching date: Lay: 1 = Known (from reconyx, nest visit); 2 = Estimated from incubation duration; 3 = Estimated from chick weight and apperance. Hatch: 1 = Known (from camera). 2 = Estimated from chick weight and apperance. </t>
  </si>
  <si>
    <t>R-14-01B (3min)</t>
  </si>
  <si>
    <t>R-14-02S (30min)</t>
  </si>
  <si>
    <t>ASY</t>
  </si>
  <si>
    <t>1/4</t>
  </si>
  <si>
    <t>New capture</t>
  </si>
  <si>
    <t>YES</t>
  </si>
  <si>
    <t>RI-14-01B (2:45)</t>
  </si>
  <si>
    <t>Recapture</t>
  </si>
  <si>
    <t>RI-14-02S (30:00)</t>
  </si>
  <si>
    <t>RI-14-03B (2:43)</t>
  </si>
  <si>
    <t>RI-14-04S (30:00_</t>
  </si>
  <si>
    <t>Empty</t>
  </si>
  <si>
    <t>RI-14-05B (2:13)</t>
  </si>
  <si>
    <t>RI-14-06S (30:00)</t>
  </si>
  <si>
    <t>1687-05193</t>
  </si>
  <si>
    <t>82K (vv)</t>
  </si>
  <si>
    <t>RI-14-07S (2:27)</t>
  </si>
  <si>
    <t>RI-14-08S (30:00)</t>
  </si>
  <si>
    <t>Lost</t>
  </si>
  <si>
    <t>RI-14-09B (2:25)</t>
  </si>
  <si>
    <t>RI-14-10S (30:00)</t>
  </si>
  <si>
    <t>68A (vv)-&gt; 15C (VV)</t>
  </si>
  <si>
    <t>RI-14-11B (2:30)</t>
  </si>
  <si>
    <t>RI-14-12S (31:00)</t>
  </si>
  <si>
    <t>1687-05194</t>
  </si>
  <si>
    <t>83K (vv)</t>
  </si>
  <si>
    <t>RI-14-13B (2:40)</t>
  </si>
  <si>
    <t>RI-14-14S (30:00)</t>
  </si>
  <si>
    <t>06H (vv)</t>
  </si>
  <si>
    <t>RI-14-15B (2:25)</t>
  </si>
  <si>
    <t>RI-14-16S (37:30)</t>
  </si>
  <si>
    <t>Empty (Pellet)</t>
  </si>
  <si>
    <t>20C (vv)</t>
  </si>
  <si>
    <t>L290-2496</t>
  </si>
  <si>
    <t>RI-14-17B (3:42)</t>
  </si>
  <si>
    <t>RI-14-18S (37:30)</t>
  </si>
  <si>
    <t>84K (vv)</t>
  </si>
  <si>
    <t xml:space="preserve">Empty </t>
  </si>
  <si>
    <t>1687-10414</t>
  </si>
  <si>
    <t>85K(vv)</t>
  </si>
  <si>
    <t>RI-10-19B (2:17)</t>
  </si>
  <si>
    <t>RI-14-20S (30:00)</t>
  </si>
  <si>
    <t>RI-14-21B (1:57)</t>
  </si>
  <si>
    <t>RI-14-22S (30:00)</t>
  </si>
  <si>
    <t>1687-05196</t>
  </si>
  <si>
    <t>86K (vv)</t>
  </si>
  <si>
    <t>RI-14-23B (2:34)</t>
  </si>
  <si>
    <t>RI-14-24S (31:00)</t>
  </si>
  <si>
    <t>&lt; 1/8</t>
  </si>
  <si>
    <t>RI-14-25B (3:02)</t>
  </si>
  <si>
    <t>RI-14-26S (31:40)</t>
  </si>
  <si>
    <t>21H (vv)</t>
  </si>
  <si>
    <t>RI-14-27B (6:11)</t>
  </si>
  <si>
    <t>RI-14-28S (30:00)</t>
  </si>
  <si>
    <t>RI-14-30S (31:00)</t>
  </si>
  <si>
    <t>1687-05197</t>
  </si>
  <si>
    <t>88K (vv)</t>
  </si>
  <si>
    <t>RI-14-31B (2:27)</t>
  </si>
  <si>
    <t>RI-14-32S (34:30)</t>
  </si>
  <si>
    <r>
      <t>May 19:</t>
    </r>
    <r>
      <rPr>
        <sz val="10"/>
        <color rgb="FF000000"/>
        <rFont val="Times New Roman"/>
        <family val="1"/>
      </rPr>
      <t xml:space="preserve">Empty. </t>
    </r>
    <r>
      <rPr>
        <b/>
        <sz val="10"/>
        <color rgb="FF000000"/>
        <rFont val="Times New Roman"/>
        <family val="1"/>
      </rPr>
      <t xml:space="preserve">May 23: </t>
    </r>
    <r>
      <rPr>
        <sz val="10"/>
        <color rgb="FF000000"/>
        <rFont val="Times New Roman"/>
        <family val="1"/>
      </rPr>
      <t>Empty.</t>
    </r>
  </si>
  <si>
    <r>
      <t xml:space="preserve">May 27: </t>
    </r>
    <r>
      <rPr>
        <sz val="10"/>
        <color rgb="FF000000"/>
        <rFont val="Times New Roman"/>
        <family val="1"/>
      </rPr>
      <t>RLHA pair (one on nest).</t>
    </r>
  </si>
  <si>
    <r>
      <rPr>
        <b/>
        <sz val="10"/>
        <color rgb="FF000000"/>
        <rFont val="Times New Roman"/>
        <family val="1"/>
      </rPr>
      <t xml:space="preserve">May 27: </t>
    </r>
    <r>
      <rPr>
        <sz val="10"/>
        <color rgb="FF000000"/>
        <rFont val="Times New Roman"/>
        <family val="1"/>
      </rPr>
      <t>RLHA individual flying over site.</t>
    </r>
  </si>
  <si>
    <r>
      <t xml:space="preserve">May 27: </t>
    </r>
    <r>
      <rPr>
        <sz val="10"/>
        <color rgb="FF000000"/>
        <rFont val="Times New Roman"/>
        <family val="1"/>
      </rPr>
      <t>RLHA pair. Didn't look for eggs.</t>
    </r>
  </si>
  <si>
    <r>
      <t xml:space="preserve">May 29: </t>
    </r>
    <r>
      <rPr>
        <sz val="10"/>
        <color rgb="FF000000"/>
        <rFont val="Times New Roman"/>
        <family val="1"/>
      </rPr>
      <t>Empty.</t>
    </r>
  </si>
  <si>
    <r>
      <t xml:space="preserve">May 29: </t>
    </r>
    <r>
      <rPr>
        <sz val="10"/>
        <color rgb="FF000000"/>
        <rFont val="Times New Roman"/>
        <family val="1"/>
      </rPr>
      <t>RLHA pair but no stick nest on boulder.</t>
    </r>
  </si>
  <si>
    <r>
      <t xml:space="preserve">May 29: </t>
    </r>
    <r>
      <rPr>
        <sz val="10"/>
        <color rgb="FF000000"/>
        <rFont val="Times New Roman"/>
        <family val="1"/>
      </rPr>
      <t>RLHA pair nest with 1 egg. Boulder close to lake (waypoint 098 in Pascal's GPS). The boulder is uphill from the lake.</t>
    </r>
  </si>
  <si>
    <r>
      <t xml:space="preserve">May 29: </t>
    </r>
    <r>
      <rPr>
        <sz val="10"/>
        <color rgb="FF000000"/>
        <rFont val="Times New Roman"/>
        <family val="1"/>
      </rPr>
      <t>Empty. Old stick nest.</t>
    </r>
  </si>
  <si>
    <r>
      <t xml:space="preserve">May 29: </t>
    </r>
    <r>
      <rPr>
        <sz val="10"/>
        <color rgb="FF000000"/>
        <rFont val="Times New Roman"/>
        <family val="1"/>
      </rPr>
      <t xml:space="preserve"> EMPTY</t>
    </r>
  </si>
  <si>
    <r>
      <t xml:space="preserve">May 29: </t>
    </r>
    <r>
      <rPr>
        <sz val="10"/>
        <color rgb="FF000000"/>
        <rFont val="Times New Roman"/>
        <family val="1"/>
      </rPr>
      <t xml:space="preserve"> Empty</t>
    </r>
  </si>
  <si>
    <r>
      <t xml:space="preserve">May 29: </t>
    </r>
    <r>
      <rPr>
        <sz val="10"/>
        <color rgb="FF000000"/>
        <rFont val="Times New Roman"/>
        <family val="1"/>
      </rPr>
      <t>PEFA pair on boulder.</t>
    </r>
  </si>
  <si>
    <r>
      <t xml:space="preserve">May 29: </t>
    </r>
    <r>
      <rPr>
        <sz val="10"/>
        <color rgb="FF000000"/>
        <rFont val="Times New Roman"/>
        <family val="1"/>
      </rPr>
      <t xml:space="preserve"> No suitable area for raptors. POINT TO DELETE.</t>
    </r>
  </si>
  <si>
    <r>
      <t xml:space="preserve">May 29: </t>
    </r>
    <r>
      <rPr>
        <sz val="10"/>
        <color rgb="FF000000"/>
        <rFont val="Times New Roman"/>
        <family val="1"/>
      </rPr>
      <t>One PEFA. Nice ledge.</t>
    </r>
  </si>
  <si>
    <r>
      <t xml:space="preserve">May 29: </t>
    </r>
    <r>
      <rPr>
        <sz val="10"/>
        <color rgb="FF000000"/>
        <rFont val="Times New Roman"/>
        <family val="1"/>
      </rPr>
      <t>PEFA pair. Also a RLHA pair on east side of the island.</t>
    </r>
  </si>
  <si>
    <r>
      <t xml:space="preserve">May 29: </t>
    </r>
    <r>
      <rPr>
        <sz val="10"/>
        <color rgb="FF000000"/>
        <rFont val="Times New Roman"/>
        <family val="1"/>
      </rPr>
      <t>PEFA pair and 1RLHA + old nest.</t>
    </r>
  </si>
  <si>
    <r>
      <t xml:space="preserve">May 29: </t>
    </r>
    <r>
      <rPr>
        <sz val="10"/>
        <color rgb="FF000000"/>
        <rFont val="Times New Roman"/>
        <family val="1"/>
      </rPr>
      <t>1 PEFA. More likely female.</t>
    </r>
  </si>
  <si>
    <r>
      <t xml:space="preserve">May 30: </t>
    </r>
    <r>
      <rPr>
        <sz val="10"/>
        <color rgb="FF000000"/>
        <rFont val="Times New Roman"/>
        <family val="1"/>
      </rPr>
      <t>Saw 2 RLHA but not territorial. Empty stick nest from last year. No new material added.</t>
    </r>
  </si>
  <si>
    <r>
      <t xml:space="preserve">May 17: </t>
    </r>
    <r>
      <rPr>
        <sz val="10"/>
        <color rgb="FF000000"/>
        <rFont val="Times New Roman"/>
        <family val="1"/>
      </rPr>
      <t xml:space="preserve">Empty. </t>
    </r>
    <r>
      <rPr>
        <b/>
        <sz val="10"/>
        <color rgb="FF000000"/>
        <rFont val="Times New Roman"/>
        <family val="1"/>
      </rPr>
      <t xml:space="preserve">May 30: </t>
    </r>
    <r>
      <rPr>
        <sz val="10"/>
        <color rgb="FF000000"/>
        <rFont val="Times New Roman"/>
        <family val="1"/>
      </rPr>
      <t>RLHA nest. 2 eggs.</t>
    </r>
  </si>
  <si>
    <r>
      <rPr>
        <b/>
        <sz val="10"/>
        <color rgb="FF000000"/>
        <rFont val="Times New Roman"/>
        <family val="1"/>
      </rPr>
      <t xml:space="preserve">May 30: </t>
    </r>
    <r>
      <rPr>
        <sz val="10"/>
        <color rgb="FF000000"/>
        <rFont val="Times New Roman"/>
        <family val="1"/>
      </rPr>
      <t>Cabin with nest on top. Nest found on the ground. 1 broken egg (very windy day).</t>
    </r>
  </si>
  <si>
    <t>Foreign recapture</t>
  </si>
  <si>
    <t>87K (vv) on right</t>
  </si>
  <si>
    <t>1947-21140 on left</t>
  </si>
  <si>
    <t>20H (vv)</t>
  </si>
  <si>
    <t>47C (vv)</t>
  </si>
  <si>
    <t>RI-14-29B (2:42)</t>
  </si>
  <si>
    <t>02A (vv)-&gt; 22H (vv)</t>
  </si>
  <si>
    <t>81K (vv)</t>
  </si>
  <si>
    <r>
      <t xml:space="preserve">May 17: </t>
    </r>
    <r>
      <rPr>
        <sz val="10"/>
        <color rgb="FF000000"/>
        <rFont val="Times New Roman"/>
        <family val="1"/>
      </rPr>
      <t xml:space="preserve">(front of cabin) Empty. </t>
    </r>
    <r>
      <rPr>
        <b/>
        <sz val="10"/>
        <color rgb="FF000000"/>
        <rFont val="Times New Roman"/>
        <family val="1"/>
      </rPr>
      <t xml:space="preserve">May 23: </t>
    </r>
    <r>
      <rPr>
        <sz val="10"/>
        <color rgb="FF000000"/>
        <rFont val="Times New Roman"/>
        <family val="1"/>
      </rPr>
      <t xml:space="preserve">RLHA screaming. </t>
    </r>
    <r>
      <rPr>
        <b/>
        <sz val="10"/>
        <color rgb="FF000000"/>
        <rFont val="Times New Roman"/>
        <family val="1"/>
      </rPr>
      <t xml:space="preserve">May 24: </t>
    </r>
    <r>
      <rPr>
        <sz val="10"/>
        <color rgb="FF000000"/>
        <rFont val="Times New Roman"/>
        <family val="1"/>
      </rPr>
      <t xml:space="preserve">RLHA individual. </t>
    </r>
    <r>
      <rPr>
        <b/>
        <sz val="10"/>
        <color rgb="FF000000"/>
        <rFont val="Times New Roman"/>
        <family val="1"/>
      </rPr>
      <t xml:space="preserve">May 26: </t>
    </r>
    <r>
      <rPr>
        <sz val="10"/>
        <color rgb="FF000000"/>
        <rFont val="Times New Roman"/>
        <family val="1"/>
      </rPr>
      <t xml:space="preserve">1 RLHA seen from the cabin this morning. </t>
    </r>
    <r>
      <rPr>
        <b/>
        <sz val="10"/>
        <color rgb="FF000000"/>
        <rFont val="Times New Roman"/>
        <family val="1"/>
      </rPr>
      <t xml:space="preserve">May 28: </t>
    </r>
    <r>
      <rPr>
        <sz val="10"/>
        <color rgb="FF000000"/>
        <rFont val="Times New Roman"/>
        <family val="1"/>
      </rPr>
      <t xml:space="preserve"> RLHA pair. </t>
    </r>
    <r>
      <rPr>
        <b/>
        <sz val="10"/>
        <color rgb="FF000000"/>
        <rFont val="Times New Roman"/>
        <family val="1"/>
      </rPr>
      <t xml:space="preserve">June 3: </t>
    </r>
    <r>
      <rPr>
        <sz val="10"/>
        <color rgb="FF000000"/>
        <rFont val="Times New Roman"/>
        <family val="1"/>
      </rPr>
      <t>Empty.</t>
    </r>
  </si>
  <si>
    <t>62.78563 -92.12182</t>
  </si>
  <si>
    <t>62.81449; -91.84718</t>
  </si>
  <si>
    <t>62.81185; -91.84275</t>
  </si>
  <si>
    <t>62.87769; -92.23878</t>
  </si>
  <si>
    <r>
      <rPr>
        <b/>
        <sz val="10"/>
        <color rgb="FF000000"/>
        <rFont val="Times New Roman"/>
        <family val="1"/>
      </rPr>
      <t xml:space="preserve">June 6: </t>
    </r>
    <r>
      <rPr>
        <sz val="10"/>
        <color rgb="FF000000"/>
        <rFont val="Times New Roman"/>
        <family val="1"/>
      </rPr>
      <t xml:space="preserve"> RLHA pair. Found scrape. 5 eggs! No falcons in the area. Wpt 32 2014.</t>
    </r>
  </si>
  <si>
    <r>
      <t xml:space="preserve">May 19: </t>
    </r>
    <r>
      <rPr>
        <sz val="10"/>
        <color rgb="FF000000"/>
        <rFont val="Times New Roman"/>
        <family val="1"/>
      </rPr>
      <t xml:space="preserve">2 ravens and 2 RLHA seen flying (from site 33). </t>
    </r>
    <r>
      <rPr>
        <b/>
        <sz val="10"/>
        <color rgb="FF000000"/>
        <rFont val="Times New Roman"/>
        <family val="1"/>
      </rPr>
      <t xml:space="preserve">May 28: </t>
    </r>
    <r>
      <rPr>
        <sz val="10"/>
        <color rgb="FF000000"/>
        <rFont val="Times New Roman"/>
        <family val="1"/>
      </rPr>
      <t xml:space="preserve">RLHA pair. </t>
    </r>
    <r>
      <rPr>
        <b/>
        <sz val="10"/>
        <color rgb="FF000000"/>
        <rFont val="Times New Roman"/>
        <family val="1"/>
      </rPr>
      <t xml:space="preserve">June 6: </t>
    </r>
    <r>
      <rPr>
        <sz val="10"/>
        <color rgb="FF000000"/>
        <rFont val="Times New Roman"/>
        <family val="1"/>
      </rPr>
      <t>RLHA pair. 5 eggs + half of a stick nest and 3 eggs at the bottom of the cliff. Wpt 57 2014.</t>
    </r>
  </si>
  <si>
    <r>
      <t xml:space="preserve">May 22: </t>
    </r>
    <r>
      <rPr>
        <sz val="10"/>
        <color rgb="FF000000"/>
        <rFont val="Times New Roman"/>
        <family val="1"/>
      </rPr>
      <t xml:space="preserve">RLHA pair flying over. </t>
    </r>
    <r>
      <rPr>
        <b/>
        <sz val="10"/>
        <color rgb="FF000000"/>
        <rFont val="Times New Roman"/>
        <family val="1"/>
      </rPr>
      <t xml:space="preserve">June 8: </t>
    </r>
    <r>
      <rPr>
        <sz val="10"/>
        <color rgb="FF000000"/>
        <rFont val="Times New Roman"/>
        <family val="1"/>
      </rPr>
      <t xml:space="preserve">RLHA pair seen flying. </t>
    </r>
  </si>
  <si>
    <t>SW</t>
  </si>
  <si>
    <r>
      <t xml:space="preserve">May 22: </t>
    </r>
    <r>
      <rPr>
        <sz val="10"/>
        <color rgb="FF000000"/>
        <rFont val="Times New Roman"/>
        <family val="1"/>
      </rPr>
      <t xml:space="preserve">3 RLHA (close to 22). </t>
    </r>
    <r>
      <rPr>
        <b/>
        <sz val="10"/>
        <color rgb="FF000000"/>
        <rFont val="Times New Roman"/>
        <family val="1"/>
      </rPr>
      <t xml:space="preserve">May 24: </t>
    </r>
    <r>
      <rPr>
        <sz val="10"/>
        <color rgb="FF000000"/>
        <rFont val="Times New Roman"/>
        <family val="1"/>
      </rPr>
      <t xml:space="preserve">1 RLHA flying high and behind the cliff. </t>
    </r>
    <r>
      <rPr>
        <b/>
        <sz val="10"/>
        <color rgb="FF000000"/>
        <rFont val="Times New Roman"/>
        <family val="1"/>
      </rPr>
      <t xml:space="preserve">June 8: </t>
    </r>
    <r>
      <rPr>
        <sz val="10"/>
        <color rgb="FF000000"/>
        <rFont val="Times New Roman"/>
        <family val="1"/>
      </rPr>
      <t>RLHA pair. 4 eggs. Accessible nest. Wpt 21 2014.</t>
    </r>
  </si>
  <si>
    <r>
      <t>May 22:</t>
    </r>
    <r>
      <rPr>
        <sz val="10"/>
        <color rgb="FF000000"/>
        <rFont val="Times New Roman"/>
        <family val="1"/>
      </rPr>
      <t xml:space="preserve"> RLHA pair. </t>
    </r>
    <r>
      <rPr>
        <b/>
        <sz val="10"/>
        <color rgb="FF000000"/>
        <rFont val="Times New Roman"/>
        <family val="1"/>
      </rPr>
      <t xml:space="preserve">June 8: </t>
    </r>
    <r>
      <rPr>
        <sz val="10"/>
        <color rgb="FF000000"/>
        <rFont val="Times New Roman"/>
        <family val="1"/>
      </rPr>
      <t>RLHA on nest.</t>
    </r>
  </si>
  <si>
    <r>
      <t xml:space="preserve">May 21 : </t>
    </r>
    <r>
      <rPr>
        <sz val="10"/>
        <color rgb="FF000000"/>
        <rFont val="Times New Roman"/>
        <family val="1"/>
      </rPr>
      <t xml:space="preserve">RLHA pair </t>
    </r>
    <r>
      <rPr>
        <b/>
        <sz val="10"/>
        <color rgb="FF000000"/>
        <rFont val="Times New Roman"/>
        <family val="1"/>
      </rPr>
      <t xml:space="preserve">May 22: </t>
    </r>
    <r>
      <rPr>
        <sz val="10"/>
        <color rgb="FF000000"/>
        <rFont val="Times New Roman"/>
        <family val="1"/>
      </rPr>
      <t xml:space="preserve">RLHA pair. </t>
    </r>
    <r>
      <rPr>
        <b/>
        <sz val="10"/>
        <color rgb="FF000000"/>
        <rFont val="Times New Roman"/>
        <family val="1"/>
      </rPr>
      <t xml:space="preserve">June 8: </t>
    </r>
    <r>
      <rPr>
        <sz val="10"/>
        <color rgb="FF000000"/>
        <rFont val="Times New Roman"/>
        <family val="1"/>
      </rPr>
      <t>RLHA pair. 5 eggs. Wpt 27 2014.</t>
    </r>
  </si>
  <si>
    <r>
      <t>May 19:</t>
    </r>
    <r>
      <rPr>
        <sz val="10"/>
        <color rgb="FF000000"/>
        <rFont val="Times New Roman"/>
        <family val="1"/>
      </rPr>
      <t xml:space="preserve">Empty. </t>
    </r>
    <r>
      <rPr>
        <b/>
        <sz val="10"/>
        <color rgb="FF000000"/>
        <rFont val="Times New Roman"/>
        <family val="1"/>
      </rPr>
      <t xml:space="preserve">May 23: </t>
    </r>
    <r>
      <rPr>
        <sz val="10"/>
        <color rgb="FF000000"/>
        <rFont val="Times New Roman"/>
        <family val="1"/>
      </rPr>
      <t xml:space="preserve">Empty. </t>
    </r>
    <r>
      <rPr>
        <b/>
        <sz val="10"/>
        <color rgb="FF000000"/>
        <rFont val="Times New Roman"/>
        <family val="1"/>
      </rPr>
      <t xml:space="preserve">June 2: </t>
    </r>
    <r>
      <rPr>
        <sz val="10"/>
        <color rgb="FF000000"/>
        <rFont val="Times New Roman"/>
        <family val="1"/>
      </rPr>
      <t xml:space="preserve">RLHA pair. Stick nest mid-may between 40 and 42. 2 eggs. </t>
    </r>
    <r>
      <rPr>
        <b/>
        <sz val="10"/>
        <color rgb="FF000000"/>
        <rFont val="Times New Roman"/>
        <family val="1"/>
      </rPr>
      <t xml:space="preserve">June 9: </t>
    </r>
    <r>
      <rPr>
        <sz val="10"/>
        <color rgb="FF000000"/>
        <rFont val="Times New Roman"/>
        <family val="1"/>
      </rPr>
      <t xml:space="preserve">RLHA pair. </t>
    </r>
  </si>
  <si>
    <r>
      <t>May 19</t>
    </r>
    <r>
      <rPr>
        <sz val="10"/>
        <color rgb="FF000000"/>
        <rFont val="Times New Roman"/>
        <family val="1"/>
      </rPr>
      <t xml:space="preserve">:Empty </t>
    </r>
    <r>
      <rPr>
        <b/>
        <sz val="10"/>
        <color rgb="FF000000"/>
        <rFont val="Times New Roman"/>
        <family val="1"/>
      </rPr>
      <t xml:space="preserve">May 20: </t>
    </r>
    <r>
      <rPr>
        <sz val="10"/>
        <color rgb="FF000000"/>
        <rFont val="Times New Roman"/>
        <family val="1"/>
      </rPr>
      <t xml:space="preserve">RHLA pair. </t>
    </r>
    <r>
      <rPr>
        <b/>
        <sz val="10"/>
        <color rgb="FF000000"/>
        <rFont val="Times New Roman"/>
        <family val="1"/>
      </rPr>
      <t xml:space="preserve">May 23: </t>
    </r>
    <r>
      <rPr>
        <sz val="10"/>
        <color rgb="FF000000"/>
        <rFont val="Times New Roman"/>
        <family val="1"/>
      </rPr>
      <t xml:space="preserve">RLHA. </t>
    </r>
    <r>
      <rPr>
        <b/>
        <sz val="10"/>
        <color rgb="FF000000"/>
        <rFont val="Times New Roman"/>
        <family val="1"/>
      </rPr>
      <t xml:space="preserve">June 2: </t>
    </r>
    <r>
      <rPr>
        <sz val="10"/>
        <color rgb="FF000000"/>
        <rFont val="Times New Roman"/>
        <family val="1"/>
      </rPr>
      <t xml:space="preserve">RLHA pair. 3eggs. </t>
    </r>
    <r>
      <rPr>
        <b/>
        <sz val="10"/>
        <color rgb="FF000000"/>
        <rFont val="Times New Roman"/>
        <family val="1"/>
      </rPr>
      <t xml:space="preserve">June 9: </t>
    </r>
    <r>
      <rPr>
        <sz val="10"/>
        <color rgb="FF000000"/>
        <rFont val="Times New Roman"/>
        <family val="1"/>
      </rPr>
      <t xml:space="preserve">RLHA pair. </t>
    </r>
  </si>
  <si>
    <r>
      <rPr>
        <b/>
        <sz val="10"/>
        <color rgb="FF000000"/>
        <rFont val="Times New Roman"/>
        <family val="1"/>
      </rPr>
      <t xml:space="preserve">May 29: </t>
    </r>
    <r>
      <rPr>
        <sz val="10"/>
        <color rgb="FF000000"/>
        <rFont val="Times New Roman"/>
        <family val="1"/>
      </rPr>
      <t xml:space="preserve">Empty. </t>
    </r>
    <r>
      <rPr>
        <b/>
        <sz val="10"/>
        <color rgb="FF000000"/>
        <rFont val="Times New Roman"/>
        <family val="1"/>
      </rPr>
      <t xml:space="preserve">June 10: </t>
    </r>
    <r>
      <rPr>
        <sz val="10"/>
        <color rgb="FF000000"/>
        <rFont val="Times New Roman"/>
        <family val="1"/>
      </rPr>
      <t>Empty.</t>
    </r>
  </si>
  <si>
    <r>
      <rPr>
        <b/>
        <sz val="10"/>
        <color rgb="FF000000"/>
        <rFont val="Times New Roman"/>
        <family val="1"/>
      </rPr>
      <t xml:space="preserve">May 29: </t>
    </r>
    <r>
      <rPr>
        <sz val="10"/>
        <color rgb="FF000000"/>
        <rFont val="Times New Roman"/>
        <family val="1"/>
      </rPr>
      <t xml:space="preserve"> Empty. </t>
    </r>
    <r>
      <rPr>
        <b/>
        <sz val="10"/>
        <color rgb="FF000000"/>
        <rFont val="Times New Roman"/>
        <family val="1"/>
      </rPr>
      <t xml:space="preserve">June 10: </t>
    </r>
    <r>
      <rPr>
        <sz val="10"/>
        <color rgb="FF000000"/>
        <rFont val="Times New Roman"/>
        <family val="1"/>
      </rPr>
      <t>Empty.</t>
    </r>
  </si>
  <si>
    <r>
      <t>May 29</t>
    </r>
    <r>
      <rPr>
        <sz val="10"/>
        <color rgb="FF000000"/>
        <rFont val="Times New Roman"/>
        <family val="1"/>
      </rPr>
      <t xml:space="preserve">: Empty. </t>
    </r>
    <r>
      <rPr>
        <b/>
        <sz val="10"/>
        <color rgb="FF000000"/>
        <rFont val="Times New Roman"/>
        <family val="1"/>
      </rPr>
      <t xml:space="preserve">June 10: </t>
    </r>
    <r>
      <rPr>
        <sz val="10"/>
        <color rgb="FF000000"/>
        <rFont val="Times New Roman"/>
        <family val="1"/>
      </rPr>
      <t>Empty. Lemming remain seen on cliff. Lemming seen near 98.</t>
    </r>
  </si>
  <si>
    <t>S</t>
  </si>
  <si>
    <t>N</t>
  </si>
  <si>
    <r>
      <t xml:space="preserve">May 19: </t>
    </r>
    <r>
      <rPr>
        <sz val="10"/>
        <color rgb="FF000000"/>
        <rFont val="Times New Roman"/>
        <family val="1"/>
      </rPr>
      <t>2 RLHA</t>
    </r>
    <r>
      <rPr>
        <b/>
        <sz val="10"/>
        <color rgb="FF000000"/>
        <rFont val="Times New Roman"/>
        <family val="1"/>
      </rPr>
      <t xml:space="preserve"> June 12: </t>
    </r>
    <r>
      <rPr>
        <sz val="10"/>
        <color rgb="FF000000"/>
        <rFont val="Times New Roman"/>
        <family val="1"/>
      </rPr>
      <t>RLHA pair territorial seen from site 111 and toward small lake north of 111. Maybe pair from 36? Didn't find nest.</t>
    </r>
  </si>
  <si>
    <r>
      <t xml:space="preserve">May 21:  </t>
    </r>
    <r>
      <rPr>
        <sz val="10"/>
        <color rgb="FF000000"/>
        <rFont val="Times New Roman"/>
        <family val="1"/>
      </rPr>
      <t xml:space="preserve">RLHA pair. </t>
    </r>
    <r>
      <rPr>
        <b/>
        <sz val="10"/>
        <color rgb="FF000000"/>
        <rFont val="Times New Roman"/>
        <family val="1"/>
      </rPr>
      <t xml:space="preserve">May 27: </t>
    </r>
    <r>
      <rPr>
        <sz val="10"/>
        <color rgb="FF000000"/>
        <rFont val="Times New Roman"/>
        <family val="1"/>
      </rPr>
      <t xml:space="preserve">2 RLHA screaming. </t>
    </r>
    <r>
      <rPr>
        <b/>
        <sz val="10"/>
        <color rgb="FF000000"/>
        <rFont val="Times New Roman"/>
        <family val="1"/>
      </rPr>
      <t xml:space="preserve">May 28: </t>
    </r>
    <r>
      <rPr>
        <sz val="10"/>
        <color rgb="FF000000"/>
        <rFont val="Times New Roman"/>
        <family val="1"/>
      </rPr>
      <t xml:space="preserve">RLHA pair. </t>
    </r>
    <r>
      <rPr>
        <b/>
        <sz val="10"/>
        <color rgb="FF000000"/>
        <rFont val="Times New Roman"/>
        <family val="1"/>
      </rPr>
      <t xml:space="preserve">June 12: </t>
    </r>
    <r>
      <rPr>
        <sz val="10"/>
        <color rgb="FF000000"/>
        <rFont val="Times New Roman"/>
        <family val="1"/>
      </rPr>
      <t xml:space="preserve"> RLHA pair. 4 eggs. Wpt 38 2014.</t>
    </r>
  </si>
  <si>
    <t>62.80030; -92.20935</t>
  </si>
  <si>
    <t>62.78602; -92.16359</t>
  </si>
  <si>
    <t>62.79109; -92.18223</t>
  </si>
  <si>
    <t>Canon</t>
  </si>
  <si>
    <t>VLM</t>
  </si>
  <si>
    <t>61E (vv)</t>
  </si>
  <si>
    <t>??H (vv)</t>
  </si>
  <si>
    <t>Pigeon</t>
  </si>
  <si>
    <t>Y</t>
  </si>
  <si>
    <t>1687-05077</t>
  </si>
  <si>
    <t>39E (vv)</t>
  </si>
  <si>
    <t>Trap over eggs</t>
  </si>
  <si>
    <t>L290-2495</t>
  </si>
  <si>
    <t>1687-05086</t>
  </si>
  <si>
    <t>93E (vv)</t>
  </si>
  <si>
    <t>L290-2553</t>
  </si>
  <si>
    <t>00K (vv)</t>
  </si>
  <si>
    <t>reconyx</t>
  </si>
  <si>
    <t>No</t>
  </si>
  <si>
    <t>canon</t>
  </si>
  <si>
    <t>EH</t>
  </si>
  <si>
    <t>01H (vv)</t>
  </si>
  <si>
    <t>05B (vv)</t>
  </si>
  <si>
    <r>
      <t>May 21 :</t>
    </r>
    <r>
      <rPr>
        <sz val="10"/>
        <color rgb="FF000000"/>
        <rFont val="Times New Roman"/>
        <family val="1"/>
      </rPr>
      <t xml:space="preserve"> Empty </t>
    </r>
    <r>
      <rPr>
        <b/>
        <sz val="10"/>
        <color rgb="FF000000"/>
        <rFont val="Times New Roman"/>
        <family val="1"/>
      </rPr>
      <t xml:space="preserve">May 22: </t>
    </r>
    <r>
      <rPr>
        <sz val="10"/>
        <color rgb="FF000000"/>
        <rFont val="Times New Roman"/>
        <family val="1"/>
      </rPr>
      <t xml:space="preserve">RHLA pair on cliff. </t>
    </r>
    <r>
      <rPr>
        <b/>
        <sz val="10"/>
        <color rgb="FF000000"/>
        <rFont val="Times New Roman"/>
        <family val="1"/>
      </rPr>
      <t xml:space="preserve">June 9: </t>
    </r>
    <r>
      <rPr>
        <sz val="10"/>
        <color rgb="FF000000"/>
        <rFont val="Times New Roman"/>
        <family val="1"/>
      </rPr>
      <t>Unoccupied.</t>
    </r>
  </si>
  <si>
    <r>
      <t>May 22:</t>
    </r>
    <r>
      <rPr>
        <sz val="10"/>
        <color rgb="FF000000"/>
        <rFont val="Times New Roman"/>
        <family val="1"/>
      </rPr>
      <t xml:space="preserve"> RHLA pair on cliff. </t>
    </r>
    <r>
      <rPr>
        <b/>
        <sz val="10"/>
        <color rgb="FF000000"/>
        <rFont val="Times New Roman"/>
        <family val="1"/>
      </rPr>
      <t xml:space="preserve">June 9: </t>
    </r>
    <r>
      <rPr>
        <sz val="10"/>
        <color rgb="FF000000"/>
        <rFont val="Times New Roman"/>
        <family val="1"/>
      </rPr>
      <t xml:space="preserve"> RLHA. 1 adult. 5 eggs.</t>
    </r>
  </si>
  <si>
    <r>
      <t xml:space="preserve">May 21 </t>
    </r>
    <r>
      <rPr>
        <sz val="10"/>
        <color rgb="FF000000"/>
        <rFont val="Times New Roman"/>
        <family val="1"/>
      </rPr>
      <t xml:space="preserve">: RLHA pair. </t>
    </r>
    <r>
      <rPr>
        <b/>
        <sz val="10"/>
        <color rgb="FF000000"/>
        <rFont val="Times New Roman"/>
        <family val="1"/>
      </rPr>
      <t xml:space="preserve">May 28: </t>
    </r>
    <r>
      <rPr>
        <sz val="10"/>
        <color rgb="FF000000"/>
        <rFont val="Times New Roman"/>
        <family val="1"/>
      </rPr>
      <t xml:space="preserve"> PEFA pair. Female on stick nest (not incubating) on cliff SE of 2013 cliff. </t>
    </r>
    <r>
      <rPr>
        <b/>
        <sz val="10"/>
        <color rgb="FF000000"/>
        <rFont val="Times New Roman"/>
        <family val="1"/>
      </rPr>
      <t xml:space="preserve">June 8: </t>
    </r>
    <r>
      <rPr>
        <sz val="10"/>
        <color rgb="FF000000"/>
        <rFont val="Times New Roman"/>
        <family val="1"/>
      </rPr>
      <t xml:space="preserve">Walked from 2013 site 4 to site 6 and beyond. Unoccupied. </t>
    </r>
    <r>
      <rPr>
        <b/>
        <sz val="10"/>
        <color rgb="FF000000"/>
        <rFont val="Times New Roman"/>
        <family val="1"/>
      </rPr>
      <t xml:space="preserve">June 13: </t>
    </r>
    <r>
      <rPr>
        <sz val="10"/>
        <color rgb="FF000000"/>
        <rFont val="Times New Roman"/>
        <family val="1"/>
      </rPr>
      <t>Empty.</t>
    </r>
  </si>
  <si>
    <r>
      <rPr>
        <b/>
        <sz val="10"/>
        <color rgb="FF000000"/>
        <rFont val="Times New Roman"/>
        <family val="1"/>
      </rPr>
      <t xml:space="preserve">May 28: </t>
    </r>
    <r>
      <rPr>
        <sz val="10"/>
        <color rgb="FF000000"/>
        <rFont val="Times New Roman"/>
        <family val="1"/>
      </rPr>
      <t xml:space="preserve">Stick nest observed from the sea ice. Doesn't seems to be occupied. </t>
    </r>
    <r>
      <rPr>
        <b/>
        <sz val="10"/>
        <color rgb="FF000000"/>
        <rFont val="Times New Roman"/>
        <family val="1"/>
      </rPr>
      <t xml:space="preserve">June 13: </t>
    </r>
    <r>
      <rPr>
        <sz val="10"/>
        <color rgb="FF000000"/>
        <rFont val="Times New Roman"/>
        <family val="1"/>
      </rPr>
      <t>1 RLHA. 5 eggs.</t>
    </r>
  </si>
  <si>
    <t>unbanded</t>
  </si>
  <si>
    <t>04B (vv)</t>
  </si>
  <si>
    <t>pigeon</t>
  </si>
  <si>
    <t>15C (vv)</t>
  </si>
  <si>
    <t>47E (vv)</t>
  </si>
  <si>
    <t>L290-2515</t>
  </si>
  <si>
    <t>recapture</t>
  </si>
  <si>
    <t>full</t>
  </si>
  <si>
    <t>49E (vv) (on right leg)</t>
  </si>
  <si>
    <t>49E (vv) on right leg.</t>
  </si>
  <si>
    <t>00H (vv)</t>
  </si>
  <si>
    <t>41A (vv)</t>
  </si>
  <si>
    <t>62.81955 -92.25659</t>
  </si>
  <si>
    <r>
      <rPr>
        <b/>
        <sz val="10"/>
        <color rgb="FF000000"/>
        <rFont val="Times New Roman"/>
        <family val="1"/>
      </rPr>
      <t xml:space="preserve">June 16: </t>
    </r>
    <r>
      <rPr>
        <sz val="10"/>
        <color rgb="FF000000"/>
        <rFont val="Times New Roman"/>
        <family val="1"/>
      </rPr>
      <t xml:space="preserve">New RLHA nest found. RLHA pair. 6 eggs. </t>
    </r>
  </si>
  <si>
    <t>West</t>
  </si>
  <si>
    <t>62.83578 -92.25304</t>
  </si>
  <si>
    <t>62.84214 -92.26161</t>
  </si>
  <si>
    <r>
      <t xml:space="preserve">June 16: </t>
    </r>
    <r>
      <rPr>
        <sz val="10"/>
        <color rgb="FF000000"/>
        <rFont val="Times New Roman"/>
        <family val="1"/>
      </rPr>
      <t>New RLHA nest. RLHA pair. 6 eggs!.</t>
    </r>
  </si>
  <si>
    <t>62.84616 -92.27536</t>
  </si>
  <si>
    <r>
      <t xml:space="preserve">May 30: </t>
    </r>
    <r>
      <rPr>
        <sz val="10"/>
        <color rgb="FF000000"/>
        <rFont val="Times New Roman"/>
        <family val="1"/>
      </rPr>
      <t xml:space="preserve">Empty. </t>
    </r>
    <r>
      <rPr>
        <b/>
        <sz val="10"/>
        <color rgb="FF000000"/>
        <rFont val="Times New Roman"/>
        <family val="1"/>
      </rPr>
      <t xml:space="preserve">June 19: </t>
    </r>
    <r>
      <rPr>
        <sz val="10"/>
        <color rgb="FF000000"/>
        <rFont val="Times New Roman"/>
        <family val="1"/>
      </rPr>
      <t>Empty.</t>
    </r>
  </si>
  <si>
    <r>
      <t xml:space="preserve">May 30: </t>
    </r>
    <r>
      <rPr>
        <sz val="10"/>
        <color rgb="FF000000"/>
        <rFont val="Times New Roman"/>
        <family val="1"/>
      </rPr>
      <t xml:space="preserve">Empty. </t>
    </r>
    <r>
      <rPr>
        <b/>
        <sz val="10"/>
        <color rgb="FF000000"/>
        <rFont val="Times New Roman"/>
        <family val="1"/>
      </rPr>
      <t xml:space="preserve">June 19: </t>
    </r>
    <r>
      <rPr>
        <sz val="10"/>
        <color rgb="FF000000"/>
        <rFont val="Times New Roman"/>
        <family val="1"/>
      </rPr>
      <t>Empty but new material added to stick nest since last visit. New material added but no laying attempt. Another RLHA stick nest found close to site 87 (62.85070 -92.37762) with new material added this year and probably eggs layed (although it is empty on June 19). This wpt should also be check again in next years.</t>
    </r>
  </si>
  <si>
    <r>
      <t xml:space="preserve">May 21 : </t>
    </r>
    <r>
      <rPr>
        <sz val="10"/>
        <color rgb="FF000000"/>
        <rFont val="Times New Roman"/>
        <family val="1"/>
      </rPr>
      <t xml:space="preserve"> RLHA pair flying and also copulating. </t>
    </r>
    <r>
      <rPr>
        <b/>
        <sz val="10"/>
        <color rgb="FF000000"/>
        <rFont val="Times New Roman"/>
        <family val="1"/>
      </rPr>
      <t xml:space="preserve">June 19: </t>
    </r>
    <r>
      <rPr>
        <sz val="10"/>
        <color rgb="FF000000"/>
        <rFont val="Times New Roman"/>
        <family val="1"/>
      </rPr>
      <t xml:space="preserve">RLHA pair. 5 eggs. </t>
    </r>
  </si>
  <si>
    <t>W</t>
  </si>
  <si>
    <t>62.84227 -92.32505</t>
  </si>
  <si>
    <r>
      <t>May 21:</t>
    </r>
    <r>
      <rPr>
        <sz val="10"/>
        <color rgb="FF000000"/>
        <rFont val="Times New Roman"/>
        <family val="1"/>
      </rPr>
      <t xml:space="preserve"> </t>
    </r>
    <r>
      <rPr>
        <b/>
        <sz val="10"/>
        <color rgb="FF000000"/>
        <rFont val="Times New Roman"/>
        <family val="1"/>
      </rPr>
      <t xml:space="preserve"> </t>
    </r>
    <r>
      <rPr>
        <sz val="10"/>
        <color rgb="FF000000"/>
        <rFont val="Times New Roman"/>
        <family val="1"/>
      </rPr>
      <t xml:space="preserve">Empty. </t>
    </r>
    <r>
      <rPr>
        <b/>
        <sz val="10"/>
        <color rgb="FF000000"/>
        <rFont val="Times New Roman"/>
        <family val="1"/>
      </rPr>
      <t xml:space="preserve">May 30: </t>
    </r>
    <r>
      <rPr>
        <sz val="10"/>
        <color rgb="FF000000"/>
        <rFont val="Times New Roman"/>
        <family val="1"/>
      </rPr>
      <t xml:space="preserve">Empty. </t>
    </r>
    <r>
      <rPr>
        <b/>
        <sz val="10"/>
        <color rgb="FF000000"/>
        <rFont val="Times New Roman"/>
        <family val="1"/>
      </rPr>
      <t xml:space="preserve">June 19: </t>
    </r>
    <r>
      <rPr>
        <sz val="10"/>
        <color rgb="FF000000"/>
        <rFont val="Times New Roman"/>
        <family val="1"/>
      </rPr>
      <t>Empty.</t>
    </r>
  </si>
  <si>
    <t>?</t>
  </si>
  <si>
    <t>62.78984 -92.10604</t>
  </si>
  <si>
    <t>1687-05027</t>
  </si>
  <si>
    <t>76B (vv)</t>
  </si>
  <si>
    <t>trap over eggs</t>
  </si>
  <si>
    <t>empty</t>
  </si>
  <si>
    <t>L290-0546</t>
  </si>
  <si>
    <r>
      <rPr>
        <b/>
        <sz val="10"/>
        <color rgb="FF000000"/>
        <rFont val="Times New Roman"/>
        <family val="1"/>
      </rPr>
      <t xml:space="preserve">May 28: </t>
    </r>
    <r>
      <rPr>
        <sz val="10"/>
        <color rgb="FF000000"/>
        <rFont val="Times New Roman"/>
        <family val="1"/>
      </rPr>
      <t xml:space="preserve">RLHA pair. </t>
    </r>
    <r>
      <rPr>
        <b/>
        <sz val="10"/>
        <color rgb="FF000000"/>
        <rFont val="Times New Roman"/>
        <family val="1"/>
      </rPr>
      <t xml:space="preserve">June 8: </t>
    </r>
    <r>
      <rPr>
        <sz val="10"/>
        <color rgb="FF000000"/>
        <rFont val="Times New Roman"/>
        <family val="1"/>
      </rPr>
      <t xml:space="preserve">RLHA pair. 4 eggs. </t>
    </r>
    <r>
      <rPr>
        <b/>
        <sz val="10"/>
        <color rgb="FF000000"/>
        <rFont val="Times New Roman"/>
        <family val="1"/>
      </rPr>
      <t>June 23 :</t>
    </r>
    <r>
      <rPr>
        <sz val="10"/>
        <color rgb="FF000000"/>
        <rFont val="Times New Roman"/>
        <family val="1"/>
      </rPr>
      <t xml:space="preserve"> RHLA pair, 4 eggs, next to CAGO nest</t>
    </r>
  </si>
  <si>
    <t>RLHA</t>
  </si>
  <si>
    <r>
      <rPr>
        <b/>
        <sz val="10"/>
        <color rgb="FF000000"/>
        <rFont val="Times New Roman"/>
        <family val="1"/>
      </rPr>
      <t>May 28:</t>
    </r>
    <r>
      <rPr>
        <sz val="10"/>
        <color rgb="FF000000"/>
        <rFont val="Times New Roman"/>
        <family val="1"/>
      </rPr>
      <t xml:space="preserve">  Raven nest occupied and RLHA pair seen flying behind cliff and near the location of last year's 104 nest. We may have RLHA, CORA and PEFA in this area this year. </t>
    </r>
  </si>
  <si>
    <t>62.82511 -91.87913</t>
  </si>
  <si>
    <t>1807-15472 (left leg)</t>
  </si>
  <si>
    <t>94E (vv)</t>
  </si>
  <si>
    <t>L290-2545</t>
  </si>
  <si>
    <t xml:space="preserve"> canon</t>
  </si>
  <si>
    <t>75B</t>
  </si>
  <si>
    <t>1687-05088</t>
  </si>
  <si>
    <t>96E (vv)</t>
  </si>
  <si>
    <t>L290-2621</t>
  </si>
  <si>
    <t>67B</t>
  </si>
  <si>
    <t>11A (vv) (right leg)</t>
  </si>
  <si>
    <t>75E (vv) (on right leg)</t>
  </si>
  <si>
    <t>85K (vv) on right leg</t>
  </si>
  <si>
    <r>
      <t xml:space="preserve">May 21 : </t>
    </r>
    <r>
      <rPr>
        <sz val="10"/>
        <color rgb="FF000000"/>
        <rFont val="Times New Roman"/>
        <family val="1"/>
      </rPr>
      <t xml:space="preserve">PEFA pair. Unsuccesful trapping. </t>
    </r>
    <r>
      <rPr>
        <b/>
        <sz val="10"/>
        <color rgb="FF000000"/>
        <rFont val="Times New Roman"/>
        <family val="1"/>
      </rPr>
      <t xml:space="preserve">June 9: </t>
    </r>
    <r>
      <rPr>
        <sz val="10"/>
        <color rgb="FF000000"/>
        <rFont val="Times New Roman"/>
        <family val="1"/>
      </rPr>
      <t xml:space="preserve"> Unoccupied. </t>
    </r>
    <r>
      <rPr>
        <b/>
        <sz val="10"/>
        <color rgb="FF000000"/>
        <rFont val="Times New Roman"/>
        <family val="1"/>
      </rPr>
      <t xml:space="preserve">June 23: </t>
    </r>
    <r>
      <rPr>
        <sz val="10"/>
        <color rgb="FF000000"/>
        <rFont val="Times New Roman"/>
        <family val="1"/>
      </rPr>
      <t>Empty.</t>
    </r>
  </si>
  <si>
    <r>
      <t xml:space="preserve">June 16: </t>
    </r>
    <r>
      <rPr>
        <sz val="10"/>
        <color rgb="FF000000"/>
        <rFont val="Times New Roman"/>
        <family val="1"/>
      </rPr>
      <t>Occupied by RLHA. Didn't look for eggs.</t>
    </r>
  </si>
  <si>
    <r>
      <rPr>
        <b/>
        <sz val="10"/>
        <color rgb="FF000000"/>
        <rFont val="Times New Roman"/>
        <family val="1"/>
      </rPr>
      <t xml:space="preserve">June 20: </t>
    </r>
    <r>
      <rPr>
        <sz val="10"/>
        <color rgb="FF000000"/>
        <rFont val="Times New Roman"/>
        <family val="1"/>
      </rPr>
      <t>New RLHA 2014 4. RLHA pair east of 113 (900m). 5 eggs. WPT = New RLHA 2014 4.</t>
    </r>
  </si>
  <si>
    <r>
      <t xml:space="preserve">June 11 : </t>
    </r>
    <r>
      <rPr>
        <sz val="10"/>
        <color rgb="FF000000"/>
        <rFont val="Times New Roman"/>
        <family val="1"/>
      </rPr>
      <t xml:space="preserve">Empty. </t>
    </r>
    <r>
      <rPr>
        <b/>
        <sz val="10"/>
        <color rgb="FF000000"/>
        <rFont val="Times New Roman"/>
        <family val="1"/>
      </rPr>
      <t xml:space="preserve">June 20: </t>
    </r>
    <r>
      <rPr>
        <sz val="10"/>
        <color rgb="FF000000"/>
        <rFont val="Times New Roman"/>
        <family val="1"/>
      </rPr>
      <t xml:space="preserve"> Empty. No new material added to nest this year.</t>
    </r>
  </si>
  <si>
    <t>Head to bill (mm)</t>
  </si>
  <si>
    <t>Pellet/empty</t>
  </si>
  <si>
    <t>unbaded</t>
  </si>
  <si>
    <r>
      <t xml:space="preserve">May 29: </t>
    </r>
    <r>
      <rPr>
        <sz val="10"/>
        <color rgb="FF000000"/>
        <rFont val="Times New Roman"/>
        <family val="1"/>
      </rPr>
      <t>1 RLHA. Stick nest empty. 2 PEFA on cliff next to tripod.</t>
    </r>
  </si>
  <si>
    <r>
      <t xml:space="preserve">May 21: </t>
    </r>
    <r>
      <rPr>
        <sz val="10"/>
        <color rgb="FF000000"/>
        <rFont val="Times New Roman"/>
        <family val="1"/>
      </rPr>
      <t xml:space="preserve">Empty. </t>
    </r>
    <r>
      <rPr>
        <b/>
        <sz val="10"/>
        <color rgb="FF000000"/>
        <rFont val="Times New Roman"/>
        <family val="1"/>
      </rPr>
      <t xml:space="preserve">May 27: </t>
    </r>
    <r>
      <rPr>
        <sz val="10"/>
        <color rgb="FF000000"/>
        <rFont val="Times New Roman"/>
        <family val="1"/>
      </rPr>
      <t xml:space="preserve">1 PEFA female. </t>
    </r>
    <r>
      <rPr>
        <b/>
        <sz val="10"/>
        <color rgb="FF000000"/>
        <rFont val="Times New Roman"/>
        <family val="1"/>
      </rPr>
      <t xml:space="preserve">May 28: </t>
    </r>
    <r>
      <rPr>
        <sz val="10"/>
        <color rgb="FF000000"/>
        <rFont val="Times New Roman"/>
        <family val="1"/>
      </rPr>
      <t xml:space="preserve">Empty. </t>
    </r>
    <r>
      <rPr>
        <b/>
        <sz val="10"/>
        <color rgb="FF000000"/>
        <rFont val="Times New Roman"/>
        <family val="1"/>
      </rPr>
      <t xml:space="preserve">June 5: </t>
    </r>
    <r>
      <rPr>
        <sz val="10"/>
        <color rgb="FF000000"/>
        <rFont val="Times New Roman"/>
        <family val="1"/>
      </rPr>
      <t>Unoccupied.</t>
    </r>
    <r>
      <rPr>
        <b/>
        <sz val="10"/>
        <color rgb="FF000000"/>
        <rFont val="Times New Roman"/>
        <family val="1"/>
      </rPr>
      <t xml:space="preserve"> June 12 :</t>
    </r>
    <r>
      <rPr>
        <sz val="10"/>
        <color rgb="FF000000"/>
        <rFont val="Times New Roman"/>
        <family val="1"/>
      </rPr>
      <t xml:space="preserve"> Empty</t>
    </r>
  </si>
  <si>
    <r>
      <t xml:space="preserve">May 18: </t>
    </r>
    <r>
      <rPr>
        <sz val="10"/>
        <color rgb="FF000000"/>
        <rFont val="Times New Roman"/>
        <family val="1"/>
      </rPr>
      <t xml:space="preserve">RLHA pair. </t>
    </r>
    <r>
      <rPr>
        <b/>
        <sz val="10"/>
        <color rgb="FF000000"/>
        <rFont val="Times New Roman"/>
        <family val="1"/>
      </rPr>
      <t xml:space="preserve">May 19: </t>
    </r>
    <r>
      <rPr>
        <sz val="10"/>
        <color rgb="FF000000"/>
        <rFont val="Times New Roman"/>
        <family val="1"/>
      </rPr>
      <t xml:space="preserve">(site 8/10= 5 RLHA). </t>
    </r>
    <r>
      <rPr>
        <b/>
        <sz val="10"/>
        <color rgb="FF000000"/>
        <rFont val="Times New Roman"/>
        <family val="1"/>
      </rPr>
      <t xml:space="preserve">May 26: </t>
    </r>
    <r>
      <rPr>
        <sz val="10"/>
        <color rgb="FF000000"/>
        <rFont val="Times New Roman"/>
        <family val="1"/>
      </rPr>
      <t>RLHA on nest.</t>
    </r>
  </si>
  <si>
    <r>
      <t>May 18:</t>
    </r>
    <r>
      <rPr>
        <sz val="10"/>
        <color rgb="FF000000"/>
        <rFont val="Times New Roman"/>
        <family val="1"/>
      </rPr>
      <t xml:space="preserve"> 1RLHA </t>
    </r>
    <r>
      <rPr>
        <b/>
        <sz val="10"/>
        <color rgb="FF000000"/>
        <rFont val="Times New Roman"/>
        <family val="1"/>
      </rPr>
      <t>May 21:</t>
    </r>
    <r>
      <rPr>
        <sz val="10"/>
        <color rgb="FF000000"/>
        <rFont val="Times New Roman"/>
        <family val="1"/>
      </rPr>
      <t xml:space="preserve"> RLHA pair. </t>
    </r>
    <r>
      <rPr>
        <b/>
        <sz val="10"/>
        <color rgb="FF000000"/>
        <rFont val="Times New Roman"/>
        <family val="1"/>
      </rPr>
      <t xml:space="preserve">May 28: </t>
    </r>
    <r>
      <rPr>
        <sz val="10"/>
        <color rgb="FF000000"/>
        <rFont val="Times New Roman"/>
        <family val="1"/>
      </rPr>
      <t xml:space="preserve"> RLHA pair closer to sitr 105. Nest box removed from site 11. </t>
    </r>
    <r>
      <rPr>
        <b/>
        <sz val="10"/>
        <color rgb="FF000000"/>
        <rFont val="Times New Roman"/>
        <family val="1"/>
      </rPr>
      <t>June 23:</t>
    </r>
    <r>
      <rPr>
        <sz val="10"/>
        <color rgb="FF000000"/>
        <rFont val="Times New Roman"/>
        <family val="1"/>
      </rPr>
      <t xml:space="preserve"> Site unnocupied.</t>
    </r>
  </si>
  <si>
    <r>
      <t xml:space="preserve">May 18: </t>
    </r>
    <r>
      <rPr>
        <sz val="10"/>
        <color rgb="FF000000"/>
        <rFont val="Times New Roman"/>
        <family val="1"/>
      </rPr>
      <t xml:space="preserve"> Empty (1 RLHA). Took off on the way back. </t>
    </r>
    <r>
      <rPr>
        <b/>
        <sz val="10"/>
        <color rgb="FF000000"/>
        <rFont val="Times New Roman"/>
        <family val="1"/>
      </rPr>
      <t>May 21:</t>
    </r>
    <r>
      <rPr>
        <sz val="10"/>
        <color rgb="FF000000"/>
        <rFont val="Times New Roman"/>
        <family val="1"/>
      </rPr>
      <t xml:space="preserve"> (site 30/15) 1 PEFA female+ 1 RLHA. PEFA didn't came to pigeon. </t>
    </r>
    <r>
      <rPr>
        <b/>
        <sz val="10"/>
        <color rgb="FF000000"/>
        <rFont val="Times New Roman"/>
        <family val="1"/>
      </rPr>
      <t/>
    </r>
  </si>
  <si>
    <r>
      <t xml:space="preserve">May 22: </t>
    </r>
    <r>
      <rPr>
        <sz val="10"/>
        <color rgb="FF000000"/>
        <rFont val="Times New Roman"/>
        <family val="1"/>
      </rPr>
      <t xml:space="preserve">PEFA pair. 4 PEFAs at the same point. Unsuccessfull trapping. </t>
    </r>
    <r>
      <rPr>
        <b/>
        <sz val="10"/>
        <color rgb="FF000000"/>
        <rFont val="Times New Roman"/>
        <family val="1"/>
      </rPr>
      <t xml:space="preserve">May 24: </t>
    </r>
    <r>
      <rPr>
        <sz val="10"/>
        <color rgb="FF000000"/>
        <rFont val="Times New Roman"/>
        <family val="1"/>
      </rPr>
      <t xml:space="preserve">1 PEFA seen sitting on cliff as we drove in front. </t>
    </r>
    <r>
      <rPr>
        <b/>
        <sz val="10"/>
        <color rgb="FF000000"/>
        <rFont val="Times New Roman"/>
        <family val="1"/>
      </rPr>
      <t xml:space="preserve">June 8: </t>
    </r>
    <r>
      <rPr>
        <sz val="10"/>
        <color rgb="FF000000"/>
        <rFont val="Times New Roman"/>
        <family val="1"/>
      </rPr>
      <t xml:space="preserve">PEFA individual most likely male. Perched. Took off as we get close. Not territorial. No female. Walked the cliff. No scrape/eggs found. </t>
    </r>
    <r>
      <rPr>
        <b/>
        <sz val="10"/>
        <color rgb="FF000000"/>
        <rFont val="Times New Roman"/>
        <family val="1"/>
      </rPr>
      <t xml:space="preserve">June 14: </t>
    </r>
    <r>
      <rPr>
        <sz val="10"/>
        <color rgb="FF000000"/>
        <rFont val="Times New Roman"/>
        <family val="1"/>
      </rPr>
      <t>Empty.</t>
    </r>
  </si>
  <si>
    <r>
      <t xml:space="preserve">June 8: </t>
    </r>
    <r>
      <rPr>
        <sz val="10"/>
        <color rgb="FF000000"/>
        <rFont val="Times New Roman"/>
        <family val="1"/>
      </rPr>
      <t xml:space="preserve">Empty. </t>
    </r>
    <r>
      <rPr>
        <b/>
        <sz val="10"/>
        <color rgb="FF000000"/>
        <rFont val="Times New Roman"/>
        <family val="1"/>
      </rPr>
      <t xml:space="preserve">June 14: </t>
    </r>
    <r>
      <rPr>
        <sz val="10"/>
        <color rgb="FF000000"/>
        <rFont val="Times New Roman"/>
        <family val="1"/>
      </rPr>
      <t>Empty.</t>
    </r>
  </si>
  <si>
    <t>Golden eagle nest spotted during helicopter survey by Kristen and Pascal. Unoccupied when visited on June 9.</t>
  </si>
  <si>
    <r>
      <t xml:space="preserve">May 19: </t>
    </r>
    <r>
      <rPr>
        <sz val="10"/>
        <color rgb="FF000000"/>
        <rFont val="Times New Roman"/>
        <family val="1"/>
      </rPr>
      <t xml:space="preserve">Empty. </t>
    </r>
    <r>
      <rPr>
        <b/>
        <sz val="10"/>
        <color rgb="FF000000"/>
        <rFont val="Times New Roman"/>
        <family val="1"/>
      </rPr>
      <t xml:space="preserve">May 23: </t>
    </r>
    <r>
      <rPr>
        <sz val="10"/>
        <color rgb="FF000000"/>
        <rFont val="Times New Roman"/>
        <family val="1"/>
      </rPr>
      <t>Empty.</t>
    </r>
  </si>
  <si>
    <r>
      <t>May 19</t>
    </r>
    <r>
      <rPr>
        <sz val="10"/>
        <color rgb="FF000000"/>
        <rFont val="Times New Roman"/>
        <family val="1"/>
      </rPr>
      <t xml:space="preserve">: Empty. </t>
    </r>
    <r>
      <rPr>
        <b/>
        <sz val="10"/>
        <color rgb="FF000000"/>
        <rFont val="Times New Roman"/>
        <family val="1"/>
      </rPr>
      <t xml:space="preserve">May 23: </t>
    </r>
    <r>
      <rPr>
        <sz val="10"/>
        <color rgb="FF000000"/>
        <rFont val="Times New Roman"/>
        <family val="1"/>
      </rPr>
      <t xml:space="preserve">Empty. </t>
    </r>
  </si>
  <si>
    <t>RLHA seen during helicopter survey.</t>
  </si>
  <si>
    <r>
      <t xml:space="preserve">May 18: </t>
    </r>
    <r>
      <rPr>
        <sz val="10"/>
        <color rgb="FF000000"/>
        <rFont val="Times New Roman"/>
        <family val="1"/>
      </rPr>
      <t xml:space="preserve">1 RLHA , took off as we approched. Defending a bit.  </t>
    </r>
    <r>
      <rPr>
        <b/>
        <sz val="10"/>
        <color rgb="FF000000"/>
        <rFont val="Times New Roman"/>
        <family val="1"/>
      </rPr>
      <t xml:space="preserve">May 19: </t>
    </r>
    <r>
      <rPr>
        <sz val="10"/>
        <color rgb="FF000000"/>
        <rFont val="Times New Roman"/>
        <family val="1"/>
      </rPr>
      <t xml:space="preserve">1 RLHA </t>
    </r>
    <r>
      <rPr>
        <b/>
        <sz val="10"/>
        <color rgb="FF000000"/>
        <rFont val="Times New Roman"/>
        <family val="1"/>
      </rPr>
      <t xml:space="preserve">May 21 </t>
    </r>
    <r>
      <rPr>
        <sz val="10"/>
        <color rgb="FF000000"/>
        <rFont val="Times New Roman"/>
        <family val="1"/>
      </rPr>
      <t xml:space="preserve">: Empty. </t>
    </r>
    <r>
      <rPr>
        <b/>
        <sz val="10"/>
        <color rgb="FF000000"/>
        <rFont val="Times New Roman"/>
        <family val="1"/>
      </rPr>
      <t xml:space="preserve">May 27: </t>
    </r>
    <r>
      <rPr>
        <sz val="10"/>
        <color rgb="FF000000"/>
        <rFont val="Times New Roman"/>
        <family val="1"/>
      </rPr>
      <t xml:space="preserve"> RLHA pair and new material added to nest. </t>
    </r>
    <r>
      <rPr>
        <b/>
        <sz val="10"/>
        <color rgb="FF000000"/>
        <rFont val="Times New Roman"/>
        <family val="1"/>
      </rPr>
      <t xml:space="preserve">May 28: </t>
    </r>
    <r>
      <rPr>
        <sz val="10"/>
        <color rgb="FF000000"/>
        <rFont val="Times New Roman"/>
        <family val="1"/>
      </rPr>
      <t xml:space="preserve">RLHA incubating. </t>
    </r>
    <r>
      <rPr>
        <b/>
        <sz val="10"/>
        <color rgb="FF000000"/>
        <rFont val="Times New Roman"/>
        <family val="1"/>
      </rPr>
      <t xml:space="preserve">June 12: </t>
    </r>
    <r>
      <rPr>
        <sz val="10"/>
        <color rgb="FF000000"/>
        <rFont val="Times New Roman"/>
        <family val="1"/>
      </rPr>
      <t>RLHA pair. 4 eggs + 1 egg at the bottom of the cliff. Wpt 52 2014.</t>
    </r>
  </si>
  <si>
    <t>Empty (from distance).</t>
  </si>
  <si>
    <r>
      <t xml:space="preserve">May 26: </t>
    </r>
    <r>
      <rPr>
        <sz val="10"/>
        <color rgb="FF000000"/>
        <rFont val="Times New Roman"/>
        <family val="1"/>
      </rPr>
      <t xml:space="preserve">PEFA pair. RLHA pair seen flying behind the cliff. Unsuccessful trapping. </t>
    </r>
    <r>
      <rPr>
        <b/>
        <sz val="10"/>
        <color rgb="FF000000"/>
        <rFont val="Times New Roman"/>
        <family val="1"/>
      </rPr>
      <t>June 11:</t>
    </r>
    <r>
      <rPr>
        <sz val="10"/>
        <color rgb="FF000000"/>
        <rFont val="Times New Roman"/>
        <family val="1"/>
      </rPr>
      <t xml:space="preserve"> PEFA female took off as we approched. Not agressive. Flew south and never seen again. No fresh scrape. no eggs. mabye look again. </t>
    </r>
    <r>
      <rPr>
        <b/>
        <sz val="10"/>
        <color rgb="FF000000"/>
        <rFont val="Times New Roman"/>
        <family val="1"/>
      </rPr>
      <t xml:space="preserve">June 20: </t>
    </r>
    <r>
      <rPr>
        <sz val="10"/>
        <color rgb="FF000000"/>
        <rFont val="Times New Roman"/>
        <family val="1"/>
      </rPr>
      <t>Empty. No bird.</t>
    </r>
  </si>
  <si>
    <r>
      <t xml:space="preserve">May 19: </t>
    </r>
    <r>
      <rPr>
        <sz val="10"/>
        <color rgb="FF000000"/>
        <rFont val="Times New Roman"/>
        <family val="1"/>
      </rPr>
      <t xml:space="preserve">RLHA pair. </t>
    </r>
    <r>
      <rPr>
        <b/>
        <sz val="10"/>
        <color rgb="FF000000"/>
        <rFont val="Times New Roman"/>
        <family val="1"/>
      </rPr>
      <t xml:space="preserve">May 23: </t>
    </r>
    <r>
      <rPr>
        <sz val="10"/>
        <color rgb="FF000000"/>
        <rFont val="Times New Roman"/>
        <family val="1"/>
      </rPr>
      <t xml:space="preserve">1 RLHA. </t>
    </r>
    <r>
      <rPr>
        <b/>
        <sz val="10"/>
        <color rgb="FF000000"/>
        <rFont val="Times New Roman"/>
        <family val="1"/>
      </rPr>
      <t xml:space="preserve">June 2: </t>
    </r>
    <r>
      <rPr>
        <sz val="10"/>
        <color rgb="FF000000"/>
        <rFont val="Times New Roman"/>
        <family val="1"/>
      </rPr>
      <t>RLHA by raven cave. 2 eggs.</t>
    </r>
  </si>
  <si>
    <r>
      <t xml:space="preserve">May 19: </t>
    </r>
    <r>
      <rPr>
        <sz val="10"/>
        <color rgb="FF000000"/>
        <rFont val="Times New Roman"/>
        <family val="1"/>
      </rPr>
      <t xml:space="preserve">1 raven on nest + 1 RLHA sitting  </t>
    </r>
    <r>
      <rPr>
        <b/>
        <sz val="10"/>
        <color rgb="FF000000"/>
        <rFont val="Times New Roman"/>
        <family val="1"/>
      </rPr>
      <t xml:space="preserve">May 20: </t>
    </r>
    <r>
      <rPr>
        <sz val="10"/>
        <color rgb="FF000000"/>
        <rFont val="Times New Roman"/>
        <family val="1"/>
      </rPr>
      <t xml:space="preserve">Raven on nest+ Falcon took off. </t>
    </r>
    <r>
      <rPr>
        <b/>
        <sz val="10"/>
        <color rgb="FF000000"/>
        <rFont val="Times New Roman"/>
        <family val="1"/>
      </rPr>
      <t xml:space="preserve">May 23: </t>
    </r>
    <r>
      <rPr>
        <sz val="10"/>
        <color rgb="FF000000"/>
        <rFont val="Times New Roman"/>
        <family val="1"/>
      </rPr>
      <t xml:space="preserve">1 RLHA (maybe from 45?) + RAVEN on nest. </t>
    </r>
    <r>
      <rPr>
        <b/>
        <sz val="10"/>
        <color rgb="FF000000"/>
        <rFont val="Times New Roman"/>
        <family val="1"/>
      </rPr>
      <t xml:space="preserve">June 2: </t>
    </r>
    <r>
      <rPr>
        <sz val="10"/>
        <color rgb="FF000000"/>
        <rFont val="Times New Roman"/>
        <family val="1"/>
      </rPr>
      <t xml:space="preserve">Raven with nest and chicks. </t>
    </r>
    <r>
      <rPr>
        <b/>
        <sz val="10"/>
        <color rgb="FF000000"/>
        <rFont val="Times New Roman"/>
        <family val="1"/>
      </rPr>
      <t xml:space="preserve">June 9: </t>
    </r>
    <r>
      <rPr>
        <sz val="10"/>
        <color rgb="FF000000"/>
        <rFont val="Times New Roman"/>
        <family val="1"/>
      </rPr>
      <t xml:space="preserve">Ravecs + chicks in nest. </t>
    </r>
  </si>
  <si>
    <r>
      <t xml:space="preserve">May 30: </t>
    </r>
    <r>
      <rPr>
        <sz val="10"/>
        <color rgb="FF000000"/>
        <rFont val="Times New Roman"/>
        <family val="1"/>
      </rPr>
      <t xml:space="preserve">Empty. </t>
    </r>
    <r>
      <rPr>
        <b/>
        <sz val="10"/>
        <color rgb="FF000000"/>
        <rFont val="Times New Roman"/>
        <family val="1"/>
      </rPr>
      <t xml:space="preserve">June 13: </t>
    </r>
    <r>
      <rPr>
        <sz val="10"/>
        <color rgb="FF000000"/>
        <rFont val="Times New Roman"/>
        <family val="1"/>
      </rPr>
      <t xml:space="preserve">RLHA. New nest. 1egg. </t>
    </r>
    <r>
      <rPr>
        <b/>
        <sz val="10"/>
        <color rgb="FF000000"/>
        <rFont val="Times New Roman"/>
        <family val="1"/>
      </rPr>
      <t>June 21:</t>
    </r>
    <r>
      <rPr>
        <sz val="10"/>
        <color rgb="FF000000"/>
        <rFont val="Times New Roman"/>
        <family val="1"/>
      </rPr>
      <t xml:space="preserve"> Nest empty (2 nests very close from eachother) both contain big rocks (might have been trown from top of cliff). Couple of empty shotgun shell found near nest.</t>
    </r>
  </si>
  <si>
    <t>Occupied by RLHA?</t>
  </si>
  <si>
    <r>
      <rPr>
        <b/>
        <sz val="10"/>
        <color rgb="FF000000"/>
        <rFont val="Times New Roman"/>
        <family val="1"/>
      </rPr>
      <t>June 12</t>
    </r>
    <r>
      <rPr>
        <sz val="10"/>
        <color rgb="FF000000"/>
        <rFont val="Times New Roman"/>
        <family val="1"/>
      </rPr>
      <t xml:space="preserve">: 4 eggs. 2 adults RLHA. </t>
    </r>
    <r>
      <rPr>
        <b/>
        <sz val="10"/>
        <color rgb="FF000000"/>
        <rFont val="Times New Roman"/>
        <family val="1"/>
      </rPr>
      <t>June 22</t>
    </r>
    <r>
      <rPr>
        <sz val="10"/>
        <color rgb="FF000000"/>
        <rFont val="Times New Roman"/>
        <family val="1"/>
      </rPr>
      <t>: Nest is empty. RLHA Pair moved to Siskin Point: New nest, 4 eggs. New waypoint: 62.82511/091.87913</t>
    </r>
  </si>
  <si>
    <t>62.85239 -92.32246</t>
  </si>
  <si>
    <t>62.75274 -92.23737</t>
  </si>
  <si>
    <t>62.74331 -92.17992</t>
  </si>
  <si>
    <t>62.76502 -92.27924</t>
  </si>
  <si>
    <t>62.7623 -92.25649</t>
  </si>
  <si>
    <t>62.77885 -92.30341</t>
  </si>
  <si>
    <t>62.7956 -92.32365</t>
  </si>
  <si>
    <t>62.78574 -92.19233</t>
  </si>
  <si>
    <t>62.82817 -92.24089</t>
  </si>
  <si>
    <t>62.82988 -92.24807</t>
  </si>
  <si>
    <t>62.8511 -91.96756</t>
  </si>
  <si>
    <t>62.83117 -91.96900</t>
  </si>
  <si>
    <t>62.82990 -91.95595</t>
  </si>
  <si>
    <t>62.82457 -91.92072</t>
  </si>
  <si>
    <t>62.82546 -91.92323</t>
  </si>
  <si>
    <t>62.8155 -92.18944</t>
  </si>
  <si>
    <t>62.79505 -92.14745</t>
  </si>
  <si>
    <t>62.82254 -92.25725</t>
  </si>
  <si>
    <t>62.8664 -92.07762</t>
  </si>
  <si>
    <t>62.81308 -92.31287</t>
  </si>
  <si>
    <t>62.82386 -91.8683</t>
  </si>
  <si>
    <t>62.82726 -91.96446</t>
  </si>
  <si>
    <t>62.86439 -92.01541</t>
  </si>
  <si>
    <t>62.79723 -92.16287</t>
  </si>
  <si>
    <t>62.87996 -92.23027</t>
  </si>
  <si>
    <t>62.77302 -92.29770</t>
  </si>
  <si>
    <t>62.85596 -91.87482</t>
  </si>
  <si>
    <t>62.92973 -92.22223</t>
  </si>
  <si>
    <t>62.96938 -92.00268</t>
  </si>
  <si>
    <t>62.76728 -92.12499</t>
  </si>
  <si>
    <t>62.83131 -92.40282</t>
  </si>
  <si>
    <t>62.82208 -91.90633</t>
  </si>
  <si>
    <t>62.82202 -91.90678</t>
  </si>
  <si>
    <t>62.79734 -92.14707</t>
  </si>
  <si>
    <t>62.78743 -92.12650</t>
  </si>
  <si>
    <t>62.79659 -92.16116</t>
  </si>
  <si>
    <t>62.97403 -91.99301</t>
  </si>
  <si>
    <t>Blood smear (Y/N)</t>
  </si>
  <si>
    <t>Hematocrit (%)</t>
  </si>
  <si>
    <t>Total solids (g/100 ml)</t>
  </si>
  <si>
    <r>
      <t>May 21:</t>
    </r>
    <r>
      <rPr>
        <sz val="10"/>
        <color rgb="FF000000"/>
        <rFont val="Times New Roman"/>
        <family val="1"/>
      </rPr>
      <t xml:space="preserve"> PEFA female sitting on cliff south of the road. Both male and female came to pigeon. 1st blood=small amount. </t>
    </r>
    <r>
      <rPr>
        <b/>
        <sz val="10"/>
        <color rgb="FF000000"/>
        <rFont val="Times New Roman"/>
        <family val="1"/>
      </rPr>
      <t xml:space="preserve">May 30: </t>
    </r>
    <r>
      <rPr>
        <sz val="10"/>
        <color rgb="FF000000"/>
        <rFont val="Times New Roman"/>
        <family val="1"/>
      </rPr>
      <t xml:space="preserve">Empty. </t>
    </r>
    <r>
      <rPr>
        <b/>
        <sz val="10"/>
        <color rgb="FF000000"/>
        <rFont val="Times New Roman"/>
        <family val="1"/>
      </rPr>
      <t xml:space="preserve">June 8: </t>
    </r>
    <r>
      <rPr>
        <sz val="10"/>
        <color rgb="FF000000"/>
        <rFont val="Times New Roman"/>
        <family val="1"/>
      </rPr>
      <t xml:space="preserve">2 eggs. 2 adults. Deployed Reconyx + RG + Ibutton. </t>
    </r>
    <r>
      <rPr>
        <b/>
        <sz val="10"/>
        <color rgb="FF000000"/>
        <rFont val="Times New Roman"/>
        <family val="1"/>
      </rPr>
      <t xml:space="preserve">June 10: </t>
    </r>
    <r>
      <rPr>
        <sz val="10"/>
        <color rgb="FF000000"/>
        <rFont val="Times New Roman"/>
        <family val="1"/>
      </rPr>
      <t xml:space="preserve">from reconyx: 3rd egg layed. </t>
    </r>
    <r>
      <rPr>
        <b/>
        <sz val="10"/>
        <color rgb="FF000000"/>
        <rFont val="Times New Roman"/>
        <family val="1"/>
      </rPr>
      <t xml:space="preserve">June 13: </t>
    </r>
    <r>
      <rPr>
        <sz val="10"/>
        <color rgb="FF000000"/>
        <rFont val="Times New Roman"/>
        <family val="1"/>
      </rPr>
      <t>2 adults, 1 egg. Looked at pictures and on June 10 at 5:17 PM, it looks like someone was throwing rocks at the eggs. They broke 2. RG = 0.</t>
    </r>
    <r>
      <rPr>
        <b/>
        <sz val="10"/>
        <color rgb="FF000000"/>
        <rFont val="Times New Roman"/>
        <family val="1"/>
      </rPr>
      <t xml:space="preserve">June 21: </t>
    </r>
    <r>
      <rPr>
        <sz val="10"/>
        <color rgb="FF000000"/>
        <rFont val="Times New Roman"/>
        <family val="1"/>
      </rPr>
      <t xml:space="preserve"> PEFA pair. RG = 0. 1 egg. Camera is taking pictures 1 of 1. Changed batt + mem card 16 GB. Time on camera is 1 hour later from pictures on memory card until June 21st. Ex: picture taken at 10:00 on camera is actually at 9:00. Cam is still taking pictures 1 of 1 with mem card deployed on June 21st. </t>
    </r>
    <r>
      <rPr>
        <b/>
        <sz val="10"/>
        <color rgb="FF000000"/>
        <rFont val="Times New Roman"/>
        <family val="1"/>
      </rPr>
      <t xml:space="preserve">June 23: </t>
    </r>
    <r>
      <rPr>
        <sz val="10"/>
        <color rgb="FF000000"/>
        <rFont val="Times New Roman"/>
        <family val="1"/>
      </rPr>
      <t xml:space="preserve">Changed mem card for a newly configured card. Now taking pictures 1 of 3. RG = 0, 1 egg. </t>
    </r>
    <r>
      <rPr>
        <b/>
        <sz val="10"/>
        <color rgb="FF000000"/>
        <rFont val="Times New Roman"/>
        <family val="1"/>
      </rPr>
      <t xml:space="preserve">June 28: </t>
    </r>
    <r>
      <rPr>
        <sz val="10"/>
        <color rgb="FF000000"/>
        <rFont val="Times New Roman"/>
        <family val="1"/>
      </rPr>
      <t xml:space="preserve"> PEFA pair, 1 egg, camera took off to place at site </t>
    </r>
    <r>
      <rPr>
        <b/>
        <sz val="10"/>
        <color rgb="FF000000"/>
        <rFont val="Times New Roman"/>
        <family val="1"/>
      </rPr>
      <t>59.</t>
    </r>
    <r>
      <rPr>
        <sz val="10"/>
        <color rgb="FF000000"/>
        <rFont val="Times New Roman"/>
        <family val="1"/>
      </rPr>
      <t xml:space="preserve"> RG: &lt; 1mm. </t>
    </r>
    <r>
      <rPr>
        <b/>
        <sz val="10"/>
        <color rgb="FF000000"/>
        <rFont val="Times New Roman"/>
        <family val="1"/>
      </rPr>
      <t xml:space="preserve">July 9: SITE EMPTY: </t>
    </r>
    <r>
      <rPr>
        <sz val="10"/>
        <color rgb="FF000000"/>
        <rFont val="Times New Roman"/>
        <family val="1"/>
      </rPr>
      <t xml:space="preserve"> No more eggs, no more birds, no eggshell at bottom of cliff...RG+ I button removed at 3:15 PM</t>
    </r>
  </si>
  <si>
    <t>??A</t>
  </si>
  <si>
    <r>
      <t xml:space="preserve">May 29: </t>
    </r>
    <r>
      <rPr>
        <sz val="10"/>
        <color rgb="FF000000"/>
        <rFont val="Times New Roman"/>
        <family val="1"/>
      </rPr>
      <t xml:space="preserve">Pefa pair. </t>
    </r>
    <r>
      <rPr>
        <b/>
        <sz val="10"/>
        <color rgb="FF000000"/>
        <rFont val="Times New Roman"/>
        <family val="1"/>
      </rPr>
      <t xml:space="preserve">June 10: </t>
    </r>
    <r>
      <rPr>
        <sz val="10"/>
        <color rgb="FF000000"/>
        <rFont val="Times New Roman"/>
        <family val="1"/>
      </rPr>
      <t xml:space="preserve"> Female flushed from cliff and never returned. Male satyed above cacking. No scrape or eggs. Found least sandpiper, horned lark, brown lemming and lonspur cached along clif. </t>
    </r>
    <r>
      <rPr>
        <b/>
        <sz val="10"/>
        <color rgb="FF000000"/>
        <rFont val="Times New Roman"/>
        <family val="1"/>
      </rPr>
      <t xml:space="preserve">June 20: </t>
    </r>
    <r>
      <rPr>
        <sz val="10"/>
        <color rgb="FF000000"/>
        <rFont val="Times New Roman"/>
        <family val="1"/>
      </rPr>
      <t>PEFA pair. 3 eggs. Pascal + Erik visited 95 on June 10 and noticed there was a scrape. The scrape was then empty and in the middle of a willow bush so we thought it wouldn't be used. Today we found 3 eggs there.</t>
    </r>
    <r>
      <rPr>
        <b/>
        <sz val="10"/>
        <color rgb="FF000000"/>
        <rFont val="Times New Roman"/>
        <family val="1"/>
      </rPr>
      <t xml:space="preserve"> June 30: </t>
    </r>
    <r>
      <rPr>
        <sz val="10"/>
        <color rgb="FF000000"/>
        <rFont val="Times New Roman"/>
        <family val="1"/>
      </rPr>
      <t xml:space="preserve"> PEFA female around nest, male seen hunting 1km away from nest, 3 eggs, camera +RG deployed at 2:00 pm. </t>
    </r>
    <r>
      <rPr>
        <b/>
        <sz val="10"/>
        <color rgb="FF000000"/>
        <rFont val="Times New Roman"/>
        <family val="1"/>
      </rPr>
      <t xml:space="preserve">July 13: </t>
    </r>
    <r>
      <rPr>
        <sz val="10"/>
        <color rgb="FF000000"/>
        <rFont val="Times New Roman"/>
        <family val="1"/>
      </rPr>
      <t xml:space="preserve"> PEFA pair, nest empty (FOX PREDATION on July 9). Took off camera and R.G</t>
    </r>
  </si>
  <si>
    <r>
      <t xml:space="preserve">May 17: </t>
    </r>
    <r>
      <rPr>
        <sz val="10"/>
        <color rgb="FF000000"/>
        <rFont val="Times New Roman"/>
        <family val="1"/>
      </rPr>
      <t xml:space="preserve">Empty. </t>
    </r>
    <r>
      <rPr>
        <b/>
        <sz val="10"/>
        <color rgb="FF000000"/>
        <rFont val="Times New Roman"/>
        <family val="1"/>
      </rPr>
      <t xml:space="preserve">June 1: </t>
    </r>
    <r>
      <rPr>
        <sz val="10"/>
        <color rgb="FF000000"/>
        <rFont val="Times New Roman"/>
        <family val="1"/>
      </rPr>
      <t xml:space="preserve">PEFA pair. Both unbanded. Lemming remains found on cliff. </t>
    </r>
    <r>
      <rPr>
        <b/>
        <sz val="10"/>
        <color rgb="FF000000"/>
        <rFont val="Times New Roman"/>
        <family val="1"/>
      </rPr>
      <t xml:space="preserve">June 10: </t>
    </r>
    <r>
      <rPr>
        <sz val="10"/>
        <color rgb="FF000000"/>
        <rFont val="Times New Roman"/>
        <family val="1"/>
      </rPr>
      <t xml:space="preserve">PEFA pair. Both unbanded. 3 eggs. RG + Ibutton at 2:30 PM. Wpt 89 2014. Didn't deploy cam cause no band. </t>
    </r>
    <r>
      <rPr>
        <b/>
        <sz val="10"/>
        <color rgb="FF000000"/>
        <rFont val="Times New Roman"/>
        <family val="1"/>
      </rPr>
      <t xml:space="preserve">June 20: </t>
    </r>
    <r>
      <rPr>
        <sz val="10"/>
        <color rgb="FF000000"/>
        <rFont val="Times New Roman"/>
        <family val="1"/>
      </rPr>
      <t xml:space="preserve">PEFA pair. Both unbanded. RG = 0. 3 eggs like when we found the nest so if we want accurate phenology data, we should deploy cam until hatching.  </t>
    </r>
    <r>
      <rPr>
        <b/>
        <sz val="10"/>
        <color rgb="FF000000"/>
        <rFont val="Times New Roman"/>
        <family val="1"/>
      </rPr>
      <t xml:space="preserve">June 30: </t>
    </r>
    <r>
      <rPr>
        <sz val="10"/>
        <color rgb="FF000000"/>
        <rFont val="Times New Roman"/>
        <family val="1"/>
      </rPr>
      <t xml:space="preserve">PEFA pair, 3 eggs, R.G : 5mm (Must wait until ice breakdown to swap camera). </t>
    </r>
    <r>
      <rPr>
        <b/>
        <sz val="10"/>
        <color rgb="FF000000"/>
        <rFont val="Times New Roman"/>
        <family val="1"/>
      </rPr>
      <t xml:space="preserve">July 17: </t>
    </r>
    <r>
      <rPr>
        <sz val="10"/>
        <color rgb="FF000000"/>
        <rFont val="Times New Roman"/>
        <family val="1"/>
      </rPr>
      <t>PEFA pair. Scrape empty. Broken egg found near scrape (don't know if it hatched or not). RG = 0. Removed Ibutton at 10:42 AM. Note: 2 caribou carcasses at bottom of the cliff. May have attracted predator.</t>
    </r>
  </si>
  <si>
    <r>
      <rPr>
        <b/>
        <sz val="10"/>
        <color rgb="FF000000"/>
        <rFont val="Times New Roman"/>
        <family val="1"/>
      </rPr>
      <t xml:space="preserve">July 17: </t>
    </r>
    <r>
      <rPr>
        <sz val="10"/>
        <color rgb="FF000000"/>
        <rFont val="Times New Roman"/>
        <family val="1"/>
      </rPr>
      <t>RLHA pair. 3 eggs. Not piping. Nest on cliff over small lake. Wpt NEW RLHA 17-07-2014 in Mat's notebook.</t>
    </r>
  </si>
  <si>
    <t>blue</t>
  </si>
  <si>
    <t>green</t>
  </si>
  <si>
    <t>red</t>
  </si>
  <si>
    <t>pink</t>
  </si>
  <si>
    <r>
      <t xml:space="preserve">May 19 </t>
    </r>
    <r>
      <rPr>
        <sz val="10"/>
        <color rgb="FF000000"/>
        <rFont val="Times New Roman"/>
        <family val="1"/>
      </rPr>
      <t xml:space="preserve">: 1 RLHA seen flying, but left quickly </t>
    </r>
    <r>
      <rPr>
        <b/>
        <sz val="10"/>
        <color rgb="FF000000"/>
        <rFont val="Times New Roman"/>
        <family val="1"/>
      </rPr>
      <t xml:space="preserve">May 21: </t>
    </r>
    <r>
      <rPr>
        <sz val="10"/>
        <color rgb="FF000000"/>
        <rFont val="Times New Roman"/>
        <family val="1"/>
      </rPr>
      <t xml:space="preserve"> Empty </t>
    </r>
    <r>
      <rPr>
        <b/>
        <sz val="10"/>
        <color rgb="FF000000"/>
        <rFont val="Times New Roman"/>
        <family val="1"/>
      </rPr>
      <t>May 27:</t>
    </r>
    <r>
      <rPr>
        <sz val="10"/>
        <color rgb="FF000000"/>
        <rFont val="Times New Roman"/>
        <family val="1"/>
      </rPr>
      <t xml:space="preserve"> PEFA pair. Male trapped. </t>
    </r>
    <r>
      <rPr>
        <b/>
        <sz val="10"/>
        <color rgb="FF000000"/>
        <rFont val="Times New Roman"/>
        <family val="1"/>
      </rPr>
      <t xml:space="preserve">June 5: </t>
    </r>
    <r>
      <rPr>
        <sz val="10"/>
        <color rgb="FF000000"/>
        <rFont val="Times New Roman"/>
        <family val="1"/>
      </rPr>
      <t xml:space="preserve">One RLHA seen flying (maybe from 53?). </t>
    </r>
    <r>
      <rPr>
        <b/>
        <sz val="10"/>
        <color rgb="FF000000"/>
        <rFont val="Times New Roman"/>
        <family val="1"/>
      </rPr>
      <t xml:space="preserve">July 20: </t>
    </r>
    <r>
      <rPr>
        <sz val="10"/>
        <color rgb="FF000000"/>
        <rFont val="Times New Roman"/>
        <family val="1"/>
      </rPr>
      <t xml:space="preserve">RLHA (1) territorial. </t>
    </r>
  </si>
  <si>
    <t>62.81899 -92.23902</t>
  </si>
  <si>
    <t>Blue</t>
  </si>
  <si>
    <t>Green</t>
  </si>
  <si>
    <r>
      <t xml:space="preserve">May 18: </t>
    </r>
    <r>
      <rPr>
        <sz val="10"/>
        <color rgb="FF000000"/>
        <rFont val="Times New Roman"/>
        <family val="1"/>
      </rPr>
      <t xml:space="preserve"> Empty (1 RLHA)Took off on the way back </t>
    </r>
    <r>
      <rPr>
        <b/>
        <sz val="10"/>
        <color rgb="FF000000"/>
        <rFont val="Times New Roman"/>
        <family val="1"/>
      </rPr>
      <t xml:space="preserve">May 21: </t>
    </r>
    <r>
      <rPr>
        <sz val="10"/>
        <color rgb="FF000000"/>
        <rFont val="Times New Roman"/>
        <family val="1"/>
      </rPr>
      <t xml:space="preserve">(site 30/15) 1 PEFA female+ 1 RLHA. PEFA didn't came to pigeon  </t>
    </r>
    <r>
      <rPr>
        <b/>
        <sz val="10"/>
        <color rgb="FF000000"/>
        <rFont val="Times New Roman"/>
        <family val="1"/>
      </rPr>
      <t xml:space="preserve">May 22: </t>
    </r>
    <r>
      <rPr>
        <sz val="10"/>
        <color rgb="FF000000"/>
        <rFont val="Times New Roman"/>
        <family val="1"/>
      </rPr>
      <t xml:space="preserve">PEFA pair. Unsuccessfull trapping. </t>
    </r>
    <r>
      <rPr>
        <b/>
        <sz val="10"/>
        <color rgb="FF000000"/>
        <rFont val="Times New Roman"/>
        <family val="1"/>
      </rPr>
      <t xml:space="preserve">June 5: </t>
    </r>
    <r>
      <rPr>
        <sz val="10"/>
        <color rgb="FF000000"/>
        <rFont val="Times New Roman"/>
        <family val="1"/>
      </rPr>
      <t xml:space="preserve">PEFA pair. Female is banded (from canon). Male seems unbanded. </t>
    </r>
    <r>
      <rPr>
        <b/>
        <sz val="10"/>
        <color rgb="FF000000"/>
        <rFont val="Times New Roman"/>
        <family val="1"/>
      </rPr>
      <t xml:space="preserve"> June 12: </t>
    </r>
    <r>
      <rPr>
        <sz val="10"/>
        <color rgb="FF000000"/>
        <rFont val="Times New Roman"/>
        <family val="1"/>
      </rPr>
      <t xml:space="preserve">PEFA pair, Male unbanded, female 6?E (vv). No Geolocator. deploy RG+ Ibutton at 12h00. 3 eggs. waypoint 30 2014. </t>
    </r>
    <r>
      <rPr>
        <b/>
        <sz val="10"/>
        <color rgb="FF000000"/>
        <rFont val="Times New Roman"/>
        <family val="1"/>
      </rPr>
      <t xml:space="preserve">July 20: </t>
    </r>
    <r>
      <rPr>
        <sz val="10"/>
        <color rgb="FF000000"/>
        <rFont val="Times New Roman"/>
        <family val="1"/>
      </rPr>
      <t>PEFA pair. Botth aggressive. Scrape empty. Egg shell + wthie wash at the scrape so recent failure. RG = 0. I button retreived at 3:50 PM.</t>
    </r>
  </si>
  <si>
    <r>
      <t xml:space="preserve">May 27: </t>
    </r>
    <r>
      <rPr>
        <sz val="10"/>
        <color rgb="FF000000"/>
        <rFont val="Times New Roman"/>
        <family val="1"/>
      </rPr>
      <t xml:space="preserve">Raven pair and nest. </t>
    </r>
    <r>
      <rPr>
        <b/>
        <sz val="10"/>
        <color rgb="FF000000"/>
        <rFont val="Times New Roman"/>
        <family val="1"/>
      </rPr>
      <t xml:space="preserve">July 21: </t>
    </r>
    <r>
      <rPr>
        <sz val="10"/>
        <color rgb="FF000000"/>
        <rFont val="Times New Roman"/>
        <family val="1"/>
      </rPr>
      <t>Raven pair + 3 chicks in nest.</t>
    </r>
  </si>
  <si>
    <t>Red</t>
  </si>
  <si>
    <t>Pink</t>
  </si>
  <si>
    <r>
      <rPr>
        <b/>
        <sz val="10"/>
        <color rgb="FF000000"/>
        <rFont val="Times New Roman"/>
        <family val="1"/>
      </rPr>
      <t xml:space="preserve">July 22: </t>
    </r>
    <r>
      <rPr>
        <sz val="10"/>
        <color rgb="FF000000"/>
        <rFont val="Times New Roman"/>
        <family val="1"/>
      </rPr>
      <t xml:space="preserve"> New rlha nest found between site 23 and 25. 2 chicks + 1 adult. Lemming remain at the nest. Wpt NEW RLHA 22-07-2014 in Mat's GPS.</t>
    </r>
  </si>
  <si>
    <r>
      <t xml:space="preserve">May 19: </t>
    </r>
    <r>
      <rPr>
        <sz val="10"/>
        <color rgb="FF000000"/>
        <rFont val="Times New Roman"/>
        <family val="1"/>
      </rPr>
      <t xml:space="preserve">PEFA pair. Female cacking. </t>
    </r>
    <r>
      <rPr>
        <b/>
        <sz val="10"/>
        <color rgb="FF000000"/>
        <rFont val="Times New Roman"/>
        <family val="1"/>
      </rPr>
      <t xml:space="preserve">May 20: </t>
    </r>
    <r>
      <rPr>
        <sz val="10"/>
        <color rgb="FF000000"/>
        <rFont val="Times New Roman"/>
        <family val="1"/>
      </rPr>
      <t xml:space="preserve">PEFA pair. Female came to pigeon didn't catch. 3rd showed up. </t>
    </r>
    <r>
      <rPr>
        <b/>
        <sz val="10"/>
        <color rgb="FF000000"/>
        <rFont val="Times New Roman"/>
        <family val="1"/>
      </rPr>
      <t xml:space="preserve">June 2: </t>
    </r>
    <r>
      <rPr>
        <sz val="10"/>
        <color rgb="FF000000"/>
        <rFont val="Times New Roman"/>
        <family val="1"/>
      </rPr>
      <t xml:space="preserve">PEFA pair. Unsuccessful trapping. </t>
    </r>
    <r>
      <rPr>
        <b/>
        <sz val="10"/>
        <color rgb="FF000000"/>
        <rFont val="Times New Roman"/>
        <family val="1"/>
      </rPr>
      <t xml:space="preserve">June 9: </t>
    </r>
    <r>
      <rPr>
        <sz val="10"/>
        <color rgb="FF000000"/>
        <rFont val="Times New Roman"/>
        <family val="1"/>
      </rPr>
      <t xml:space="preserve">PEFA pair. 2 eggs. RG + Ibuttons at 12:00. Deployed cam + 8 GB. Didn't take wpt. </t>
    </r>
    <r>
      <rPr>
        <b/>
        <sz val="10"/>
        <color rgb="FF000000"/>
        <rFont val="Times New Roman"/>
        <family val="1"/>
      </rPr>
      <t xml:space="preserve">June 11: </t>
    </r>
    <r>
      <rPr>
        <sz val="10"/>
        <color rgb="FF000000"/>
        <rFont val="Times New Roman"/>
        <family val="1"/>
      </rPr>
      <t xml:space="preserve"> Male is banded 11A (vv) from reconyx. Picture # 2014-06-09 17-58-47 M01_01 with blue band on right leg. </t>
    </r>
    <r>
      <rPr>
        <b/>
        <sz val="10"/>
        <color rgb="FF000000"/>
        <rFont val="Times New Roman"/>
        <family val="1"/>
      </rPr>
      <t xml:space="preserve">June 12: </t>
    </r>
    <r>
      <rPr>
        <sz val="10"/>
        <color rgb="FF000000"/>
        <rFont val="Times New Roman"/>
        <family val="1"/>
      </rPr>
      <t xml:space="preserve">From reconyx: 3rd egg was layed somewhere between 21:15 on June 12 (last picture where we can see 2 eggs in the nest: 2014-06-12 21:15:00 T) and 2:04 AM on June 13 (first picture where we can see 3 eggs: 2014-06-13 02:04:07 M1/1). With probability, we will say that the 3rd egg was layed on june 12. </t>
    </r>
    <r>
      <rPr>
        <b/>
        <sz val="10"/>
        <color rgb="FF000000"/>
        <rFont val="Times New Roman"/>
        <family val="1"/>
      </rPr>
      <t xml:space="preserve">June 15: </t>
    </r>
    <r>
      <rPr>
        <sz val="10"/>
        <color rgb="FF000000"/>
        <rFont val="Times New Roman"/>
        <family val="1"/>
      </rPr>
      <t xml:space="preserve">Female is 04B (vv) from canon and male is also banded with silver band on left leg. From reconyx: 4th egg layed on June 15 (picture # 2014-06-15 12:06:01 M1/1. </t>
    </r>
    <r>
      <rPr>
        <b/>
        <sz val="10"/>
        <color rgb="FF000000"/>
        <rFont val="Times New Roman"/>
        <family val="1"/>
      </rPr>
      <t xml:space="preserve">June 18: </t>
    </r>
    <r>
      <rPr>
        <sz val="10"/>
        <color rgb="FF000000"/>
        <rFont val="Times New Roman"/>
        <family val="1"/>
      </rPr>
      <t xml:space="preserve"> 4 eggs. 2 adults. Changed mem card and cam setting to 3 pictures. RG = 0. </t>
    </r>
    <r>
      <rPr>
        <b/>
        <sz val="10"/>
        <color rgb="FF000000"/>
        <rFont val="Times New Roman"/>
        <family val="1"/>
      </rPr>
      <t xml:space="preserve"> July 10 : </t>
    </r>
    <r>
      <rPr>
        <sz val="10"/>
        <color rgb="FF000000"/>
        <rFont val="Times New Roman"/>
        <family val="1"/>
      </rPr>
      <t xml:space="preserve">PEFA pair, 4 eggs, RG: &lt;0,2 cm, Camera swap to site 12. </t>
    </r>
    <r>
      <rPr>
        <b/>
        <sz val="10"/>
        <color rgb="FF000000"/>
        <rFont val="Times New Roman"/>
        <family val="1"/>
      </rPr>
      <t xml:space="preserve">July 19: </t>
    </r>
    <r>
      <rPr>
        <sz val="10"/>
        <color rgb="FF000000"/>
        <rFont val="Times New Roman"/>
        <family val="1"/>
      </rPr>
      <t xml:space="preserve"> PFA pair. 4 chicks. The 4th chick hatched few hours ago (wet) so no measurement taken. RG = 0.2 cm. </t>
    </r>
    <r>
      <rPr>
        <b/>
        <sz val="10"/>
        <color rgb="FF000000"/>
        <rFont val="Times New Roman"/>
        <family val="1"/>
      </rPr>
      <t xml:space="preserve">July 24: </t>
    </r>
    <r>
      <rPr>
        <sz val="10"/>
        <color rgb="FF000000"/>
        <rFont val="Times New Roman"/>
        <family val="1"/>
      </rPr>
      <t xml:space="preserve"> Pefa pair. 4 chicks. RG = 0. Blue: T = 31, C = 18.5, TC = 13, HB = 47.5, Crop = 3/4. green: T = 31, C = 18, TC = 12.5, HB = 47, Crop = 3/4. Red = T = 26, C = 17.5, TC = 12, HB = 44, Crop = 1/4. Pink: T = 17.5, C = 13.5, TC = 10, HB = 36. Crop = Empty.</t>
    </r>
  </si>
  <si>
    <r>
      <t xml:space="preserve">June 9: </t>
    </r>
    <r>
      <rPr>
        <sz val="10"/>
        <color rgb="FF000000"/>
        <rFont val="Times New Roman"/>
        <family val="1"/>
      </rPr>
      <t xml:space="preserve"> RLHA pair. New stick nest. 5 eggs. Wpt 13 2014. </t>
    </r>
    <r>
      <rPr>
        <b/>
        <sz val="10"/>
        <color rgb="FF000000"/>
        <rFont val="Times New Roman"/>
        <family val="1"/>
      </rPr>
      <t xml:space="preserve">July 24: </t>
    </r>
    <r>
      <rPr>
        <sz val="10"/>
        <color rgb="FF000000"/>
        <rFont val="Times New Roman"/>
        <family val="1"/>
      </rPr>
      <t xml:space="preserve"> RLHA ind. 4 large chicks (largest &gt; 500g) + 1 cold egg.</t>
    </r>
  </si>
  <si>
    <t>yes</t>
  </si>
  <si>
    <t>Blood #4 - 1 ml</t>
  </si>
  <si>
    <t>no</t>
  </si>
  <si>
    <t>Age #5</t>
  </si>
  <si>
    <t>Weight #5</t>
  </si>
  <si>
    <t>Blood #5 - 1 ml</t>
  </si>
  <si>
    <r>
      <t xml:space="preserve">May 19: </t>
    </r>
    <r>
      <rPr>
        <sz val="10"/>
        <color rgb="FF000000"/>
        <rFont val="Times New Roman"/>
        <family val="1"/>
      </rPr>
      <t xml:space="preserve">RLHA pair </t>
    </r>
    <r>
      <rPr>
        <b/>
        <sz val="10"/>
        <color rgb="FF000000"/>
        <rFont val="Times New Roman"/>
        <family val="1"/>
      </rPr>
      <t>May 21:</t>
    </r>
    <r>
      <rPr>
        <sz val="10"/>
        <color rgb="FF000000"/>
        <rFont val="Times New Roman"/>
        <family val="1"/>
      </rPr>
      <t xml:space="preserve"> RLHA pair. </t>
    </r>
    <r>
      <rPr>
        <b/>
        <sz val="10"/>
        <color rgb="FF000000"/>
        <rFont val="Times New Roman"/>
        <family val="1"/>
      </rPr>
      <t xml:space="preserve">July 20: </t>
    </r>
    <r>
      <rPr>
        <sz val="10"/>
        <color rgb="FF000000"/>
        <rFont val="Times New Roman"/>
        <family val="1"/>
      </rPr>
      <t xml:space="preserve">RLHA pair territorial. Also PEFA female, banded. 2 small chicks in nest + 1 dead chick. </t>
    </r>
    <r>
      <rPr>
        <b/>
        <sz val="10"/>
        <color rgb="FF000000"/>
        <rFont val="Times New Roman"/>
        <family val="1"/>
      </rPr>
      <t xml:space="preserve">July 21: </t>
    </r>
    <r>
      <rPr>
        <sz val="10"/>
        <color rgb="FF000000"/>
        <rFont val="Times New Roman"/>
        <family val="1"/>
      </rPr>
      <t xml:space="preserve">PEFA female. 2 chicks. Deployed camp + rg + ibutton at 11:15AM. Blue: T = 21, C = 13.5, HB = 36, Crop = empty. Green: T = 19, C = 13, HB = 35. </t>
    </r>
    <r>
      <rPr>
        <b/>
        <sz val="10"/>
        <color rgb="FF000000"/>
        <rFont val="Times New Roman"/>
        <family val="1"/>
      </rPr>
      <t xml:space="preserve">July 28: </t>
    </r>
    <r>
      <rPr>
        <sz val="10"/>
        <color rgb="FF000000"/>
        <rFont val="Times New Roman"/>
        <family val="1"/>
      </rPr>
      <t xml:space="preserve">Pefa female. RG = 0. 2 chicks. Changed batt + mem 8 gb. Blue: T = 25, C = 15.5, HB = 44, TC = 11, Crop = empty. Green: T = 21.5, C = 15, HB = 41, Crop = empty. Site 69 RLHA.  RLHA pair + 2 chicks. </t>
    </r>
  </si>
  <si>
    <r>
      <t xml:space="preserve">May 19: </t>
    </r>
    <r>
      <rPr>
        <sz val="10"/>
        <color rgb="FF000000"/>
        <rFont val="Times New Roman"/>
        <family val="1"/>
      </rPr>
      <t xml:space="preserve">1 RLHA flying over. </t>
    </r>
    <r>
      <rPr>
        <b/>
        <sz val="10"/>
        <color rgb="FF000000"/>
        <rFont val="Times New Roman"/>
        <family val="1"/>
      </rPr>
      <t xml:space="preserve">May 27: </t>
    </r>
    <r>
      <rPr>
        <sz val="10"/>
        <color rgb="FF000000"/>
        <rFont val="Times New Roman"/>
        <family val="1"/>
      </rPr>
      <t xml:space="preserve">PEFA pair perched to the right side of the cliff and RLHA pair on the left side. 1 RLHA sitting on nest. </t>
    </r>
    <r>
      <rPr>
        <b/>
        <sz val="10"/>
        <color rgb="FF000000"/>
        <rFont val="Times New Roman"/>
        <family val="1"/>
      </rPr>
      <t xml:space="preserve">May 28: </t>
    </r>
    <r>
      <rPr>
        <sz val="10"/>
        <color rgb="FF000000"/>
        <rFont val="Times New Roman"/>
        <family val="1"/>
      </rPr>
      <t xml:space="preserve">PEFA pair. </t>
    </r>
    <r>
      <rPr>
        <b/>
        <sz val="10"/>
        <color rgb="FF000000"/>
        <rFont val="Times New Roman"/>
        <family val="1"/>
      </rPr>
      <t xml:space="preserve">June 5: </t>
    </r>
    <r>
      <rPr>
        <sz val="10"/>
        <color rgb="FF000000"/>
        <rFont val="Times New Roman"/>
        <family val="1"/>
      </rPr>
      <t xml:space="preserve">RLHA pair. People climbing the cliff so we didn't disturbed the birds and didn't look for eggs. RLHA are nesting where the PEFA usually nest. PEFA (1) seen on east side of the cliff. </t>
    </r>
    <r>
      <rPr>
        <b/>
        <sz val="10"/>
        <color rgb="FF000000"/>
        <rFont val="Times New Roman"/>
        <family val="1"/>
      </rPr>
      <t>June 12</t>
    </r>
    <r>
      <rPr>
        <sz val="10"/>
        <color rgb="FF000000"/>
        <rFont val="Times New Roman"/>
        <family val="1"/>
      </rPr>
      <t xml:space="preserve">: RLHA pair where PEFA usually are. PEFA pair or right part of the cliff. 3 eggs. Deployed RG+ Ibutton at 1:00pm Both PEFA unbanded (binos). </t>
    </r>
    <r>
      <rPr>
        <b/>
        <sz val="10"/>
        <color rgb="FF000000"/>
        <rFont val="Times New Roman"/>
        <family val="1"/>
      </rPr>
      <t xml:space="preserve">July 21: </t>
    </r>
    <r>
      <rPr>
        <sz val="10"/>
        <color rgb="FF000000"/>
        <rFont val="Times New Roman"/>
        <family val="1"/>
      </rPr>
      <t xml:space="preserve">PEFA pair. RG = 0. 2 chicks + 1 egg. not piping. Blue: T = 28, C = 17, HB = 41.5, Crop = empty. Green: T = 25.5, C = 13.5, HB = 38. </t>
    </r>
    <r>
      <rPr>
        <b/>
        <sz val="10"/>
        <color rgb="FF000000"/>
        <rFont val="Times New Roman"/>
        <family val="1"/>
      </rPr>
      <t xml:space="preserve">July 28: </t>
    </r>
    <r>
      <rPr>
        <sz val="10"/>
        <color rgb="FF000000"/>
        <rFont val="Times New Roman"/>
        <family val="1"/>
      </rPr>
      <t xml:space="preserve"> RG = 0. 2 chicks. Blue: TC = 14.5, C = 20.5, Crop = empty. HB = 52. Rec = 2.5, T = 36.5 Green: TC = 13.5, C = 21, Crop = empty. HB = 50, Rec = 1.0, T = 33.5. No adults.</t>
    </r>
  </si>
  <si>
    <r>
      <t xml:space="preserve">Seems empty every time we drove in front (from distance) but should be check again. </t>
    </r>
    <r>
      <rPr>
        <b/>
        <sz val="10"/>
        <color rgb="FF000000"/>
        <rFont val="Times New Roman"/>
        <family val="1"/>
      </rPr>
      <t xml:space="preserve">July 28: </t>
    </r>
    <r>
      <rPr>
        <sz val="10"/>
        <color rgb="FF000000"/>
        <rFont val="Times New Roman"/>
        <family val="1"/>
      </rPr>
      <t>Empty.</t>
    </r>
  </si>
  <si>
    <r>
      <t xml:space="preserve">May 18: </t>
    </r>
    <r>
      <rPr>
        <sz val="10"/>
        <color rgb="FF000000"/>
        <rFont val="Times New Roman"/>
        <family val="1"/>
      </rPr>
      <t xml:space="preserve">RLHA pair + PEFA pair </t>
    </r>
    <r>
      <rPr>
        <b/>
        <sz val="10"/>
        <color rgb="FF000000"/>
        <rFont val="Times New Roman"/>
        <family val="1"/>
      </rPr>
      <t xml:space="preserve">May 19: </t>
    </r>
    <r>
      <rPr>
        <sz val="10"/>
        <color rgb="FF000000"/>
        <rFont val="Times New Roman"/>
        <family val="1"/>
      </rPr>
      <t xml:space="preserve">(site 8/10= 5 RLHA)  </t>
    </r>
    <r>
      <rPr>
        <b/>
        <sz val="10"/>
        <color rgb="FF000000"/>
        <rFont val="Times New Roman"/>
        <family val="1"/>
      </rPr>
      <t>May 21</t>
    </r>
    <r>
      <rPr>
        <sz val="10"/>
        <color rgb="FF000000"/>
        <rFont val="Times New Roman"/>
        <family val="1"/>
      </rPr>
      <t xml:space="preserve"> : PEFA pair. Unsuccesfull trapping. </t>
    </r>
    <r>
      <rPr>
        <b/>
        <sz val="10"/>
        <color rgb="FF000000"/>
        <rFont val="Times New Roman"/>
        <family val="1"/>
      </rPr>
      <t xml:space="preserve">May 28: </t>
    </r>
    <r>
      <rPr>
        <sz val="10"/>
        <color rgb="FF000000"/>
        <rFont val="Times New Roman"/>
        <family val="1"/>
      </rPr>
      <t xml:space="preserve">2 RLHA took off. More likely nesting there. 2 More RLHA near the corner of the island. In total (including site 10 where there is a RLHA pair with one sitting on nest), saw 7 RLHA in the area of Panorama as we tried to trap the PEFA pair that seems to be moving between 51 and 8. </t>
    </r>
    <r>
      <rPr>
        <b/>
        <sz val="10"/>
        <color rgb="FF000000"/>
        <rFont val="Times New Roman"/>
        <family val="1"/>
      </rPr>
      <t xml:space="preserve">June 5: </t>
    </r>
    <r>
      <rPr>
        <sz val="10"/>
        <color rgb="FF000000"/>
        <rFont val="Times New Roman"/>
        <family val="1"/>
      </rPr>
      <t xml:space="preserve">PEFA pair. 1 egg. Deployed RG + Ibutton + CAM at 5:10 PM. Need to change stand for a shorter one. No wpt taken yet. Also a RLHA pair and stick nest. Didn't look for eggs. </t>
    </r>
    <r>
      <rPr>
        <b/>
        <sz val="10"/>
        <color rgb="FF000000"/>
        <rFont val="Times New Roman"/>
        <family val="1"/>
      </rPr>
      <t xml:space="preserve">June 6: </t>
    </r>
    <r>
      <rPr>
        <sz val="10"/>
        <color rgb="FF000000"/>
        <rFont val="Times New Roman"/>
        <family val="1"/>
      </rPr>
      <t xml:space="preserve"> 2nd egg layed (from reconyx). </t>
    </r>
    <r>
      <rPr>
        <b/>
        <sz val="10"/>
        <color rgb="FF000000"/>
        <rFont val="Times New Roman"/>
        <family val="1"/>
      </rPr>
      <t xml:space="preserve">June 8: </t>
    </r>
    <r>
      <rPr>
        <sz val="10"/>
        <color rgb="FF000000"/>
        <rFont val="Times New Roman"/>
        <family val="1"/>
      </rPr>
      <t xml:space="preserve"> 3rd egg layed (from reconyx). </t>
    </r>
    <r>
      <rPr>
        <b/>
        <sz val="10"/>
        <color rgb="FF000000"/>
        <rFont val="Times New Roman"/>
        <family val="1"/>
      </rPr>
      <t xml:space="preserve">June 10: </t>
    </r>
    <r>
      <rPr>
        <sz val="10"/>
        <color rgb="FF000000"/>
        <rFont val="Times New Roman"/>
        <family val="1"/>
      </rPr>
      <t xml:space="preserve">From reconyx. 4th egg was layed between 10:37 PM on June 10 (last time 3 eggs were seen in the nest) and 1:35 AM on June 11 (first time 4 eggs are seen in the scrape). </t>
    </r>
    <r>
      <rPr>
        <b/>
        <sz val="10"/>
        <color rgb="FF000000"/>
        <rFont val="Times New Roman"/>
        <family val="1"/>
      </rPr>
      <t xml:space="preserve">June 15: </t>
    </r>
    <r>
      <rPr>
        <sz val="10"/>
        <color rgb="FF000000"/>
        <rFont val="Times New Roman"/>
        <family val="1"/>
      </rPr>
      <t xml:space="preserve">PEFA pair. Female banded 75E (from reconyx). She has lost her geolocator. 4 eggs. RG = 0. Changed batt + mem card. Male is banded 01H (from reconyx). Wpt = 8 2014. Note from camera at site 8: From 2014-06-05 to 2014-06-15, AM and PM are inverted. Ex: a picture taken at 2:09 AM was actually taken at 2:09 PM. Situation corrected on June 15 at 4:00 PM when we changed the memory card. </t>
    </r>
    <r>
      <rPr>
        <b/>
        <sz val="10"/>
        <color rgb="FF000000"/>
        <rFont val="Times New Roman"/>
        <family val="1"/>
      </rPr>
      <t xml:space="preserve">July 21: </t>
    </r>
    <r>
      <rPr>
        <sz val="10"/>
        <color rgb="FF000000"/>
        <rFont val="Times New Roman"/>
        <family val="1"/>
      </rPr>
      <t xml:space="preserve"> PEFA female. Very aggr. RG fallen and replaced. 3 chicks + 1 egg (cold). Blue: C = 17.5, T = 34, HB = 47.5, Crop = Full. Green: C = 17.5, T = 34, HB = 46, Crop = 1/3. Red: C = 14.5, T = 24, HB = 41, Crop = 1/2. Male showed up. </t>
    </r>
    <r>
      <rPr>
        <b/>
        <sz val="10"/>
        <color rgb="FF000000"/>
        <rFont val="Times New Roman"/>
        <family val="1"/>
      </rPr>
      <t xml:space="preserve">July 28: </t>
    </r>
    <r>
      <rPr>
        <sz val="10"/>
        <color rgb="FF000000"/>
        <rFont val="Times New Roman"/>
        <family val="1"/>
      </rPr>
      <t xml:space="preserve">2 PEFA. 3 chicks. RG = 0 cm. Blue: C = 22.5, TC = 17, HB  =58, Cropt = empty. T = 44. Rec = 3.5. Red: C = 19.5, TC = 14.5, HB = 52.5, Crop = 3/4. T = 36.0. Rec = 2.0. Green: C = 22.5, TC = 16.5, HB = 57.5, Crop = 0. T = 43, Rec = 3.5. </t>
    </r>
  </si>
  <si>
    <r>
      <rPr>
        <b/>
        <sz val="10"/>
        <color rgb="FF000000"/>
        <rFont val="Times New Roman"/>
        <family val="1"/>
      </rPr>
      <t xml:space="preserve">July 21: </t>
    </r>
    <r>
      <rPr>
        <sz val="10"/>
        <color rgb="FF000000"/>
        <rFont val="Times New Roman"/>
        <family val="1"/>
      </rPr>
      <t xml:space="preserve">Old Ila site. Pefa pair. Female seems unbanded (canon) 2 chicks + 1 warm egg. Not piping. No RG deployed. Green has swollen eye. </t>
    </r>
    <r>
      <rPr>
        <b/>
        <sz val="10"/>
        <color rgb="FF000000"/>
        <rFont val="Times New Roman"/>
        <family val="1"/>
      </rPr>
      <t xml:space="preserve">July 28: </t>
    </r>
    <r>
      <rPr>
        <sz val="10"/>
        <color rgb="FF000000"/>
        <rFont val="Times New Roman"/>
        <family val="1"/>
      </rPr>
      <t xml:space="preserve"> PEFA pair. 2 chicks + 1 egg. Blue: T = 29, C = 17, HB = 46, TC = 11.5, Crop = 1/2. Green: T = 25.5, C = 17.5, HB = 45.5, TC = 12, Crop = empty.</t>
    </r>
  </si>
  <si>
    <t>62.79393 -92.07883</t>
  </si>
  <si>
    <t>46E (vv)</t>
  </si>
  <si>
    <t>??K (vv)</t>
  </si>
  <si>
    <t>62.89437 -92.13210</t>
  </si>
  <si>
    <r>
      <t>May 19</t>
    </r>
    <r>
      <rPr>
        <sz val="10"/>
        <color rgb="FF000000"/>
        <rFont val="Times New Roman"/>
        <family val="1"/>
      </rPr>
      <t xml:space="preserve">:Empty </t>
    </r>
    <r>
      <rPr>
        <b/>
        <sz val="10"/>
        <color rgb="FF000000"/>
        <rFont val="Times New Roman"/>
        <family val="1"/>
      </rPr>
      <t xml:space="preserve">May 20: </t>
    </r>
    <r>
      <rPr>
        <sz val="10"/>
        <color rgb="FF000000"/>
        <rFont val="Times New Roman"/>
        <family val="1"/>
      </rPr>
      <t xml:space="preserve">Empty but PEFA seen flying on the ridge west of 75. RLHA close to second hump west of 75. </t>
    </r>
    <r>
      <rPr>
        <b/>
        <sz val="10"/>
        <color rgb="FF000000"/>
        <rFont val="Times New Roman"/>
        <family val="1"/>
      </rPr>
      <t xml:space="preserve">May 23: </t>
    </r>
    <r>
      <rPr>
        <sz val="10"/>
        <color rgb="FF000000"/>
        <rFont val="Times New Roman"/>
        <family val="1"/>
      </rPr>
      <t xml:space="preserve">PEFA pair + RLHA pair fighting for territory. Unsuccessful trapping.  </t>
    </r>
    <r>
      <rPr>
        <b/>
        <sz val="10"/>
        <color rgb="FF000000"/>
        <rFont val="Times New Roman"/>
        <family val="1"/>
      </rPr>
      <t xml:space="preserve">June 8: </t>
    </r>
    <r>
      <rPr>
        <sz val="10"/>
        <color rgb="FF000000"/>
        <rFont val="Times New Roman"/>
        <family val="1"/>
      </rPr>
      <t xml:space="preserve"> RLHA nest + 2 eggs. PEFA - couldn't find scrape with eggs but parents were very aggressive around old RLHA nest - see waypoint. </t>
    </r>
    <r>
      <rPr>
        <b/>
        <sz val="10"/>
        <color rgb="FF000000"/>
        <rFont val="Times New Roman"/>
        <family val="1"/>
      </rPr>
      <t xml:space="preserve">June 12: </t>
    </r>
    <r>
      <rPr>
        <sz val="10"/>
        <color rgb="FF000000"/>
        <rFont val="Times New Roman"/>
        <family val="1"/>
      </rPr>
      <t xml:space="preserve">PEFA pair. 4 eggs. 2 adults present. Both unbanded. Deployed cam + RG + no ibutton. </t>
    </r>
    <r>
      <rPr>
        <b/>
        <sz val="10"/>
        <color rgb="FF000000"/>
        <rFont val="Times New Roman"/>
        <family val="1"/>
      </rPr>
      <t>June 22:</t>
    </r>
    <r>
      <rPr>
        <sz val="10"/>
        <color rgb="FF000000"/>
        <rFont val="Times New Roman"/>
        <family val="1"/>
      </rPr>
      <t xml:space="preserve"> Female PEFA, 4 eggs. Mem. Card+ battery changed. I button deployed. </t>
    </r>
    <r>
      <rPr>
        <b/>
        <sz val="10"/>
        <color rgb="FF000000"/>
        <rFont val="Times New Roman"/>
        <family val="1"/>
      </rPr>
      <t>July 2</t>
    </r>
    <r>
      <rPr>
        <sz val="10"/>
        <color rgb="FF000000"/>
        <rFont val="Times New Roman"/>
        <family val="1"/>
      </rPr>
      <t xml:space="preserve"> : PEFA pair, 4 eggs, RG: 0mm. Mem. card +batteries changed. Cam replaced </t>
    </r>
    <r>
      <rPr>
        <b/>
        <sz val="10"/>
        <color rgb="FF000000"/>
        <rFont val="Times New Roman"/>
        <family val="1"/>
      </rPr>
      <t xml:space="preserve">July 13: </t>
    </r>
    <r>
      <rPr>
        <sz val="10"/>
        <color rgb="FF000000"/>
        <rFont val="Times New Roman"/>
        <family val="1"/>
      </rPr>
      <t xml:space="preserve"> PEFA pair, 4 chicks, R.G:0,2 cm. Mem.card + batt changed. </t>
    </r>
    <r>
      <rPr>
        <b/>
        <sz val="10"/>
        <color rgb="FF000000"/>
        <rFont val="Times New Roman"/>
        <family val="1"/>
      </rPr>
      <t xml:space="preserve">July 14: Visit # 1 (5d)-control. </t>
    </r>
    <r>
      <rPr>
        <sz val="10"/>
        <color rgb="FF000000"/>
        <rFont val="Times New Roman"/>
        <family val="1"/>
      </rPr>
      <t xml:space="preserve"> PEFA pair, 4 chicks, R.G : 0. </t>
    </r>
    <r>
      <rPr>
        <b/>
        <sz val="10"/>
        <color rgb="FF000000"/>
        <rFont val="Times New Roman"/>
        <family val="1"/>
      </rPr>
      <t xml:space="preserve"> July 19: </t>
    </r>
    <r>
      <rPr>
        <sz val="10"/>
        <color rgb="FF000000"/>
        <rFont val="Times New Roman"/>
        <family val="1"/>
      </rPr>
      <t xml:space="preserve"> PEFA pair, nest failed. RG: 1 cm. Died becuse of the rain 17-18/07 (seen on cam)</t>
    </r>
  </si>
  <si>
    <t>Age#1</t>
  </si>
  <si>
    <t>Weight#1</t>
  </si>
  <si>
    <r>
      <t xml:space="preserve">May 19: </t>
    </r>
    <r>
      <rPr>
        <sz val="10"/>
        <color rgb="FF000000"/>
        <rFont val="Times New Roman"/>
        <family val="1"/>
      </rPr>
      <t>1 PEFA (female?)</t>
    </r>
    <r>
      <rPr>
        <b/>
        <sz val="10"/>
        <color rgb="FF000000"/>
        <rFont val="Times New Roman"/>
        <family val="1"/>
      </rPr>
      <t xml:space="preserve"> May 20</t>
    </r>
    <r>
      <rPr>
        <sz val="10"/>
        <color rgb="FF000000"/>
        <rFont val="Times New Roman"/>
        <family val="1"/>
      </rPr>
      <t xml:space="preserve">: PEFA pair present. Another male showed up as we were handling the territorial male. </t>
    </r>
    <r>
      <rPr>
        <b/>
        <sz val="10"/>
        <color rgb="FF000000"/>
        <rFont val="Times New Roman"/>
        <family val="1"/>
      </rPr>
      <t xml:space="preserve">May 23: </t>
    </r>
    <r>
      <rPr>
        <sz val="10"/>
        <color rgb="FF000000"/>
        <rFont val="Times New Roman"/>
        <family val="1"/>
      </rPr>
      <t xml:space="preserve">PEFA pair unsuccess trap. </t>
    </r>
    <r>
      <rPr>
        <b/>
        <sz val="10"/>
        <color rgb="FF000000"/>
        <rFont val="Times New Roman"/>
        <family val="1"/>
      </rPr>
      <t xml:space="preserve">June 2: </t>
    </r>
    <r>
      <rPr>
        <sz val="10"/>
        <color rgb="FF000000"/>
        <rFont val="Times New Roman"/>
        <family val="1"/>
      </rPr>
      <t xml:space="preserve">PEFA pair. Unsuccess trapping. </t>
    </r>
    <r>
      <rPr>
        <b/>
        <sz val="10"/>
        <color rgb="FF000000"/>
        <rFont val="Times New Roman"/>
        <family val="1"/>
      </rPr>
      <t xml:space="preserve">June 9: </t>
    </r>
    <r>
      <rPr>
        <sz val="10"/>
        <color rgb="FF000000"/>
        <rFont val="Times New Roman"/>
        <family val="1"/>
      </rPr>
      <t xml:space="preserve">PEFA pair. Nesting old RLHA nest. Bad nest spot. Water running on the cliff and falling on the eggs (3). Eggs are wet so didn't waste time to deploy anything. Nest is very hard to access anyway. PEFA showed light signs of aggressivness. Wpt 39 2014. </t>
    </r>
    <r>
      <rPr>
        <b/>
        <sz val="10"/>
        <color rgb="FF000000"/>
        <rFont val="Times New Roman"/>
        <family val="1"/>
      </rPr>
      <t xml:space="preserve">June 15: </t>
    </r>
    <r>
      <rPr>
        <sz val="10"/>
        <color rgb="FF000000"/>
        <rFont val="Times New Roman"/>
        <family val="1"/>
      </rPr>
      <t xml:space="preserve">PEFA on eggs (from distance). </t>
    </r>
    <r>
      <rPr>
        <b/>
        <sz val="10"/>
        <color rgb="FF000000"/>
        <rFont val="Times New Roman"/>
        <family val="1"/>
      </rPr>
      <t xml:space="preserve">June 18: </t>
    </r>
    <r>
      <rPr>
        <sz val="10"/>
        <color rgb="FF000000"/>
        <rFont val="Times New Roman"/>
        <family val="1"/>
      </rPr>
      <t>PEFA pair. Male is 47C, female 75B (not 100% sure). 4 eggs. Could not reach nest.</t>
    </r>
    <r>
      <rPr>
        <b/>
        <sz val="10"/>
        <color rgb="FF000000"/>
        <rFont val="Times New Roman"/>
        <family val="1"/>
      </rPr>
      <t xml:space="preserve"> July 10: </t>
    </r>
    <r>
      <rPr>
        <sz val="10"/>
        <color rgb="FF000000"/>
        <rFont val="Times New Roman"/>
        <family val="1"/>
      </rPr>
      <t xml:space="preserve">PEFA pair, 4 eggs. </t>
    </r>
    <r>
      <rPr>
        <b/>
        <sz val="10"/>
        <color rgb="FF000000"/>
        <rFont val="Times New Roman"/>
        <family val="1"/>
      </rPr>
      <t xml:space="preserve">July 19: </t>
    </r>
    <r>
      <rPr>
        <sz val="10"/>
        <color rgb="FF000000"/>
        <rFont val="Times New Roman"/>
        <family val="1"/>
      </rPr>
      <t xml:space="preserve">PEFa pair. 3 or 4 chicks in the nest (largest one is about 200g, estimated from a distance because can,t reach the nest).  </t>
    </r>
    <r>
      <rPr>
        <b/>
        <sz val="10"/>
        <color rgb="FF000000"/>
        <rFont val="Times New Roman"/>
        <family val="1"/>
      </rPr>
      <t xml:space="preserve">July 29: </t>
    </r>
    <r>
      <rPr>
        <sz val="10"/>
        <color rgb="FF000000"/>
        <rFont val="Times New Roman"/>
        <family val="1"/>
      </rPr>
      <t xml:space="preserve"> 1 PEFA, 4 chicks. </t>
    </r>
    <r>
      <rPr>
        <b/>
        <sz val="10"/>
        <color rgb="FF000000"/>
        <rFont val="Times New Roman"/>
        <family val="1"/>
      </rPr>
      <t xml:space="preserve">August 3 : </t>
    </r>
    <r>
      <rPr>
        <sz val="10"/>
        <color rgb="FF000000"/>
        <rFont val="Times New Roman"/>
        <family val="1"/>
      </rPr>
      <t xml:space="preserve"> PEFA pair, 4 chicks. one fell down of the nest and was replaced.</t>
    </r>
  </si>
  <si>
    <r>
      <t xml:space="preserve">May 22: </t>
    </r>
    <r>
      <rPr>
        <sz val="10"/>
        <color rgb="FF000000"/>
        <rFont val="Times New Roman"/>
        <family val="1"/>
      </rPr>
      <t xml:space="preserve"> PEFA pair on cliff. Unsuccesfull trapping. </t>
    </r>
    <r>
      <rPr>
        <b/>
        <sz val="10"/>
        <color rgb="FF000000"/>
        <rFont val="Times New Roman"/>
        <family val="1"/>
      </rPr>
      <t xml:space="preserve">June 8: </t>
    </r>
    <r>
      <rPr>
        <sz val="10"/>
        <color rgb="FF000000"/>
        <rFont val="Times New Roman"/>
        <family val="1"/>
      </rPr>
      <t xml:space="preserve">PEFA pair. 3 eggs. RG + Ibutton deployed at 11:30 AM. Female is banded + GL. Male seems unbanded (from bino) Forgot to take waypoint. </t>
    </r>
    <r>
      <rPr>
        <b/>
        <sz val="10"/>
        <color rgb="FF000000"/>
        <rFont val="Times New Roman"/>
        <family val="1"/>
      </rPr>
      <t xml:space="preserve">June 17: </t>
    </r>
    <r>
      <rPr>
        <sz val="10"/>
        <color rgb="FF000000"/>
        <rFont val="Times New Roman"/>
        <family val="1"/>
      </rPr>
      <t xml:space="preserve">PEFA pair. 4 eggs. RG = 0. Female trapped over eggs. </t>
    </r>
    <r>
      <rPr>
        <b/>
        <sz val="10"/>
        <color rgb="FF000000"/>
        <rFont val="Times New Roman"/>
        <family val="1"/>
      </rPr>
      <t xml:space="preserve">July 22: </t>
    </r>
    <r>
      <rPr>
        <sz val="10"/>
        <color rgb="FF000000"/>
        <rFont val="Times New Roman"/>
        <family val="1"/>
      </rPr>
      <t xml:space="preserve">Pefa pair. RG = 0. 2 chicks. Green: T = 41, C = 21.5, TC = 14, HB = 54, Crop = 1/4. Blue: T = 37.5, C = 20.5, TC = 14, HB = 52.5, Crop = empty. </t>
    </r>
    <r>
      <rPr>
        <b/>
        <sz val="10"/>
        <color rgb="FF000000"/>
        <rFont val="Times New Roman"/>
        <family val="1"/>
      </rPr>
      <t xml:space="preserve"> August 11: </t>
    </r>
    <r>
      <rPr>
        <sz val="10"/>
        <color rgb="FF000000"/>
        <rFont val="Times New Roman"/>
        <family val="1"/>
      </rPr>
      <t xml:space="preserve"> No PEFA, 2 chicks, 1 of them too old:flushed when we got to the nest. No idea wich one (blue or green) whe banded</t>
    </r>
  </si>
  <si>
    <t>White</t>
  </si>
  <si>
    <t>Female</t>
  </si>
  <si>
    <r>
      <rPr>
        <b/>
        <sz val="10"/>
        <color rgb="FF000000"/>
        <rFont val="Times New Roman"/>
        <family val="1"/>
      </rPr>
      <t xml:space="preserve">July 19: </t>
    </r>
    <r>
      <rPr>
        <sz val="10"/>
        <color rgb="FF000000"/>
        <rFont val="Times New Roman"/>
        <family val="1"/>
      </rPr>
      <t xml:space="preserve">RLHA nest discovered by Francine Fallara (AEM) SE of Peter lake. 3 chicks in nest. Coord: 518105 m E ; 6989867 m N. </t>
    </r>
    <r>
      <rPr>
        <b/>
        <sz val="10"/>
        <color rgb="FF000000"/>
        <rFont val="Times New Roman"/>
        <family val="1"/>
      </rPr>
      <t>August 12</t>
    </r>
    <r>
      <rPr>
        <sz val="10"/>
        <color rgb="FF000000"/>
        <rFont val="Times New Roman"/>
        <family val="1"/>
      </rPr>
      <t xml:space="preserve"> 2 young banded. 1 (female): wt=1005 T= 68 Crop=0 Band=185702462. 2 (female: wt=1091 T=71 Crop=empty band:185702460.</t>
    </r>
  </si>
  <si>
    <r>
      <t xml:space="preserve">May 29: </t>
    </r>
    <r>
      <rPr>
        <sz val="10"/>
        <color rgb="FF000000"/>
        <rFont val="Times New Roman"/>
        <family val="1"/>
      </rPr>
      <t xml:space="preserve"> 1 RLHA. Stick nest. Pascal has waypoint (closer to site c or g),not very far from site 37 occupied by PEFA like last year. We give site 117 to the RLHA. </t>
    </r>
    <r>
      <rPr>
        <b/>
        <sz val="10"/>
        <color rgb="FF000000"/>
        <rFont val="Times New Roman"/>
        <family val="1"/>
      </rPr>
      <t xml:space="preserve">August 12 </t>
    </r>
    <r>
      <rPr>
        <sz val="10"/>
        <color rgb="FF000000"/>
        <rFont val="Times New Roman"/>
        <family val="1"/>
      </rPr>
      <t>helicopter survey. Nest empty, no adults, no whitewash.</t>
    </r>
  </si>
  <si>
    <r>
      <t xml:space="preserve">May 29: </t>
    </r>
    <r>
      <rPr>
        <sz val="10"/>
        <color rgb="FF000000"/>
        <rFont val="Times New Roman"/>
        <family val="1"/>
      </rPr>
      <t xml:space="preserve">1 RLHA on hill north east of 95. </t>
    </r>
    <r>
      <rPr>
        <b/>
        <sz val="10"/>
        <color rgb="FF000000"/>
        <rFont val="Times New Roman"/>
        <family val="1"/>
      </rPr>
      <t xml:space="preserve">June 10: </t>
    </r>
    <r>
      <rPr>
        <sz val="10"/>
        <color rgb="FF000000"/>
        <rFont val="Times New Roman"/>
        <family val="1"/>
      </rPr>
      <t xml:space="preserve"> 1 RLHA in area. Old stick nest but not being used. Could not find a nest. RLHA stayed very high, no stopping. </t>
    </r>
    <r>
      <rPr>
        <b/>
        <sz val="10"/>
        <color rgb="FF000000"/>
        <rFont val="Times New Roman"/>
        <family val="1"/>
      </rPr>
      <t xml:space="preserve">June 20: </t>
    </r>
    <r>
      <rPr>
        <sz val="10"/>
        <color rgb="FF000000"/>
        <rFont val="Times New Roman"/>
        <family val="1"/>
      </rPr>
      <t xml:space="preserve">2 RLHA. 5 eggs. Nest on the ground. </t>
    </r>
    <r>
      <rPr>
        <b/>
        <sz val="10"/>
        <color rgb="FF000000"/>
        <rFont val="Times New Roman"/>
        <family val="1"/>
      </rPr>
      <t xml:space="preserve">August 12 </t>
    </r>
    <r>
      <rPr>
        <sz val="10"/>
        <color rgb="FF000000"/>
        <rFont val="Times New Roman"/>
        <family val="1"/>
      </rPr>
      <t>Nest empty, no adults present.</t>
    </r>
  </si>
  <si>
    <t>female</t>
  </si>
  <si>
    <t>male</t>
  </si>
  <si>
    <t>aug-12-2014</t>
  </si>
  <si>
    <t>Matt T</t>
  </si>
  <si>
    <t>Matt T.</t>
  </si>
  <si>
    <r>
      <t xml:space="preserve">May 26: </t>
    </r>
    <r>
      <rPr>
        <sz val="10"/>
        <color rgb="FF000000"/>
        <rFont val="Times New Roman"/>
        <family val="1"/>
      </rPr>
      <t xml:space="preserve">1 RLHA seen flying over from site 67. </t>
    </r>
    <r>
      <rPr>
        <b/>
        <sz val="10"/>
        <color rgb="FF000000"/>
        <rFont val="Times New Roman"/>
        <family val="1"/>
      </rPr>
      <t xml:space="preserve">August 16 </t>
    </r>
    <r>
      <rPr>
        <sz val="10"/>
        <color rgb="FF000000"/>
        <rFont val="Times New Roman"/>
        <family val="1"/>
      </rPr>
      <t>one nestling fledged from nest. We found it, banded it,  and returned it to the nest. One dead nestling found below nest. 1 (female): wt+975 T=74 crop=0 band=185702469. Took blood sample from this nestling. lat: 62.93468 lon:-92.05718.</t>
    </r>
  </si>
  <si>
    <t>Erik H</t>
  </si>
  <si>
    <r>
      <t xml:space="preserve">May 29: </t>
    </r>
    <r>
      <rPr>
        <sz val="10"/>
        <color rgb="FF000000"/>
        <rFont val="Times New Roman"/>
        <family val="1"/>
      </rPr>
      <t xml:space="preserve">Stick nest with new material added this year. No falcon on the ground this year! </t>
    </r>
    <r>
      <rPr>
        <b/>
        <sz val="10"/>
        <color rgb="FF000000"/>
        <rFont val="Times New Roman"/>
        <family val="1"/>
      </rPr>
      <t xml:space="preserve">August 12 </t>
    </r>
    <r>
      <rPr>
        <sz val="10"/>
        <color rgb="FF000000"/>
        <rFont val="Times New Roman"/>
        <family val="1"/>
      </rPr>
      <t xml:space="preserve"> No adults and no sign of nesting material.</t>
    </r>
  </si>
  <si>
    <r>
      <t xml:space="preserve">May 17: </t>
    </r>
    <r>
      <rPr>
        <sz val="10"/>
        <color rgb="FF000000"/>
        <rFont val="Times New Roman"/>
        <family val="1"/>
      </rPr>
      <t xml:space="preserve">Female spent </t>
    </r>
    <r>
      <rPr>
        <sz val="10"/>
        <color rgb="FF000000"/>
        <rFont val="Calibri"/>
        <family val="2"/>
      </rPr>
      <t>~</t>
    </r>
    <r>
      <rPr>
        <sz val="10"/>
        <color rgb="FF000000"/>
        <rFont val="Times New Roman"/>
        <family val="1"/>
      </rPr>
      <t xml:space="preserve"> 15 min eating before we caught her. </t>
    </r>
    <r>
      <rPr>
        <b/>
        <sz val="10"/>
        <color rgb="FF000000"/>
        <rFont val="Times New Roman"/>
        <family val="1"/>
      </rPr>
      <t xml:space="preserve">June 5: </t>
    </r>
    <r>
      <rPr>
        <sz val="10"/>
        <color rgb="FF000000"/>
        <rFont val="Times New Roman"/>
        <family val="1"/>
      </rPr>
      <t xml:space="preserve">2 PEFA. 3 eggs. Set up reconyx + RG + no Ibutton. Note: From June 5 to June 10, AM and PM are inverted on photos. </t>
    </r>
    <r>
      <rPr>
        <b/>
        <sz val="10"/>
        <color rgb="FF000000"/>
        <rFont val="Times New Roman"/>
        <family val="1"/>
      </rPr>
      <t xml:space="preserve">June 7: </t>
    </r>
    <r>
      <rPr>
        <sz val="10"/>
        <color rgb="FF000000"/>
        <rFont val="Times New Roman"/>
        <family val="1"/>
      </rPr>
      <t xml:space="preserve">4th egg first seen on cam (from reconyx). </t>
    </r>
    <r>
      <rPr>
        <b/>
        <sz val="10"/>
        <color rgb="FF000000"/>
        <rFont val="Times New Roman"/>
        <family val="1"/>
      </rPr>
      <t xml:space="preserve">June 22: </t>
    </r>
    <r>
      <rPr>
        <sz val="10"/>
        <color rgb="FF000000"/>
        <rFont val="Times New Roman"/>
        <family val="1"/>
      </rPr>
      <t>PEFA pair. 4 eggs. Removed cam because bad camera placement (no room for camera). RG = 0. Mem card filled on June 17th. Deployed Ibuton at 11:00 AM.</t>
    </r>
    <r>
      <rPr>
        <b/>
        <sz val="10"/>
        <color rgb="FF000000"/>
        <rFont val="Times New Roman"/>
        <family val="1"/>
      </rPr>
      <t xml:space="preserve"> July 2: </t>
    </r>
    <r>
      <rPr>
        <sz val="10"/>
        <color rgb="FF000000"/>
        <rFont val="Times New Roman"/>
        <family val="1"/>
      </rPr>
      <t xml:space="preserve"> 4 eggs, PEFA pair, RG: 0mm. Might be good idea to bring ladder for manipulating chicks in future </t>
    </r>
    <r>
      <rPr>
        <b/>
        <sz val="10"/>
        <color rgb="FF000000"/>
        <rFont val="Times New Roman"/>
        <family val="1"/>
      </rPr>
      <t xml:space="preserve">July 12: </t>
    </r>
    <r>
      <rPr>
        <sz val="10"/>
        <color rgb="FF000000"/>
        <rFont val="Times New Roman"/>
        <family val="1"/>
      </rPr>
      <t xml:space="preserve"> PEFA pair, 4 chicks, R.G : 0,4 cm. </t>
    </r>
    <r>
      <rPr>
        <b/>
        <sz val="10"/>
        <color rgb="FF000000"/>
        <rFont val="Times New Roman"/>
        <family val="1"/>
      </rPr>
      <t xml:space="preserve"> July 18:  </t>
    </r>
    <r>
      <rPr>
        <sz val="10"/>
        <color rgb="FF000000"/>
        <rFont val="Times New Roman"/>
        <family val="1"/>
      </rPr>
      <t xml:space="preserve">PEFA pair, 4 chicks. RG: 0 cm </t>
    </r>
    <r>
      <rPr>
        <b/>
        <sz val="10"/>
        <color rgb="FF000000"/>
        <rFont val="Times New Roman"/>
        <family val="1"/>
      </rPr>
      <t xml:space="preserve">July 24: </t>
    </r>
    <r>
      <rPr>
        <sz val="10"/>
        <color rgb="FF000000"/>
        <rFont val="Times New Roman"/>
        <family val="1"/>
      </rPr>
      <t>BLUE wt=509 T=44.5 HB=60 Cul=23 TC=17 Ret=4.5 Crop=0 GREEN wt=572 T=48 HB=59 Cul=22 TC=17 Ret=5 Crop=0 RED wt=475 T=23.5 HB=58 Cul=23.5 TC=16 Ret=3.5 Crop=0</t>
    </r>
    <r>
      <rPr>
        <b/>
        <sz val="10"/>
        <color rgb="FF000000"/>
        <rFont val="Times New Roman"/>
        <family val="1"/>
      </rPr>
      <t xml:space="preserve"> August 2 </t>
    </r>
    <r>
      <rPr>
        <sz val="10"/>
        <color rgb="FF000000"/>
        <rFont val="Times New Roman"/>
        <family val="1"/>
      </rPr>
      <t>Removed RG 4 chicks. Blue: wt=735 T=55 Band=168705284 Sex=female. Green: wt=781 T=56 band=168705285 sex=female. Red: wt=705 T=52.5 Band=168705286 Sex=female. White wt=675 T=53.5 Band=168705287 sex=female</t>
    </r>
  </si>
  <si>
    <r>
      <t xml:space="preserve">May 29: </t>
    </r>
    <r>
      <rPr>
        <sz val="10"/>
        <color rgb="FF000000"/>
        <rFont val="Times New Roman"/>
        <family val="1"/>
      </rPr>
      <t xml:space="preserve">PEFA pair on island boulder south east of 46 2013. Approx location: 63°04.187; 92°20.024. </t>
    </r>
    <r>
      <rPr>
        <b/>
        <sz val="10"/>
        <color rgb="FF000000"/>
        <rFont val="Times New Roman"/>
        <family val="1"/>
      </rPr>
      <t xml:space="preserve">August 12 </t>
    </r>
    <r>
      <rPr>
        <sz val="10"/>
        <color rgb="FF000000"/>
        <rFont val="Times New Roman"/>
        <family val="1"/>
      </rPr>
      <t>Helicopter survey. Nothing. RLHA nest seen on a boulder close by, but also empty.</t>
    </r>
  </si>
  <si>
    <r>
      <t>May 29:</t>
    </r>
    <r>
      <rPr>
        <sz val="10"/>
        <color rgb="FF000000"/>
        <rFont val="Times New Roman"/>
        <family val="1"/>
      </rPr>
      <t xml:space="preserve"> PEFA pair. Nice scrape. Same location as last year (lake shore). So PEFA are at 37 like last year while we give site 117 to the RLHA that are close to site 37.</t>
    </r>
    <r>
      <rPr>
        <b/>
        <sz val="10"/>
        <color rgb="FF000000"/>
        <rFont val="Times New Roman"/>
        <family val="1"/>
      </rPr>
      <t xml:space="preserve">August 12 </t>
    </r>
    <r>
      <rPr>
        <sz val="10"/>
        <color rgb="FF000000"/>
        <rFont val="Times New Roman"/>
        <family val="1"/>
      </rPr>
      <t>helicopter survey. Failed, looks like scrape was used earlier, but empty now. No adults in area.</t>
    </r>
  </si>
  <si>
    <r>
      <t xml:space="preserve">May 17: </t>
    </r>
    <r>
      <rPr>
        <sz val="10"/>
        <color rgb="FF000000"/>
        <rFont val="Times New Roman"/>
        <family val="1"/>
      </rPr>
      <t>1</t>
    </r>
    <r>
      <rPr>
        <b/>
        <sz val="10"/>
        <color rgb="FF000000"/>
        <rFont val="Times New Roman"/>
        <family val="1"/>
      </rPr>
      <t xml:space="preserve"> </t>
    </r>
    <r>
      <rPr>
        <sz val="10"/>
        <color rgb="FF000000"/>
        <rFont val="Times New Roman"/>
        <family val="1"/>
      </rPr>
      <t xml:space="preserve">RLHA </t>
    </r>
    <r>
      <rPr>
        <b/>
        <sz val="10"/>
        <color rgb="FF000000"/>
        <rFont val="Times New Roman"/>
        <family val="1"/>
      </rPr>
      <t xml:space="preserve">May 21 : </t>
    </r>
    <r>
      <rPr>
        <sz val="10"/>
        <color rgb="FF000000"/>
        <rFont val="Times New Roman"/>
        <family val="1"/>
      </rPr>
      <t xml:space="preserve">RLHA pair. </t>
    </r>
    <r>
      <rPr>
        <b/>
        <sz val="10"/>
        <color rgb="FF000000"/>
        <rFont val="Times New Roman"/>
        <family val="1"/>
      </rPr>
      <t xml:space="preserve">May 23: </t>
    </r>
    <r>
      <rPr>
        <sz val="10"/>
        <color rgb="FF000000"/>
        <rFont val="Times New Roman"/>
        <family val="1"/>
      </rPr>
      <t xml:space="preserve">RLHA pair defending cliff. PEFA female close to site 20. Unsuccessful trapping. </t>
    </r>
    <r>
      <rPr>
        <b/>
        <sz val="10"/>
        <color rgb="FF000000"/>
        <rFont val="Times New Roman"/>
        <family val="1"/>
      </rPr>
      <t xml:space="preserve">June 8: </t>
    </r>
    <r>
      <rPr>
        <sz val="10"/>
        <color rgb="FF000000"/>
        <rFont val="Times New Roman"/>
        <family val="1"/>
      </rPr>
      <t xml:space="preserve"> RLHA. 2 adults. Didn't check nest. </t>
    </r>
    <r>
      <rPr>
        <b/>
        <sz val="10"/>
        <color rgb="FF000000"/>
        <rFont val="Times New Roman"/>
        <family val="1"/>
      </rPr>
      <t xml:space="preserve">June 18: </t>
    </r>
    <r>
      <rPr>
        <sz val="10"/>
        <color rgb="FF000000"/>
        <rFont val="Times New Roman"/>
        <family val="1"/>
      </rPr>
      <t xml:space="preserve">2 RLHA + 5 eggs. </t>
    </r>
    <r>
      <rPr>
        <b/>
        <sz val="10"/>
        <color rgb="FF000000"/>
        <rFont val="Times New Roman"/>
        <family val="1"/>
      </rPr>
      <t>August 10</t>
    </r>
    <r>
      <rPr>
        <sz val="10"/>
        <color rgb="FF000000"/>
        <rFont val="Times New Roman"/>
        <family val="1"/>
      </rPr>
      <t xml:space="preserve"> 1 (female): wt=1081 T=75. 2(female) wt=1124 T=78. 3(male) wt=814 T=71. 4(male) wt=880 T=72. 5(male) wt=830 T=71.</t>
    </r>
  </si>
  <si>
    <t>Aug-10-2014</t>
  </si>
  <si>
    <t>white</t>
  </si>
  <si>
    <t>unk</t>
  </si>
  <si>
    <t>Blood #1- 1 ml</t>
  </si>
  <si>
    <t>na</t>
  </si>
  <si>
    <t>-</t>
  </si>
  <si>
    <r>
      <t>May 27:</t>
    </r>
    <r>
      <rPr>
        <sz val="10"/>
        <color rgb="FF000000"/>
        <rFont val="Times New Roman"/>
        <family val="1"/>
      </rPr>
      <t xml:space="preserve"> Male and female were chasing RLHA before we caught her. </t>
    </r>
    <r>
      <rPr>
        <b/>
        <sz val="10"/>
        <color rgb="FF000000"/>
        <rFont val="Times New Roman"/>
        <family val="1"/>
      </rPr>
      <t xml:space="preserve">June 5: </t>
    </r>
    <r>
      <rPr>
        <sz val="10"/>
        <color rgb="FF000000"/>
        <rFont val="Times New Roman"/>
        <family val="1"/>
      </rPr>
      <t xml:space="preserve"> Nesting in old RLHA nest. Set up Reconyx + rain gauge. No Ibutton. 1 egg. 2 adults. Both banded but couldn't see band #. </t>
    </r>
    <r>
      <rPr>
        <b/>
        <sz val="10"/>
        <color rgb="FF000000"/>
        <rFont val="Times New Roman"/>
        <family val="1"/>
      </rPr>
      <t xml:space="preserve">June 7: </t>
    </r>
    <r>
      <rPr>
        <sz val="10"/>
        <color rgb="FF000000"/>
        <rFont val="Times New Roman"/>
        <family val="1"/>
      </rPr>
      <t xml:space="preserve">2nd egg first seen on pictures at 5:50:41 AM (from reconyx). </t>
    </r>
    <r>
      <rPr>
        <b/>
        <sz val="10"/>
        <color rgb="FF000000"/>
        <rFont val="Times New Roman"/>
        <family val="1"/>
      </rPr>
      <t xml:space="preserve">June 8: </t>
    </r>
    <r>
      <rPr>
        <sz val="10"/>
        <color rgb="FF000000"/>
        <rFont val="Times New Roman"/>
        <family val="1"/>
      </rPr>
      <t xml:space="preserve">Female is banded 88K from reconyx and male seems banded but can't see (not 100% sure). </t>
    </r>
    <r>
      <rPr>
        <b/>
        <sz val="10"/>
        <color rgb="FF000000"/>
        <rFont val="Times New Roman"/>
        <family val="1"/>
      </rPr>
      <t xml:space="preserve">June 9: </t>
    </r>
    <r>
      <rPr>
        <sz val="10"/>
        <color rgb="FF000000"/>
        <rFont val="Times New Roman"/>
        <family val="1"/>
      </rPr>
      <t xml:space="preserve">3rd egg first seen on camera at 5:09:06 PM (from reconyx). </t>
    </r>
    <r>
      <rPr>
        <b/>
        <sz val="10"/>
        <color rgb="FF000000"/>
        <rFont val="Times New Roman"/>
        <family val="1"/>
      </rPr>
      <t xml:space="preserve">June 11: </t>
    </r>
    <r>
      <rPr>
        <sz val="10"/>
        <color rgb="FF000000"/>
        <rFont val="Times New Roman"/>
        <family val="1"/>
      </rPr>
      <t xml:space="preserve">4th egg first seen on camera 12:20:34 PM (from reconyx). </t>
    </r>
    <r>
      <rPr>
        <b/>
        <sz val="10"/>
        <color rgb="FF000000"/>
        <rFont val="Times New Roman"/>
        <family val="1"/>
      </rPr>
      <t xml:space="preserve">June 16: </t>
    </r>
    <r>
      <rPr>
        <sz val="10"/>
        <color rgb="FF000000"/>
        <rFont val="Times New Roman"/>
        <family val="1"/>
      </rPr>
      <t xml:space="preserve">Female present. 4 eggs. 0.5 cm rain. Changed batt + mem card. Only 628 pictures on mem card. </t>
    </r>
    <r>
      <rPr>
        <b/>
        <sz val="10"/>
        <color rgb="FF000000"/>
        <rFont val="Times New Roman"/>
        <family val="1"/>
      </rPr>
      <t>June 26</t>
    </r>
    <r>
      <rPr>
        <sz val="10"/>
        <color rgb="FF000000"/>
        <rFont val="Times New Roman"/>
        <family val="1"/>
      </rPr>
      <t xml:space="preserve">: could not cross, ice too thin. </t>
    </r>
    <r>
      <rPr>
        <b/>
        <sz val="10"/>
        <color rgb="FF000000"/>
        <rFont val="Times New Roman"/>
        <family val="1"/>
      </rPr>
      <t xml:space="preserve">June 29: </t>
    </r>
    <r>
      <rPr>
        <sz val="10"/>
        <color rgb="FF000000"/>
        <rFont val="Times New Roman"/>
        <family val="1"/>
      </rPr>
      <t xml:space="preserve">Male is banded ?? A (vv) from reconyx. </t>
    </r>
    <r>
      <rPr>
        <b/>
        <sz val="10"/>
        <color rgb="FF000000"/>
        <rFont val="Times New Roman"/>
        <family val="1"/>
      </rPr>
      <t xml:space="preserve">July 15: </t>
    </r>
    <r>
      <rPr>
        <sz val="10"/>
        <color rgb="FF000000"/>
        <rFont val="Times New Roman"/>
        <family val="1"/>
      </rPr>
      <t xml:space="preserve"> PEFA female, 4 chicks, RG:0 cm. Mem. card+ batt changed. Visit #1-5D-5 quails given. </t>
    </r>
    <r>
      <rPr>
        <b/>
        <sz val="10"/>
        <color rgb="FF000000"/>
        <rFont val="Times New Roman"/>
        <family val="1"/>
      </rPr>
      <t xml:space="preserve">July 20: </t>
    </r>
    <r>
      <rPr>
        <sz val="10"/>
        <color rgb="FF000000"/>
        <rFont val="Times New Roman"/>
        <family val="1"/>
      </rPr>
      <t xml:space="preserve"> PEFA female. 4 chicks. RG = 0. changed batt + mem. dropped 6 quails. Blue: T = 32, C = 16.5, HB = 43. Green: T = 31.5, C = 17, HB = 44.5, Red: T = 30.5, C = 16.5, HB = 44. Pink: T = 26, C = 15.5, HB = 40. All chicks have full crop. </t>
    </r>
    <r>
      <rPr>
        <b/>
        <sz val="10"/>
        <color rgb="FF000000"/>
        <rFont val="Times New Roman"/>
        <family val="1"/>
      </rPr>
      <t>July 30</t>
    </r>
    <r>
      <rPr>
        <sz val="10"/>
        <color rgb="FF000000"/>
        <rFont val="Times New Roman"/>
        <family val="1"/>
      </rPr>
      <t xml:space="preserve"> 1 adult. Changed MC and Batt. RG=0. took blood on white.  Left 10 quail. Blue wt=485 Tarsus=45.5 HB=59.5 Cul=25 TC=16 Ret=11.5 Crop=0. Green: wt=645 Tarsus=45 HB=63 Culmen=25 TC=16.5 Ret=9 Crop=0. Red: wt=563 T=44 HB=61.5 Cul=23.5 TC=17 Ret=9 Crop=0. White wt=498 T=43.5 HB=58.5 Cul=21 TC=15.5 Ret=4 Crop=0 </t>
    </r>
    <r>
      <rPr>
        <b/>
        <sz val="10"/>
        <color rgb="FF000000"/>
        <rFont val="Times New Roman"/>
        <family val="1"/>
      </rPr>
      <t>August 4</t>
    </r>
    <r>
      <rPr>
        <sz val="10"/>
        <color rgb="FF000000"/>
        <rFont val="Times New Roman"/>
        <family val="1"/>
      </rPr>
      <t xml:space="preserve"> 1 adult present. 4 nestlings. removed camera and RG. Banded all young. Blood taken from all young. Blue: WT=511 T=49.5 HB=61 Cul=24 TC=15.5 Crop=0 Green: WT-730 T=54.5 HB=65.5 Cul=24 TC=17 Crop=0 Red: WT=668 T=54 HB=64.5 Cul=24.5 TC=18.5 Crop=0 White: WT=548 T=51 HB=60 Cul=24 TC=17 Crop=0.</t>
    </r>
  </si>
  <si>
    <t>Pascal P.</t>
  </si>
  <si>
    <t>Age #6</t>
  </si>
  <si>
    <t>Weight #6</t>
  </si>
  <si>
    <r>
      <t>May 19</t>
    </r>
    <r>
      <rPr>
        <sz val="10"/>
        <color rgb="FF000000"/>
        <rFont val="Times New Roman"/>
        <family val="1"/>
      </rPr>
      <t xml:space="preserve">: Empty </t>
    </r>
    <r>
      <rPr>
        <b/>
        <sz val="10"/>
        <color rgb="FF000000"/>
        <rFont val="Times New Roman"/>
        <family val="1"/>
      </rPr>
      <t>May 23:</t>
    </r>
    <r>
      <rPr>
        <sz val="10"/>
        <color rgb="FF000000"/>
        <rFont val="Times New Roman"/>
        <family val="1"/>
      </rPr>
      <t xml:space="preserve"> PEFA pair. Female and male fighting with raven before they got caught. Baseline cort may increase. </t>
    </r>
    <r>
      <rPr>
        <b/>
        <sz val="10"/>
        <color rgb="FF000000"/>
        <rFont val="Times New Roman"/>
        <family val="1"/>
      </rPr>
      <t xml:space="preserve">June 2: </t>
    </r>
    <r>
      <rPr>
        <sz val="10"/>
        <color rgb="FF000000"/>
        <rFont val="Times New Roman"/>
        <family val="1"/>
      </rPr>
      <t xml:space="preserve">Empty. </t>
    </r>
    <r>
      <rPr>
        <b/>
        <sz val="10"/>
        <color rgb="FF000000"/>
        <rFont val="Times New Roman"/>
        <family val="1"/>
      </rPr>
      <t xml:space="preserve">June 9: </t>
    </r>
    <r>
      <rPr>
        <sz val="10"/>
        <color rgb="FF000000"/>
        <rFont val="Times New Roman"/>
        <family val="1"/>
      </rPr>
      <t xml:space="preserve">PEFA pair. 2 eggs. Deployed RG + Ibuttons at 1:00 PM. Deployed roaming cam. Wpt 44 2014. </t>
    </r>
    <r>
      <rPr>
        <b/>
        <sz val="10"/>
        <color rgb="FF000000"/>
        <rFont val="Times New Roman"/>
        <family val="1"/>
      </rPr>
      <t xml:space="preserve">June 10: </t>
    </r>
    <r>
      <rPr>
        <sz val="10"/>
        <color rgb="FF000000"/>
        <rFont val="Times New Roman"/>
        <family val="1"/>
      </rPr>
      <t xml:space="preserve">3rd egg layed very late on June 10 22:43:20 M2/3. </t>
    </r>
    <r>
      <rPr>
        <b/>
        <sz val="10"/>
        <color rgb="FF000000"/>
        <rFont val="Times New Roman"/>
        <family val="1"/>
      </rPr>
      <t xml:space="preserve">June 13: </t>
    </r>
    <r>
      <rPr>
        <sz val="10"/>
        <color rgb="FF000000"/>
        <rFont val="Times New Roman"/>
        <family val="1"/>
      </rPr>
      <t xml:space="preserve">4th egg layed (from reconyx). </t>
    </r>
    <r>
      <rPr>
        <b/>
        <sz val="10"/>
        <color rgb="FF000000"/>
        <rFont val="Times New Roman"/>
        <family val="1"/>
      </rPr>
      <t xml:space="preserve">June 15: </t>
    </r>
    <r>
      <rPr>
        <sz val="10"/>
        <color rgb="FF000000"/>
        <rFont val="Times New Roman"/>
        <family val="1"/>
      </rPr>
      <t xml:space="preserve">Both PEFA unbanded. </t>
    </r>
    <r>
      <rPr>
        <b/>
        <sz val="10"/>
        <color rgb="FF000000"/>
        <rFont val="Times New Roman"/>
        <family val="1"/>
      </rPr>
      <t xml:space="preserve">June 18: </t>
    </r>
    <r>
      <rPr>
        <sz val="10"/>
        <color rgb="FF000000"/>
        <rFont val="Times New Roman"/>
        <family val="1"/>
      </rPr>
      <t xml:space="preserve">PEFA pair. 4 eggs. changed mem card + batt. Config worked. RG = 0. </t>
    </r>
    <r>
      <rPr>
        <b/>
        <sz val="10"/>
        <color rgb="FF000000"/>
        <rFont val="Times New Roman"/>
        <family val="1"/>
      </rPr>
      <t xml:space="preserve">July 10 : </t>
    </r>
    <r>
      <rPr>
        <sz val="10"/>
        <color rgb="FF000000"/>
        <rFont val="Times New Roman"/>
        <family val="1"/>
      </rPr>
      <t xml:space="preserve"> PEFA female, 4 eggs, R.G : 0,2 cm, changed mem card + batt. </t>
    </r>
    <r>
      <rPr>
        <b/>
        <sz val="10"/>
        <color rgb="FF000000"/>
        <rFont val="Times New Roman"/>
        <family val="1"/>
      </rPr>
      <t xml:space="preserve"> July 14: </t>
    </r>
    <r>
      <rPr>
        <sz val="10"/>
        <color rgb="FF000000"/>
        <rFont val="Times New Roman"/>
        <family val="1"/>
      </rPr>
      <t xml:space="preserve">PEFA pair, 3 eggs, 1 chick. RG: 0,8 cm. Changed batt+mem. card. </t>
    </r>
    <r>
      <rPr>
        <b/>
        <sz val="10"/>
        <color rgb="FF000000"/>
        <rFont val="Times New Roman"/>
        <family val="1"/>
      </rPr>
      <t xml:space="preserve">July 19: </t>
    </r>
    <r>
      <rPr>
        <sz val="10"/>
        <color rgb="FF000000"/>
        <rFont val="Times New Roman"/>
        <family val="1"/>
      </rPr>
      <t xml:space="preserve"> PEFA pair. Changed batt + mem 16 gb. 3 chicks, all empty crop. RG = 0,4 cm. Green: T = 20, C = 14, HB = 37. Blue: T = 22, C = 14, HB = 37. Red: T = 17.5, C = 12.5, HB = 33.5. </t>
    </r>
    <r>
      <rPr>
        <b/>
        <sz val="10"/>
        <color rgb="FF000000"/>
        <rFont val="Times New Roman"/>
        <family val="1"/>
      </rPr>
      <t xml:space="preserve">July 24: </t>
    </r>
    <r>
      <rPr>
        <sz val="10"/>
        <color rgb="FF000000"/>
        <rFont val="Times New Roman"/>
        <family val="1"/>
      </rPr>
      <t xml:space="preserve"> Pefa pair. 2 chicks. RG = 0. Mem card + batt changed. Sticky trap deployed. Visit 3. Blue: T = 31, C = 17, TC = 12.5, HB = 46, Crop = &gt; 1/8. Green: T = 30, C = 16.5, TC = 12.5, HB = 45.5, Crop = 1/4. </t>
    </r>
    <r>
      <rPr>
        <b/>
        <sz val="10"/>
        <color rgb="FF000000"/>
        <rFont val="Times New Roman"/>
        <family val="1"/>
      </rPr>
      <t>July 29</t>
    </r>
    <r>
      <rPr>
        <sz val="10"/>
        <color rgb="FF000000"/>
        <rFont val="Times New Roman"/>
        <family val="1"/>
      </rPr>
      <t xml:space="preserve"> 2 adults. did not change MC or batt. Blood taken from Blue and Green, but green's sample was too small to extract plasma.  Blue: wt=406 T=41 HB=54 Cul=19 TC=13.5 ret=0.5 crop=2/3. Green wt=477 T=41 HB=55.5 Cul=20 TC=14.5 ret=0 crop=3/4 </t>
    </r>
    <r>
      <rPr>
        <b/>
        <sz val="10"/>
        <color rgb="FF000000"/>
        <rFont val="Times New Roman"/>
        <family val="1"/>
      </rPr>
      <t xml:space="preserve">August 3 </t>
    </r>
    <r>
      <rPr>
        <sz val="10"/>
        <color rgb="FF000000"/>
        <rFont val="Times New Roman"/>
        <family val="1"/>
      </rPr>
      <t>RG=&lt;0.2. No Adults Blue: WT=486 T=43 HB=59.5 Cul=21 TC=14.5 Crop=0 Green WT=603 T=46.5 HB=63 Cul=22 TC=17 Crop=0</t>
    </r>
  </si>
  <si>
    <t>Age #7</t>
  </si>
  <si>
    <t>Weight #7</t>
  </si>
  <si>
    <r>
      <t xml:space="preserve">May 19: </t>
    </r>
    <r>
      <rPr>
        <sz val="10"/>
        <color rgb="FF000000"/>
        <rFont val="Times New Roman"/>
        <family val="1"/>
      </rPr>
      <t xml:space="preserve">PEFA pair. Female SY? </t>
    </r>
    <r>
      <rPr>
        <b/>
        <sz val="10"/>
        <color rgb="FF000000"/>
        <rFont val="Times New Roman"/>
        <family val="1"/>
      </rPr>
      <t xml:space="preserve">May 20: </t>
    </r>
    <r>
      <rPr>
        <sz val="10"/>
        <color rgb="FF000000"/>
        <rFont val="Times New Roman"/>
        <family val="1"/>
      </rPr>
      <t xml:space="preserve">PEFA pair. Female came to pigeon. Didn't catch. </t>
    </r>
    <r>
      <rPr>
        <b/>
        <sz val="10"/>
        <color rgb="FF000000"/>
        <rFont val="Times New Roman"/>
        <family val="1"/>
      </rPr>
      <t xml:space="preserve">June 9: </t>
    </r>
    <r>
      <rPr>
        <sz val="10"/>
        <color rgb="FF000000"/>
        <rFont val="Times New Roman"/>
        <family val="1"/>
      </rPr>
      <t xml:space="preserve">PEFA pair. Female is banded (from canon). Male? Scrape found 4 eggs. RG + Ibutton deployed at 3:00 PM. Nest not on the coast but on inland cliff. Wpt 12 2014. </t>
    </r>
    <r>
      <rPr>
        <b/>
        <sz val="10"/>
        <color rgb="FF000000"/>
        <rFont val="Times New Roman"/>
        <family val="1"/>
      </rPr>
      <t xml:space="preserve">June 18: </t>
    </r>
    <r>
      <rPr>
        <sz val="10"/>
        <color rgb="FF000000"/>
        <rFont val="Times New Roman"/>
        <family val="1"/>
      </rPr>
      <t xml:space="preserve">PEFA pair. 4 eggs. RG = 0. Female trapped over eggs. </t>
    </r>
    <r>
      <rPr>
        <b/>
        <sz val="10"/>
        <color rgb="FF000000"/>
        <rFont val="Times New Roman"/>
        <family val="1"/>
      </rPr>
      <t xml:space="preserve"> July 10 : </t>
    </r>
    <r>
      <rPr>
        <sz val="10"/>
        <color rgb="FF000000"/>
        <rFont val="Times New Roman"/>
        <family val="1"/>
      </rPr>
      <t xml:space="preserve"> PEFA pair, 2 chicks, 2 eggs, R.G : 0. Cam deployed at 14:35 </t>
    </r>
    <r>
      <rPr>
        <b/>
        <sz val="10"/>
        <color rgb="FF000000"/>
        <rFont val="Times New Roman"/>
        <family val="1"/>
      </rPr>
      <t xml:space="preserve"> July 14: </t>
    </r>
    <r>
      <rPr>
        <sz val="10"/>
        <color rgb="FF000000"/>
        <rFont val="Times New Roman"/>
        <family val="1"/>
      </rPr>
      <t xml:space="preserve">Visit# 1 -control. Mem.card+batt changed. R.G: 0. </t>
    </r>
    <r>
      <rPr>
        <b/>
        <sz val="10"/>
        <color rgb="FF000000"/>
        <rFont val="Times New Roman"/>
        <family val="1"/>
      </rPr>
      <t xml:space="preserve">July 19: </t>
    </r>
    <r>
      <rPr>
        <sz val="10"/>
        <color rgb="FF000000"/>
        <rFont val="Times New Roman"/>
        <family val="1"/>
      </rPr>
      <t xml:space="preserve">PEFA female. 3 chicks (all empty crop). RG = trace. Changed batt + mem 8 gb. Mem card filled on July 16 at 2:06 PM. Blue: Tarsus = 42, Culmen = 18.5, HB = 49.5. Green: Tarsus = 39, culmen = 19.5, HB = 50. Pink: Tarsus = 23.5, clumen = 14, HB = 38. </t>
    </r>
    <r>
      <rPr>
        <b/>
        <sz val="10"/>
        <color rgb="FF000000"/>
        <rFont val="Times New Roman"/>
        <family val="1"/>
      </rPr>
      <t xml:space="preserve">July 24: </t>
    </r>
    <r>
      <rPr>
        <sz val="10"/>
        <color rgb="FF000000"/>
        <rFont val="Times New Roman"/>
        <family val="1"/>
      </rPr>
      <t xml:space="preserve">RG = 0. PEFA female. 2 chicks. Changed batt + 8 gb. Deployed sticky trap. Blue: Crop = 1/4, T = 47, C = 20.5, TC = 16, HB = 58, R = 3.8 mm. Green: Crop = empty, T = 43.5, C = 21.5, TC = 16.5, HB = 57, R = 2.5 mm. Chicks are out of sight of the cam.  </t>
    </r>
    <r>
      <rPr>
        <b/>
        <sz val="10"/>
        <color rgb="FF000000"/>
        <rFont val="Times New Roman"/>
        <family val="1"/>
      </rPr>
      <t xml:space="preserve">July 29 </t>
    </r>
    <r>
      <rPr>
        <sz val="10"/>
        <color rgb="FF000000"/>
        <rFont val="Times New Roman"/>
        <family val="1"/>
      </rPr>
      <t xml:space="preserve">Female adult present. RG=0. Changed MC and batt. 2 young. Blood taken on Blue.  Blue: wt=779 T=49.5 HB=63 Cul=23.5 TC=18 Ret=11 crop=0 Green wt=678 T=51.5 HB=62 Cul=23 TC=17 Ret=10.5 Crop=0. </t>
    </r>
    <r>
      <rPr>
        <b/>
        <sz val="10"/>
        <color rgb="FF000000"/>
        <rFont val="Times New Roman"/>
        <family val="1"/>
      </rPr>
      <t>August 3</t>
    </r>
    <r>
      <rPr>
        <sz val="10"/>
        <color rgb="FF000000"/>
        <rFont val="Times New Roman"/>
        <family val="1"/>
      </rPr>
      <t xml:space="preserve"> No adults present. Took blood on both blue and green. Blue: WT=770 T=54.5 HB=68 Cul=24 TC=19 Crop=0. Green: WT=703 T=53.5 HB=not taken Cul=24 TC=19 Crop=0. Banded both young</t>
    </r>
  </si>
  <si>
    <t>7 or 8</t>
  </si>
  <si>
    <r>
      <t xml:space="preserve">June 9: </t>
    </r>
    <r>
      <rPr>
        <sz val="10"/>
        <color rgb="FF000000"/>
        <rFont val="Times New Roman"/>
        <family val="1"/>
      </rPr>
      <t xml:space="preserve">PEFA pair. Nest found. 2 eggs. Deployed RG + Ibutton at 4:00 PM. Female is banded (from canon). </t>
    </r>
    <r>
      <rPr>
        <b/>
        <sz val="10"/>
        <color rgb="FF000000"/>
        <rFont val="Times New Roman"/>
        <family val="1"/>
      </rPr>
      <t xml:space="preserve">June 15: </t>
    </r>
    <r>
      <rPr>
        <sz val="10"/>
        <color rgb="FF000000"/>
        <rFont val="Times New Roman"/>
        <family val="1"/>
      </rPr>
      <t xml:space="preserve">Pefa pair. Female is banded 86K. 4 eggs. Male is unbanded. Cam + 8 gb deployed. RG = 0. </t>
    </r>
    <r>
      <rPr>
        <b/>
        <sz val="10"/>
        <color rgb="FF000000"/>
        <rFont val="Times New Roman"/>
        <family val="1"/>
      </rPr>
      <t xml:space="preserve">July 10: </t>
    </r>
    <r>
      <rPr>
        <sz val="10"/>
        <color rgb="FF000000"/>
        <rFont val="Times New Roman"/>
        <family val="1"/>
      </rPr>
      <t xml:space="preserve"> PEFA pair+ 1 intruder 4 eggs, mem. Card+ batt. Changed. R.G: 0. Also found rlha nest at former 76 location. 4 chicks (seen by Andy Aliyak). No WPT taken </t>
    </r>
    <r>
      <rPr>
        <b/>
        <sz val="10"/>
        <color rgb="FF000000"/>
        <rFont val="Times New Roman"/>
        <family val="1"/>
      </rPr>
      <t xml:space="preserve">July 19: </t>
    </r>
    <r>
      <rPr>
        <sz val="10"/>
        <color rgb="FF000000"/>
        <rFont val="Times New Roman"/>
        <family val="1"/>
      </rPr>
      <t xml:space="preserve">PEFA female. 4 chicks. RG = 0.2 cm. Changed batt + mem card 8 gb. All empty crop. Dropped 5 quails. Blue: T = 29.5, C =B = 43. Green: T = 25.5, C = 14, HB = 41. Red: T = 21. C = 13.5, HB = 36. Pink: T = 18.5, C = 12, HB = 34. </t>
    </r>
    <r>
      <rPr>
        <b/>
        <sz val="10"/>
        <color rgb="FF000000"/>
        <rFont val="Times New Roman"/>
        <family val="1"/>
      </rPr>
      <t xml:space="preserve">July 24: </t>
    </r>
    <r>
      <rPr>
        <sz val="10"/>
        <color rgb="FF000000"/>
        <rFont val="Times New Roman"/>
        <family val="1"/>
      </rPr>
      <t xml:space="preserve">RG = 0. 4 chicks. mem card + batt changed. Pefa pair. sticky trap deployed. Dropped 4 pigeons. Blue: T = 36.5, C = 19, TC = 13.5, HB = 52. Green: T = 34, C = 18, TC = 12.5, HB = 48. Red: T = 29.5, C = 16.5, TC = 12.5, HB = 44.5. Pink: T = 22, C = 14.5, TC = 11, HB = 40. All empty crop. </t>
    </r>
    <r>
      <rPr>
        <b/>
        <sz val="10"/>
        <color rgb="FF000000"/>
        <rFont val="Times New Roman"/>
        <family val="1"/>
      </rPr>
      <t xml:space="preserve">July 29: </t>
    </r>
    <r>
      <rPr>
        <sz val="10"/>
        <color rgb="FF000000"/>
        <rFont val="Times New Roman"/>
        <family val="1"/>
      </rPr>
      <t xml:space="preserve"> 1 PEFA, 4 chicks, siksik remains in the nest.RG: 0 cm . 8 quails given.</t>
    </r>
    <r>
      <rPr>
        <b/>
        <sz val="10"/>
        <color rgb="FF000000"/>
        <rFont val="Times New Roman"/>
        <family val="1"/>
      </rPr>
      <t xml:space="preserve"> August 3</t>
    </r>
    <r>
      <rPr>
        <sz val="10"/>
        <color rgb="FF000000"/>
        <rFont val="Times New Roman"/>
        <family val="1"/>
      </rPr>
      <t>:Blood taken from Red chick.  Blue: WT=653 T=50 HB=65.5 Cul=24 TC=17 Crop=0. Green: WT=458 T=44 HB=59.5 Cul=20.5 TC=15 Crop=0. Red: WT=378 T=41 HB=56.5 Cul=20 TC=15 Crop=0 Ret=3.5</t>
    </r>
  </si>
  <si>
    <t>25-male</t>
  </si>
  <si>
    <t>24-female</t>
  </si>
  <si>
    <t>23-female</t>
  </si>
  <si>
    <r>
      <t xml:space="preserve">May 22: </t>
    </r>
    <r>
      <rPr>
        <sz val="10"/>
        <color rgb="FF000000"/>
        <rFont val="Times New Roman"/>
        <family val="1"/>
      </rPr>
      <t xml:space="preserve">1 RLHA + 1 Raven flying over ( not territorial ???) 1 PEFA on west end of cliff (closer to 82?). </t>
    </r>
    <r>
      <rPr>
        <b/>
        <sz val="10"/>
        <color rgb="FF000000"/>
        <rFont val="Times New Roman"/>
        <family val="1"/>
      </rPr>
      <t xml:space="preserve">May 24: </t>
    </r>
    <r>
      <rPr>
        <sz val="10"/>
        <color rgb="FF000000"/>
        <rFont val="Times New Roman"/>
        <family val="1"/>
      </rPr>
      <t xml:space="preserve">PEFA pair. Unsuccessful trapping. </t>
    </r>
    <r>
      <rPr>
        <b/>
        <sz val="10"/>
        <color rgb="FF000000"/>
        <rFont val="Times New Roman"/>
        <family val="1"/>
      </rPr>
      <t xml:space="preserve">June 8: </t>
    </r>
    <r>
      <rPr>
        <sz val="10"/>
        <color rgb="FF000000"/>
        <rFont val="Times New Roman"/>
        <family val="1"/>
      </rPr>
      <t xml:space="preserve">PEFA pair. Female is banded and has a Geolocator. 3 eggs. RG + Ibutton at 2:25. Wpt 23 2014. </t>
    </r>
    <r>
      <rPr>
        <b/>
        <sz val="10"/>
        <color rgb="FF000000"/>
        <rFont val="Times New Roman"/>
        <family val="1"/>
      </rPr>
      <t xml:space="preserve">June 14: </t>
    </r>
    <r>
      <rPr>
        <sz val="10"/>
        <color rgb="FF000000"/>
        <rFont val="Times New Roman"/>
        <family val="1"/>
      </rPr>
      <t xml:space="preserve">Pefa pair. 4 eggs. RG = 0. Female trapped over eggs. </t>
    </r>
    <r>
      <rPr>
        <b/>
        <sz val="10"/>
        <color rgb="FF000000"/>
        <rFont val="Times New Roman"/>
        <family val="1"/>
      </rPr>
      <t>July 22:</t>
    </r>
    <r>
      <rPr>
        <sz val="10"/>
        <color rgb="FF000000"/>
        <rFont val="Times New Roman"/>
        <family val="1"/>
      </rPr>
      <t xml:space="preserve"> PEFA female. RG = 0. 1 chick. Blue: Crop = full. C = 20, TC = 13, HB = 50.5, T = 38. </t>
    </r>
    <r>
      <rPr>
        <b/>
        <sz val="10"/>
        <color rgb="FF000000"/>
        <rFont val="Times New Roman"/>
        <family val="1"/>
      </rPr>
      <t>August 4</t>
    </r>
    <r>
      <rPr>
        <sz val="10"/>
        <color rgb="FF000000"/>
        <rFont val="Times New Roman"/>
        <family val="1"/>
      </rPr>
      <t xml:space="preserve"> no adults present. Removed RG. (0mm). one nestling present. Blue: WT=618 T=48 crop=1/2.</t>
    </r>
  </si>
  <si>
    <t>unk male</t>
  </si>
  <si>
    <r>
      <t xml:space="preserve">June 11: </t>
    </r>
    <r>
      <rPr>
        <sz val="10"/>
        <color rgb="FF000000"/>
        <rFont val="Times New Roman"/>
        <family val="1"/>
      </rPr>
      <t xml:space="preserve"> 2 RLHA adult. 4 eggs.  </t>
    </r>
    <r>
      <rPr>
        <b/>
        <sz val="10"/>
        <color rgb="FF000000"/>
        <rFont val="Times New Roman"/>
        <family val="1"/>
      </rPr>
      <t>July 9:</t>
    </r>
    <r>
      <rPr>
        <sz val="10"/>
        <color rgb="FF000000"/>
        <rFont val="Times New Roman"/>
        <family val="1"/>
      </rPr>
      <t xml:space="preserve"> RHLA pair, 3 chicks, 2 eggs unhatched. </t>
    </r>
    <r>
      <rPr>
        <b/>
        <sz val="10"/>
        <color rgb="FF000000"/>
        <rFont val="Times New Roman"/>
        <family val="1"/>
      </rPr>
      <t>August 5:</t>
    </r>
    <r>
      <rPr>
        <sz val="10"/>
        <color rgb="FF000000"/>
        <rFont val="Times New Roman"/>
        <family val="1"/>
      </rPr>
      <t xml:space="preserve"> Banded two young, both males. Nestling 1: wt=731 T=68.5 nestling 2: Wt=757 T=67.5</t>
    </r>
  </si>
  <si>
    <t>27-male</t>
  </si>
  <si>
    <t>24-male</t>
  </si>
  <si>
    <t>25-female</t>
  </si>
  <si>
    <t>unk-male</t>
  </si>
  <si>
    <t>26-female</t>
  </si>
  <si>
    <r>
      <t xml:space="preserve">May 22: </t>
    </r>
    <r>
      <rPr>
        <sz val="10"/>
        <color rgb="FF000000"/>
        <rFont val="Times New Roman"/>
        <family val="1"/>
      </rPr>
      <t xml:space="preserve">Empty </t>
    </r>
    <r>
      <rPr>
        <b/>
        <sz val="10"/>
        <color rgb="FF000000"/>
        <rFont val="Times New Roman"/>
        <family val="1"/>
      </rPr>
      <t xml:space="preserve">May 24: </t>
    </r>
    <r>
      <rPr>
        <sz val="10"/>
        <color rgb="FF000000"/>
        <rFont val="Times New Roman"/>
        <family val="1"/>
      </rPr>
      <t xml:space="preserve"> PEFA male only. That bird spent </t>
    </r>
    <r>
      <rPr>
        <sz val="10"/>
        <color rgb="FF000000"/>
        <rFont val="Calibri"/>
        <family val="2"/>
      </rPr>
      <t>~</t>
    </r>
    <r>
      <rPr>
        <sz val="10"/>
        <color rgb="FF000000"/>
        <rFont val="Times New Roman"/>
        <family val="1"/>
      </rPr>
      <t xml:space="preserve">1hr over the pigeon. We came very close soon after he got caught. Bird tried to go back to cliff and seemed nervous after. Then we waited for </t>
    </r>
    <r>
      <rPr>
        <sz val="10"/>
        <color rgb="FF000000"/>
        <rFont val="Calibri"/>
        <family val="2"/>
      </rPr>
      <t>~</t>
    </r>
    <r>
      <rPr>
        <sz val="10"/>
        <color rgb="FF000000"/>
        <rFont val="Times New Roman"/>
        <family val="1"/>
      </rPr>
      <t xml:space="preserve"> 45 min before we went to catch him. Cort might be high ? </t>
    </r>
    <r>
      <rPr>
        <b/>
        <sz val="10"/>
        <color rgb="FF000000"/>
        <rFont val="Times New Roman"/>
        <family val="1"/>
      </rPr>
      <t xml:space="preserve">May 27: </t>
    </r>
    <r>
      <rPr>
        <sz val="10"/>
        <color rgb="FF000000"/>
        <rFont val="Times New Roman"/>
        <family val="1"/>
      </rPr>
      <t xml:space="preserve">PEFA pair. Unsuccessful trapping. </t>
    </r>
    <r>
      <rPr>
        <b/>
        <sz val="10"/>
        <color rgb="FF000000"/>
        <rFont val="Times New Roman"/>
        <family val="1"/>
      </rPr>
      <t xml:space="preserve">June 5: </t>
    </r>
    <r>
      <rPr>
        <sz val="10"/>
        <color rgb="FF000000"/>
        <rFont val="Times New Roman"/>
        <family val="1"/>
      </rPr>
      <t xml:space="preserve"> PEFA pair. Not very aggressive. Didn't look for band. Found the scrape. No eggs layed yet. </t>
    </r>
    <r>
      <rPr>
        <b/>
        <sz val="10"/>
        <color rgb="FF000000"/>
        <rFont val="Times New Roman"/>
        <family val="1"/>
      </rPr>
      <t>June 12 :</t>
    </r>
    <r>
      <rPr>
        <sz val="10"/>
        <color rgb="FF000000"/>
        <rFont val="Times New Roman"/>
        <family val="1"/>
      </rPr>
      <t xml:space="preserve"> PEFA pair, male unbanded, 2 eggs. Deploy RG+ Ibutton+ camera at 11h30 am. Waypoint 97 2014. </t>
    </r>
    <r>
      <rPr>
        <b/>
        <sz val="10"/>
        <color rgb="FF000000"/>
        <rFont val="Times New Roman"/>
        <family val="1"/>
      </rPr>
      <t xml:space="preserve">June 23: </t>
    </r>
    <r>
      <rPr>
        <sz val="10"/>
        <color rgb="FF000000"/>
        <rFont val="Times New Roman"/>
        <family val="1"/>
      </rPr>
      <t xml:space="preserve">PEFA pair. 3 eggs. Replaced FL-6 cam with a cam that is unlabelled. We assumed the focal length is 4' on the new cam. </t>
    </r>
    <r>
      <rPr>
        <b/>
        <sz val="10"/>
        <color rgb="FF000000"/>
        <rFont val="Times New Roman"/>
        <family val="1"/>
      </rPr>
      <t>July 15 :</t>
    </r>
    <r>
      <rPr>
        <sz val="10"/>
        <color rgb="FF000000"/>
        <rFont val="Times New Roman"/>
        <family val="1"/>
      </rPr>
      <t xml:space="preserve"> PEFA female, 3 chicks. RG: 0,4 cm. Mem. card+batt changed.</t>
    </r>
    <r>
      <rPr>
        <b/>
        <sz val="10"/>
        <color rgb="FF000000"/>
        <rFont val="Times New Roman"/>
        <family val="1"/>
      </rPr>
      <t xml:space="preserve">July 20: </t>
    </r>
    <r>
      <rPr>
        <sz val="10"/>
        <color rgb="FF000000"/>
        <rFont val="Times New Roman"/>
        <family val="1"/>
      </rPr>
      <t xml:space="preserve">PEFA ind female. RG = 0.6 cm. 2 chicks + 1 dead found at bottom of the cliff (red) that was 73 g.  Changed batt + mem 4 gb. Replaced cam. 1st supp = 3 quails. Blue: T = 28, C = 17, HB = 44.5, crop = empty. Green: T = 27, C = 15.5, HB = 41.5, crop = full. </t>
    </r>
    <r>
      <rPr>
        <b/>
        <sz val="10"/>
        <color rgb="FF000000"/>
        <rFont val="Times New Roman"/>
        <family val="1"/>
      </rPr>
      <t xml:space="preserve">July 24: </t>
    </r>
    <r>
      <rPr>
        <sz val="10"/>
        <color rgb="FF000000"/>
        <rFont val="Times New Roman"/>
        <family val="1"/>
      </rPr>
      <t xml:space="preserve"> PEFA female. 2 chicks. RG = 0. Mem card + batt changed. Sticky trap deployed. Blue: T = 34, C = 20.5, TC = 14.5, HB = 51.5. Green = T 32, C = 18, TC = 12.5, HB = 48, Cropt = empty. Visit # 2. Supplemented so 2 pigeons given.</t>
    </r>
    <r>
      <rPr>
        <b/>
        <sz val="10"/>
        <color rgb="FF000000"/>
        <rFont val="Times New Roman"/>
        <family val="1"/>
      </rPr>
      <t>July 30</t>
    </r>
    <r>
      <rPr>
        <sz val="10"/>
        <color rgb="FF000000"/>
        <rFont val="Times New Roman"/>
        <family val="1"/>
      </rPr>
      <t xml:space="preserve"> RG=0 changed MC+ batt. left 4 quail. took blood from blue and green nestlings. Blue wt=495 T=46.5 HB=57.5 Cul=22.5 TC=16.5 Ret=7 Crop=0 Green wt=378 T=39.5 HB=56 CUl=21.5 TC=14.5 Ret=4.5 Crop=0 </t>
    </r>
    <r>
      <rPr>
        <b/>
        <sz val="10"/>
        <color rgb="FF000000"/>
        <rFont val="Times New Roman"/>
        <family val="1"/>
      </rPr>
      <t>August 3</t>
    </r>
    <r>
      <rPr>
        <sz val="10"/>
        <color rgb="FF000000"/>
        <rFont val="Times New Roman"/>
        <family val="1"/>
      </rPr>
      <t xml:space="preserve"> 2 adults present. Female feeding nestlings when we arrived (guillemot). 2 pigeons, and 2 quail given to brood. 2 nestlings. . Blue: WT=666 T=45.5 HB=58.5 Cul=24.5 TC=15.5 Crop=1/2. Green: WT=478 T=50.5 HB=63.5 Cul=26.5 TC=17.5 Crop=1/2 </t>
    </r>
    <r>
      <rPr>
        <b/>
        <sz val="10"/>
        <color rgb="FF000000"/>
        <rFont val="Times New Roman"/>
        <family val="1"/>
      </rPr>
      <t>August 8</t>
    </r>
    <r>
      <rPr>
        <sz val="10"/>
        <color rgb="FF000000"/>
        <rFont val="Times New Roman"/>
        <family val="1"/>
      </rPr>
      <t xml:space="preserve"> 2 nestlings. left 6 quail. Blue: Blood taken from both nestlings. WT=722 T=53.5 HB=68 Cul=25.5 TC=19 sex=female. Green: WT=512 T=46.5 HB=61.5 Cul=22 TC=16 sex=male</t>
    </r>
  </si>
  <si>
    <r>
      <t xml:space="preserve">May 18: </t>
    </r>
    <r>
      <rPr>
        <sz val="10"/>
        <color rgb="FF000000"/>
        <rFont val="Times New Roman"/>
        <family val="1"/>
      </rPr>
      <t>RLHA pair -&gt; defending + 1 Raven</t>
    </r>
    <r>
      <rPr>
        <b/>
        <sz val="10"/>
        <color rgb="FF000000"/>
        <rFont val="Times New Roman"/>
        <family val="1"/>
      </rPr>
      <t xml:space="preserve"> May 21</t>
    </r>
    <r>
      <rPr>
        <sz val="10"/>
        <color rgb="FF000000"/>
        <rFont val="Times New Roman"/>
        <family val="1"/>
      </rPr>
      <t xml:space="preserve">: RLHA pair. </t>
    </r>
    <r>
      <rPr>
        <b/>
        <sz val="10"/>
        <color rgb="FF000000"/>
        <rFont val="Times New Roman"/>
        <family val="1"/>
      </rPr>
      <t xml:space="preserve">May 28: </t>
    </r>
    <r>
      <rPr>
        <sz val="10"/>
        <color rgb="FF000000"/>
        <rFont val="Times New Roman"/>
        <family val="1"/>
      </rPr>
      <t xml:space="preserve">PEFA pair. Unsuccessful trapping. </t>
    </r>
    <r>
      <rPr>
        <b/>
        <sz val="10"/>
        <color rgb="FF000000"/>
        <rFont val="Times New Roman"/>
        <family val="1"/>
      </rPr>
      <t xml:space="preserve">June 11: </t>
    </r>
    <r>
      <rPr>
        <sz val="10"/>
        <color rgb="FF000000"/>
        <rFont val="Times New Roman"/>
        <family val="1"/>
      </rPr>
      <t xml:space="preserve">2 adults, 4 eggs. Deployed cam + RG + Ibutton. </t>
    </r>
    <r>
      <rPr>
        <b/>
        <sz val="10"/>
        <color rgb="FF000000"/>
        <rFont val="Times New Roman"/>
        <family val="1"/>
      </rPr>
      <t xml:space="preserve">June 16: </t>
    </r>
    <r>
      <rPr>
        <sz val="10"/>
        <color rgb="FF000000"/>
        <rFont val="Times New Roman"/>
        <family val="1"/>
      </rPr>
      <t>4 eggs. RG = 0. Replaced mem card + batt. Male is 00H and has lost his geolocator. Female is 47E and trapped over eggs. GL  L290-2515 retreived.</t>
    </r>
    <r>
      <rPr>
        <b/>
        <sz val="10"/>
        <color rgb="FF000000"/>
        <rFont val="Times New Roman"/>
        <family val="1"/>
      </rPr>
      <t xml:space="preserve">June 26: </t>
    </r>
    <r>
      <rPr>
        <sz val="10"/>
        <color rgb="FF000000"/>
        <rFont val="Times New Roman"/>
        <family val="1"/>
      </rPr>
      <t xml:space="preserve"> PEFA pair, 4 eggs, mem. card +batt changed . R.G: 0mm. </t>
    </r>
    <r>
      <rPr>
        <b/>
        <sz val="10"/>
        <color rgb="FF000000"/>
        <rFont val="Times New Roman"/>
        <family val="1"/>
      </rPr>
      <t xml:space="preserve">July 9: </t>
    </r>
    <r>
      <rPr>
        <sz val="10"/>
        <color rgb="FF000000"/>
        <rFont val="Times New Roman"/>
        <family val="1"/>
      </rPr>
      <t xml:space="preserve">PEFA pair, 4 eggs, mem. card +batt changed . R.G: &lt;5 mm. </t>
    </r>
    <r>
      <rPr>
        <b/>
        <sz val="10"/>
        <color rgb="FF000000"/>
        <rFont val="Times New Roman"/>
        <family val="1"/>
      </rPr>
      <t xml:space="preserve"> July 13: </t>
    </r>
    <r>
      <rPr>
        <sz val="10"/>
        <color rgb="FF000000"/>
        <rFont val="Times New Roman"/>
        <family val="1"/>
      </rPr>
      <t>Pefa pair, 3 chicks, 1 egg, RG: 1 cm. Mem.card +batt changed.</t>
    </r>
    <r>
      <rPr>
        <b/>
        <sz val="10"/>
        <color rgb="FF000000"/>
        <rFont val="Times New Roman"/>
        <family val="1"/>
      </rPr>
      <t xml:space="preserve">July 16: </t>
    </r>
    <r>
      <rPr>
        <sz val="10"/>
        <color rgb="FF000000"/>
        <rFont val="Times New Roman"/>
        <family val="1"/>
      </rPr>
      <t xml:space="preserve"> PEFA pair, 4 chicks, RG: 0cm. Mem. card+ batt changed.. Cam moved. Visit 1-5D-5quails</t>
    </r>
    <r>
      <rPr>
        <b/>
        <sz val="10"/>
        <color rgb="FF000000"/>
        <rFont val="Times New Roman"/>
        <family val="1"/>
      </rPr>
      <t xml:space="preserve">July 21: </t>
    </r>
    <r>
      <rPr>
        <sz val="10"/>
        <color rgb="FF000000"/>
        <rFont val="Times New Roman"/>
        <family val="1"/>
      </rPr>
      <t xml:space="preserve">PEFA pair. RG = 0. 4 chicks. Dropped 3 quails + 2 pigeons. 2nd supp. Changed batt + 8 gb. Blue: C = 19, Hb = 47.5, T = 39, Crop = empty. Green = C = 18.5, HB = 46, T = 40.5, Crop = Empty. Red:  C = 17, Hb = 46, T = 38.5, Crop = Empty. Pink: C = 16.5, Hb = 41, T = 30, Crop = empty. </t>
    </r>
    <r>
      <rPr>
        <b/>
        <sz val="10"/>
        <color rgb="FF000000"/>
        <rFont val="Times New Roman"/>
        <family val="1"/>
      </rPr>
      <t xml:space="preserve">July 31 </t>
    </r>
    <r>
      <rPr>
        <sz val="10"/>
        <color rgb="FF000000"/>
        <rFont val="Times New Roman"/>
        <family val="1"/>
      </rPr>
      <t xml:space="preserve"> PEFA pair present.  Changed MC+B. RG=0. Left 10 quail. Took blood on white. Blue: wt=511 T=49 HB=58.5 Cul=24 TC=16 Crop=0 Green: wt=562 T=48.5 HB=61 Cul=24 TC=16 Crop=0. Red: wt=648 T=52 HB=62 Cul=26 TC=17 Crop=0 White wt=378 T=44 HB=54.5 Cul=20.5 TC=15 Ret=4 Crop=0. </t>
    </r>
    <r>
      <rPr>
        <b/>
        <sz val="10"/>
        <color rgb="FF000000"/>
        <rFont val="Times New Roman"/>
        <family val="1"/>
      </rPr>
      <t>August 7</t>
    </r>
    <r>
      <rPr>
        <sz val="10"/>
        <color rgb="FF000000"/>
        <rFont val="Times New Roman"/>
        <family val="1"/>
      </rPr>
      <t xml:space="preserve"> 4 young present. Bad weather so no measurements taken on nestlings. Did not change MC or Batt. Down on young visibly wet. 1.75 cm in Rain Gauge. </t>
    </r>
    <r>
      <rPr>
        <b/>
        <sz val="10"/>
        <color rgb="FF000000"/>
        <rFont val="Times New Roman"/>
        <family val="1"/>
      </rPr>
      <t xml:space="preserve">August 8 </t>
    </r>
    <r>
      <rPr>
        <sz val="10"/>
        <color rgb="FF000000"/>
        <rFont val="Times New Roman"/>
        <family val="1"/>
      </rPr>
      <t>1 adult present. RG=200 mm. White found dead. Took blood on all young. Blue: WT=599 T=49.5 HB=62 Cul=24.5 TC=16 Crop=1/4 sex=male. Green: WT=617 T=48.5 HB=60.5 Cul=24.5 TC=17 Crop=1/2 sex=male. Red: WT+864 T=54.5 HB=67.5 cul=25 TC=18.5 Crop=3/4 sex=female</t>
    </r>
  </si>
  <si>
    <r>
      <t>May 21:</t>
    </r>
    <r>
      <rPr>
        <sz val="10"/>
        <color rgb="FF000000"/>
        <rFont val="Times New Roman"/>
        <family val="1"/>
      </rPr>
      <t xml:space="preserve"> 2 PEFA: female came to pigeon. Didn't catch. Left. Came back on trap. </t>
    </r>
    <r>
      <rPr>
        <b/>
        <sz val="10"/>
        <color rgb="FF000000"/>
        <rFont val="Times New Roman"/>
        <family val="1"/>
      </rPr>
      <t xml:space="preserve">May 28: </t>
    </r>
    <r>
      <rPr>
        <sz val="10"/>
        <color rgb="FF000000"/>
        <rFont val="Times New Roman"/>
        <family val="1"/>
      </rPr>
      <t xml:space="preserve"> PEFA flying between 8 and 51. </t>
    </r>
    <r>
      <rPr>
        <b/>
        <sz val="10"/>
        <color rgb="FF000000"/>
        <rFont val="Times New Roman"/>
        <family val="1"/>
      </rPr>
      <t xml:space="preserve">June 8: </t>
    </r>
    <r>
      <rPr>
        <sz val="10"/>
        <color rgb="FF000000"/>
        <rFont val="Times New Roman"/>
        <family val="1"/>
      </rPr>
      <t xml:space="preserve">PEFA pair. 3 eggs. Deployed rain gauge and Ibutton at 6:30 PM. </t>
    </r>
    <r>
      <rPr>
        <b/>
        <sz val="10"/>
        <color rgb="FF000000"/>
        <rFont val="Times New Roman"/>
        <family val="1"/>
      </rPr>
      <t xml:space="preserve">June 12: </t>
    </r>
    <r>
      <rPr>
        <sz val="10"/>
        <color rgb="FF000000"/>
        <rFont val="Times New Roman"/>
        <family val="1"/>
      </rPr>
      <t xml:space="preserve"> PEFA pair.  Both unbanded. Deployed cam + Ibutton at 3:31 PM. 4 eggs </t>
    </r>
    <r>
      <rPr>
        <b/>
        <sz val="10"/>
        <color rgb="FF000000"/>
        <rFont val="Times New Roman"/>
        <family val="1"/>
      </rPr>
      <t xml:space="preserve">June 13: </t>
    </r>
    <r>
      <rPr>
        <sz val="10"/>
        <color rgb="FF000000"/>
        <rFont val="Times New Roman"/>
        <family val="1"/>
      </rPr>
      <t xml:space="preserve">Both pefa unbanded (from reconyx). Female: picture 2014-06-13-10:50.38 AM 02_03; Male: picture 2014-06-13-12:33.04 PM 01_03. </t>
    </r>
    <r>
      <rPr>
        <b/>
        <sz val="10"/>
        <color rgb="FF000000"/>
        <rFont val="Times New Roman"/>
        <family val="1"/>
      </rPr>
      <t>June 23:</t>
    </r>
    <r>
      <rPr>
        <sz val="10"/>
        <color rgb="FF000000"/>
        <rFont val="Times New Roman"/>
        <family val="1"/>
      </rPr>
      <t xml:space="preserve"> PEFA pair, 4 eggs, battery + mem. card (4 Gb) changed. RG= 0mm. </t>
    </r>
    <r>
      <rPr>
        <b/>
        <sz val="10"/>
        <color rgb="FF000000"/>
        <rFont val="Times New Roman"/>
        <family val="1"/>
      </rPr>
      <t xml:space="preserve">July 10 : </t>
    </r>
    <r>
      <rPr>
        <sz val="10"/>
        <color rgb="FF000000"/>
        <rFont val="Times New Roman"/>
        <family val="1"/>
      </rPr>
      <t xml:space="preserve"> PEFA pair, 2 chicks, 2 eggs, R.G:0. mem.card + Batt changed. Blue look wet, maybe hatched today even if bigger than green? </t>
    </r>
    <r>
      <rPr>
        <b/>
        <sz val="10"/>
        <color rgb="FF000000"/>
        <rFont val="Times New Roman"/>
        <family val="1"/>
      </rPr>
      <t>July 12</t>
    </r>
    <r>
      <rPr>
        <sz val="10"/>
        <color rgb="FF000000"/>
        <rFont val="Times New Roman"/>
        <family val="1"/>
      </rPr>
      <t xml:space="preserve"> 4th egg hatches (on cam)</t>
    </r>
    <r>
      <rPr>
        <b/>
        <sz val="10"/>
        <color rgb="FF000000"/>
        <rFont val="Times New Roman"/>
        <family val="1"/>
      </rPr>
      <t xml:space="preserve">July 14: </t>
    </r>
    <r>
      <rPr>
        <sz val="10"/>
        <color rgb="FF000000"/>
        <rFont val="Times New Roman"/>
        <family val="1"/>
      </rPr>
      <t xml:space="preserve">White nestling (4th hatch) succumbs to elements. This nestling hatched, and died between visits so no weight was obtained. </t>
    </r>
    <r>
      <rPr>
        <b/>
        <sz val="10"/>
        <color rgb="FF000000"/>
        <rFont val="Times New Roman"/>
        <family val="1"/>
      </rPr>
      <t xml:space="preserve">July 15: </t>
    </r>
    <r>
      <rPr>
        <sz val="10"/>
        <color rgb="FF000000"/>
        <rFont val="Times New Roman"/>
        <family val="1"/>
      </rPr>
      <t>PEFA pair, 3 chicks, 1 dead.Mem. card+ batt changed, RG:0,3 cm Visit # 1-5d-4 quails</t>
    </r>
    <r>
      <rPr>
        <b/>
        <sz val="10"/>
        <color rgb="FF000000"/>
        <rFont val="Times New Roman"/>
        <family val="1"/>
      </rPr>
      <t xml:space="preserve">July 20: </t>
    </r>
    <r>
      <rPr>
        <sz val="10"/>
        <color rgb="FF000000"/>
        <rFont val="Times New Roman"/>
        <family val="1"/>
      </rPr>
      <t xml:space="preserve"> PEFa pair. RG = 0. 3 chicks. Dropped 5 quails. Changed mem card + batt. Card filled on 20/07 at 11:55 AM. Blue: C = 19, T = 37.5, HB = 50.5, Crop = empty. Green: C = 20, T = 38, Hb = 51.5, Crop = empty. Red = C = 18, T = 35, HB = 46.5, Crop = 1/8. </t>
    </r>
    <r>
      <rPr>
        <b/>
        <sz val="10"/>
        <color rgb="FF000000"/>
        <rFont val="Times New Roman"/>
        <family val="1"/>
      </rPr>
      <t>July 25</t>
    </r>
    <r>
      <rPr>
        <sz val="10"/>
        <color rgb="FF000000"/>
        <rFont val="Times New Roman"/>
        <family val="1"/>
      </rPr>
      <t>: RG=0mm 1 Adult, 3 chicks.Sticky trap deployed, memory card +batt changed. BLUE wt=468 T=44 HB=58 Cul=21 TC=15.5Ret=1.0mm Crop=0 GREEN wt=469 T=42.5 HB=59.5 Cul=21.5 TC=15.5 Ret=2.5mm Crop= 0 RED wt=325 T=39.5 HB=54.5 Cul=20.5 TC=14 Ret=0 Crop=0</t>
    </r>
    <r>
      <rPr>
        <b/>
        <sz val="10"/>
        <color rgb="FF000000"/>
        <rFont val="Times New Roman"/>
        <family val="1"/>
      </rPr>
      <t xml:space="preserve"> July 30</t>
    </r>
    <r>
      <rPr>
        <sz val="10"/>
        <color rgb="FF000000"/>
        <rFont val="Times New Roman"/>
        <family val="1"/>
      </rPr>
      <t xml:space="preserve"> 3 nestlings. 7 quail left. took blood on red. Blue: wt=658 T=47.5 HB=64 Cul=24 TC=17.5 Green: wt=664 T=48.5 HB=65.6 Cul=25.5 TC=18 Red wt=479 T=43 HB=60.5 Cul=21.5 TC=16 Ret=7.5 </t>
    </r>
    <r>
      <rPr>
        <b/>
        <sz val="10"/>
        <color rgb="FF000000"/>
        <rFont val="Times New Roman"/>
        <family val="1"/>
      </rPr>
      <t>August 4</t>
    </r>
    <r>
      <rPr>
        <sz val="10"/>
        <color rgb="FF000000"/>
        <rFont val="Times New Roman"/>
        <family val="1"/>
      </rPr>
      <t xml:space="preserve"> blood taken from blue green and red nestlings. no quail given (none in rankin). Camera removed. All 3 nestlings banded. Blue: WT=661 T=60 HB=67 Cul=25 TC=19.5 Crop=0 Green: WT=746 T=51.5 HB=69 Cul=27 TC=19 Crop=0 Red: WT=566 T=45 HB=63 Cul=25 TC=17 Crop=0.</t>
    </r>
    <r>
      <rPr>
        <b/>
        <sz val="10"/>
        <color rgb="FF000000"/>
        <rFont val="Times New Roman"/>
        <family val="1"/>
      </rPr>
      <t xml:space="preserve"> August 7</t>
    </r>
    <r>
      <rPr>
        <sz val="10"/>
        <color rgb="FF000000"/>
        <rFont val="Times New Roman"/>
        <family val="1"/>
      </rPr>
      <t xml:space="preserve"> Bad weather, did not take measurements on chicks. Red, Green and Blue nestlings still present. 8 quail left. </t>
    </r>
    <r>
      <rPr>
        <b/>
        <sz val="10"/>
        <color rgb="FF000000"/>
        <rFont val="Times New Roman"/>
        <family val="1"/>
      </rPr>
      <t>August 8</t>
    </r>
    <r>
      <rPr>
        <sz val="10"/>
        <color rgb="FF000000"/>
        <rFont val="Times New Roman"/>
        <family val="1"/>
      </rPr>
      <t xml:space="preserve"> 3 nestlings. Blue: WT=755 T=52 HB=68.5 Cul=25.5 TC=18.5 Crop=1/3 Green: WT=824 T=51 HB=17 Cul=27 TC=19.5 Crop=2/3 Red: WT=562 T=46.5 HB=not taken Cul=24.5 TC=16.5 Crop=1/3 </t>
    </r>
  </si>
  <si>
    <t>Notes Continued</t>
  </si>
  <si>
    <r>
      <t xml:space="preserve">August 8 </t>
    </r>
    <r>
      <rPr>
        <sz val="10"/>
        <color rgb="FF000000"/>
        <rFont val="Arial"/>
        <family val="2"/>
      </rPr>
      <t>one nestling (blue) left 3 quail. Blood taken from blue. Blue: WT=548 T=46 HB=62 Cul=23 TC=17.5 Crop=0 Sex=male</t>
    </r>
  </si>
  <si>
    <t>23-male</t>
  </si>
  <si>
    <t>22-female</t>
  </si>
  <si>
    <t>21-female</t>
  </si>
  <si>
    <t>28-Male</t>
  </si>
  <si>
    <r>
      <t xml:space="preserve">May 30: </t>
    </r>
    <r>
      <rPr>
        <sz val="10"/>
        <color rgb="FF000000"/>
        <rFont val="Times New Roman"/>
        <family val="1"/>
      </rPr>
      <t xml:space="preserve">RLHA pair + 2 eggs. Nest built this year. </t>
    </r>
    <r>
      <rPr>
        <b/>
        <sz val="10"/>
        <color rgb="FF000000"/>
        <rFont val="Times New Roman"/>
        <family val="1"/>
      </rPr>
      <t xml:space="preserve">June 13: </t>
    </r>
    <r>
      <rPr>
        <sz val="10"/>
        <color rgb="FF000000"/>
        <rFont val="Times New Roman"/>
        <family val="1"/>
      </rPr>
      <t xml:space="preserve"> 1 PEFA, female unbanded. 3 eggs. Did not have reconyx, RG or Ibutton. Was not present on previous visit (may 30) when the RLHA were nesting there on a unstable nest. Nest may have fell down the cliff. PEFA May have kicked out RLHA who is now at 106. </t>
    </r>
    <r>
      <rPr>
        <b/>
        <sz val="10"/>
        <color rgb="FF000000"/>
        <rFont val="Times New Roman"/>
        <family val="1"/>
      </rPr>
      <t xml:space="preserve">June 21 : </t>
    </r>
    <r>
      <rPr>
        <sz val="10"/>
        <color rgb="FF000000"/>
        <rFont val="Times New Roman"/>
        <family val="1"/>
      </rPr>
      <t xml:space="preserve">PEFA pair. 4 eggs. NO RAIN Gauge (must deploy one). Near 2 empty RLHA nest (1 cold egg found, brought back to boat house to make fake egg) </t>
    </r>
    <r>
      <rPr>
        <b/>
        <sz val="10"/>
        <color rgb="FF000000"/>
        <rFont val="Times New Roman"/>
        <family val="1"/>
      </rPr>
      <t xml:space="preserve">June 28: </t>
    </r>
    <r>
      <rPr>
        <sz val="10"/>
        <color rgb="FF000000"/>
        <rFont val="Times New Roman"/>
        <family val="1"/>
      </rPr>
      <t xml:space="preserve">PEFA pair, 4 eggs, ROAMING cam deployed at 4:15 pm. No I Button. </t>
    </r>
    <r>
      <rPr>
        <b/>
        <sz val="10"/>
        <color rgb="FF000000"/>
        <rFont val="Times New Roman"/>
        <family val="1"/>
      </rPr>
      <t xml:space="preserve">July 9: </t>
    </r>
    <r>
      <rPr>
        <sz val="10"/>
        <color rgb="FF000000"/>
        <rFont val="Times New Roman"/>
        <family val="1"/>
      </rPr>
      <t xml:space="preserve"> PEFA pair, 4 eggs, mem. card(SD) +batt(AA) changed . R.G: 0mm </t>
    </r>
    <r>
      <rPr>
        <b/>
        <sz val="10"/>
        <color rgb="FF000000"/>
        <rFont val="Times New Roman"/>
        <family val="1"/>
      </rPr>
      <t xml:space="preserve">July 12: </t>
    </r>
    <r>
      <rPr>
        <sz val="10"/>
        <color rgb="FF000000"/>
        <rFont val="Times New Roman"/>
        <family val="1"/>
      </rPr>
      <t xml:space="preserve"> PEFA pair, R.G : 0cm. 4 eggs. Cam swap to site 67. </t>
    </r>
    <r>
      <rPr>
        <b/>
        <sz val="10"/>
        <color rgb="FF000000"/>
        <rFont val="Times New Roman"/>
        <family val="1"/>
      </rPr>
      <t xml:space="preserve"> July 17: </t>
    </r>
    <r>
      <rPr>
        <sz val="10"/>
        <color rgb="FF000000"/>
        <rFont val="Times New Roman"/>
        <family val="1"/>
      </rPr>
      <t>PEFA pair, 2 chicks, 2 eggs pipping, RG: 0cm. Cam deployed. From watching the pictures, the pipping egg hatched later in the day, but the nestling died shortly after. Egg shells and dead nestling were removed before we returned to the nest the next day.</t>
    </r>
    <r>
      <rPr>
        <b/>
        <sz val="10"/>
        <color rgb="FF000000"/>
        <rFont val="Times New Roman"/>
        <family val="1"/>
      </rPr>
      <t xml:space="preserve"> July 18: </t>
    </r>
    <r>
      <rPr>
        <sz val="10"/>
        <color rgb="FF000000"/>
        <rFont val="Times New Roman"/>
        <family val="1"/>
      </rPr>
      <t xml:space="preserve"> PEFA pair, 2 chicks +1 pipping egg. 4th egg gone. J</t>
    </r>
    <r>
      <rPr>
        <b/>
        <sz val="10"/>
        <color rgb="FF000000"/>
        <rFont val="Times New Roman"/>
        <family val="1"/>
      </rPr>
      <t xml:space="preserve">uly 22: </t>
    </r>
    <r>
      <rPr>
        <sz val="10"/>
        <color rgb="FF000000"/>
        <rFont val="Times New Roman"/>
        <family val="1"/>
      </rPr>
      <t xml:space="preserve">Pefa ind. male? RG = 0. 2 chicks. 1 quail and 2 pefa left. Blue: T = 17, C = 14.5, TC = 10.5, HB = 37.5, Crop = empty. Red: T = 17.5, C = 13.5, TC = 10, HB = 36.5, Crop = 1/2.  </t>
    </r>
    <r>
      <rPr>
        <b/>
        <sz val="10"/>
        <color rgb="FF000000"/>
        <rFont val="Times New Roman"/>
        <family val="1"/>
      </rPr>
      <t xml:space="preserve">July 27: </t>
    </r>
    <r>
      <rPr>
        <sz val="10"/>
        <color rgb="FF000000"/>
        <rFont val="Times New Roman"/>
        <family val="1"/>
      </rPr>
      <t xml:space="preserve">PEFA pair. 2 chicks. RG=0. MC ad Batt changed, sticky trap deployed. Blue: WT=236 T=30.5, Cul=17.5, HB=46.5,TC=12, crop=empty, Red: WT=209, T=29.5, Culmen-17, HB=45,TC=11.5, Crop=empty. </t>
    </r>
    <r>
      <rPr>
        <b/>
        <sz val="10"/>
        <color rgb="FF000000"/>
        <rFont val="Times New Roman"/>
        <family val="1"/>
      </rPr>
      <t>August 1</t>
    </r>
    <r>
      <rPr>
        <sz val="10"/>
        <color rgb="FF000000"/>
        <rFont val="Times New Roman"/>
        <family val="1"/>
      </rPr>
      <t xml:space="preserve"> 2 adults. 2 nestlings. changed MC and batt. RG=0. 4 Quail left. Blood taken on blue chick. Blue: wt=424 T=41 HB=53 Cul=20.5 TC=14 Crop=0 Ret=0.5 Red: Wt=409 T=40.5 HB=54.5 Cul=20 TC=14 Ret=1.5 Crop=0 </t>
    </r>
    <r>
      <rPr>
        <b/>
        <sz val="10"/>
        <color rgb="FF000000"/>
        <rFont val="Times New Roman"/>
        <family val="1"/>
      </rPr>
      <t>August 5</t>
    </r>
    <r>
      <rPr>
        <sz val="10"/>
        <color rgb="FF000000"/>
        <rFont val="Times New Roman"/>
        <family val="1"/>
      </rPr>
      <t xml:space="preserve"> 1 adult present. 2 nestlings. RG=0mm. Heavy weather: strong winds, and heavy rain. no quail left. Blue: WT=673 T=48.5 HB=61 Cul=22 TC=16 Crop=1/5 Red: WT=667 T=49 HB=61.5 Cul=22.5 TC=16 Cop=1/4. </t>
    </r>
    <r>
      <rPr>
        <b/>
        <sz val="10"/>
        <color rgb="FF000000"/>
        <rFont val="Times New Roman"/>
        <family val="1"/>
      </rPr>
      <t>August 7</t>
    </r>
    <r>
      <rPr>
        <sz val="10"/>
        <color rgb="FF000000"/>
        <rFont val="Times New Roman"/>
        <family val="1"/>
      </rPr>
      <t xml:space="preserve"> :  1 PEFA, 2 chicks, dropped 5 quails (rainy day)</t>
    </r>
  </si>
  <si>
    <t>Blood #7 - 1.5 ml</t>
  </si>
  <si>
    <t>unk-female</t>
  </si>
  <si>
    <t>24-Female</t>
  </si>
  <si>
    <t>27-female</t>
  </si>
  <si>
    <t>Erik H.</t>
  </si>
  <si>
    <r>
      <t xml:space="preserve">May 19: </t>
    </r>
    <r>
      <rPr>
        <sz val="10"/>
        <color rgb="FF000000"/>
        <rFont val="Times New Roman"/>
        <family val="1"/>
      </rPr>
      <t xml:space="preserve">2PEFA+ 2 RLHA </t>
    </r>
    <r>
      <rPr>
        <b/>
        <sz val="10"/>
        <color rgb="FF000000"/>
        <rFont val="Times New Roman"/>
        <family val="1"/>
      </rPr>
      <t xml:space="preserve">May 20: </t>
    </r>
    <r>
      <rPr>
        <sz val="10"/>
        <color rgb="FF000000"/>
        <rFont val="Times New Roman"/>
        <family val="1"/>
      </rPr>
      <t xml:space="preserve"> Saw 2 PEFA. Took off 2 RLHA around (107). </t>
    </r>
    <r>
      <rPr>
        <b/>
        <sz val="10"/>
        <color rgb="FF000000"/>
        <rFont val="Times New Roman"/>
        <family val="1"/>
      </rPr>
      <t xml:space="preserve">May 23: </t>
    </r>
    <r>
      <rPr>
        <sz val="10"/>
        <color rgb="FF000000"/>
        <rFont val="Times New Roman"/>
        <family val="1"/>
      </rPr>
      <t xml:space="preserve">PEFA pair. 4 PEFAs at one point. Unsuccessful trapping. </t>
    </r>
    <r>
      <rPr>
        <b/>
        <sz val="10"/>
        <color rgb="FF000000"/>
        <rFont val="Times New Roman"/>
        <family val="1"/>
      </rPr>
      <t xml:space="preserve">June 8: </t>
    </r>
    <r>
      <rPr>
        <sz val="10"/>
        <color rgb="FF000000"/>
        <rFont val="Times New Roman"/>
        <family val="1"/>
      </rPr>
      <t xml:space="preserve">4 eggs. 2 adults. Deployed RG + reconyx + Ibutton. </t>
    </r>
    <r>
      <rPr>
        <b/>
        <sz val="10"/>
        <color rgb="FF000000"/>
        <rFont val="Times New Roman"/>
        <family val="1"/>
      </rPr>
      <t xml:space="preserve">June 12: </t>
    </r>
    <r>
      <rPr>
        <sz val="10"/>
        <color rgb="FF000000"/>
        <rFont val="Times New Roman"/>
        <family val="1"/>
      </rPr>
      <t xml:space="preserve">4 eggs. 1 adult female. Replaced mem card + batt. Memory card filled on June 12, 7 am. RG = 0. </t>
    </r>
    <r>
      <rPr>
        <b/>
        <sz val="10"/>
        <color rgb="FF000000"/>
        <rFont val="Times New Roman"/>
        <family val="1"/>
      </rPr>
      <t>June 22:</t>
    </r>
    <r>
      <rPr>
        <sz val="10"/>
        <color rgb="FF000000"/>
        <rFont val="Times New Roman"/>
        <family val="1"/>
      </rPr>
      <t xml:space="preserve"> PEFA pair, 4 eggs, female banded, memory card+battery changed. RG = 0 mm. </t>
    </r>
    <r>
      <rPr>
        <b/>
        <sz val="10"/>
        <color rgb="FF000000"/>
        <rFont val="Times New Roman"/>
        <family val="1"/>
      </rPr>
      <t>July 2</t>
    </r>
    <r>
      <rPr>
        <sz val="10"/>
        <color rgb="FF000000"/>
        <rFont val="Times New Roman"/>
        <family val="1"/>
      </rPr>
      <t xml:space="preserve"> : PEFA pair, 4 eggs, RG: 0mm. Mem. card +batteries changed </t>
    </r>
    <r>
      <rPr>
        <b/>
        <sz val="10"/>
        <color rgb="FF000000"/>
        <rFont val="Times New Roman"/>
        <family val="1"/>
      </rPr>
      <t xml:space="preserve">July 12: </t>
    </r>
    <r>
      <rPr>
        <sz val="10"/>
        <color rgb="FF000000"/>
        <rFont val="Times New Roman"/>
        <family val="1"/>
      </rPr>
      <t xml:space="preserve">PEFA female, 4 chicks R.G: 0,2 cm. Mem. card+batt changed. Started raining just before taking measurements. </t>
    </r>
    <r>
      <rPr>
        <b/>
        <sz val="10"/>
        <color rgb="FF000000"/>
        <rFont val="Times New Roman"/>
        <family val="1"/>
      </rPr>
      <t xml:space="preserve">July 13: </t>
    </r>
    <r>
      <rPr>
        <sz val="10"/>
        <color rgb="FF000000"/>
        <rFont val="Times New Roman"/>
        <family val="1"/>
      </rPr>
      <t xml:space="preserve"> Visit#1 (5d)-control. R.G: 0,2 cm </t>
    </r>
    <r>
      <rPr>
        <b/>
        <sz val="10"/>
        <color rgb="FF000000"/>
        <rFont val="Times New Roman"/>
        <family val="1"/>
      </rPr>
      <t xml:space="preserve"> July 18: </t>
    </r>
    <r>
      <rPr>
        <sz val="10"/>
        <color rgb="FF000000"/>
        <rFont val="Times New Roman"/>
        <family val="1"/>
      </rPr>
      <t xml:space="preserve"> PEFA pair, 4 chicks, RG: &lt;0,2 cm. Mem. card+ batt changed. Visit 2-10D-Control </t>
    </r>
    <r>
      <rPr>
        <b/>
        <sz val="10"/>
        <color rgb="FF000000"/>
        <rFont val="Times New Roman"/>
        <family val="1"/>
      </rPr>
      <t xml:space="preserve">July 23: </t>
    </r>
    <r>
      <rPr>
        <sz val="10"/>
        <color rgb="FF000000"/>
        <rFont val="Times New Roman"/>
        <family val="1"/>
      </rPr>
      <t>RG=0, took colour bands off, changed memory card + batt. BLUE wt=508 T=47.5 HB=57.5 Cul=21.5 TC=16 ret=30 RED wt=344 HB=55.5 Cul=20 TC=15 ret=2.5 GREEN wt=495 T45 HB=56 Cul=22 TC=16.5 ret=3.5</t>
    </r>
    <r>
      <rPr>
        <b/>
        <sz val="10"/>
        <color rgb="FF000000"/>
        <rFont val="Times New Roman"/>
        <family val="1"/>
      </rPr>
      <t xml:space="preserve">July 28: </t>
    </r>
    <r>
      <rPr>
        <sz val="10"/>
        <color rgb="FF000000"/>
        <rFont val="Times New Roman"/>
        <family val="1"/>
      </rPr>
      <t xml:space="preserve">PEFA female present. 3 chicks. RG=0. MC and batteries changed. Blood taken on blue, green and red.  Blue: wt=697 T=50, Cul=22.5 HB=64,TC=18, crop=empty Green: wt= 688 T=50 Cul=23 HB=61, TC=17.5, Red: wt=489, T+45, Cul=22.5, HB=59, TC=15.5 </t>
    </r>
    <r>
      <rPr>
        <b/>
        <sz val="10"/>
        <color rgb="FF000000"/>
        <rFont val="Times New Roman"/>
        <family val="1"/>
      </rPr>
      <t xml:space="preserve">August 2 </t>
    </r>
    <r>
      <rPr>
        <sz val="10"/>
        <color rgb="FF000000"/>
        <rFont val="Times New Roman"/>
        <family val="1"/>
      </rPr>
      <t xml:space="preserve"> 2 adults. RG=0 Banded all young. Took blood on all young. Removed camera and rain guage. Blue: wt=743 T=52 HB=65.5 Cul=25 TC=18 Crop=0 band=168705288 sex=female. Green: wt=736 T=54.5 HB=67 Cul=23.5 TC=19 Crop=1/3 Band=168705289 sex=female. Red: wt=496 T=46.5 HB=not taken Cul=24 TC=16 Crop=0 band=220612774 </t>
    </r>
    <r>
      <rPr>
        <b/>
        <sz val="10"/>
        <color rgb="FF000000"/>
        <rFont val="Times New Roman"/>
        <family val="1"/>
      </rPr>
      <t>August 8</t>
    </r>
    <r>
      <rPr>
        <sz val="10"/>
        <color rgb="FF000000"/>
        <rFont val="Times New Roman"/>
        <family val="1"/>
      </rPr>
      <t xml:space="preserve"> 30 day check. 3 Nestlings. Blue: WT=670 T=53 HB=67 Cul=26 TC=20 Crop=0 Green: WT=630 T=54 HB=68 Cul=28 TC=20 Crop=0. Red: WT=467 T=47 HB=61.5 Cul=23.5 TC=18 Crop=0</t>
    </r>
  </si>
  <si>
    <t>27male</t>
  </si>
  <si>
    <t>26male</t>
  </si>
  <si>
    <t>Blood #6 - 1 ml</t>
  </si>
  <si>
    <t>26-male</t>
  </si>
  <si>
    <r>
      <t xml:space="preserve">May 29: </t>
    </r>
    <r>
      <rPr>
        <sz val="10"/>
        <color rgb="FF000000"/>
        <rFont val="Times New Roman"/>
        <family val="1"/>
      </rPr>
      <t xml:space="preserve">2 RLHA. Stick nest close to the actual waypoint of 85. PEFA pair also found where they were nesting in 2013 (south east of actual 85 waypoint). Will have to take a new waypoint for 85. </t>
    </r>
    <r>
      <rPr>
        <b/>
        <sz val="10"/>
        <color rgb="FF000000"/>
        <rFont val="Times New Roman"/>
        <family val="1"/>
      </rPr>
      <t xml:space="preserve">June 12: </t>
    </r>
    <r>
      <rPr>
        <sz val="10"/>
        <color rgb="FF000000"/>
        <rFont val="Times New Roman"/>
        <family val="1"/>
      </rPr>
      <t xml:space="preserve">2 adults. Both unbanded. 3 eggs. Deployed RG. No Ibutton. No reconyx. Also 2 RLHA adults. Stick nest with 4 eggs. </t>
    </r>
    <r>
      <rPr>
        <b/>
        <sz val="10"/>
        <color rgb="FF000000"/>
        <rFont val="Times New Roman"/>
        <family val="1"/>
      </rPr>
      <t xml:space="preserve">June 22: </t>
    </r>
    <r>
      <rPr>
        <sz val="10"/>
        <color rgb="FF000000"/>
        <rFont val="Times New Roman"/>
        <family val="1"/>
      </rPr>
      <t xml:space="preserve"> PEFA ind (female). 4 eggs.  RG = 0. Deployed cam + 8 GB + Ibutton at 2:00 PM. </t>
    </r>
    <r>
      <rPr>
        <b/>
        <sz val="10"/>
        <color rgb="FF000000"/>
        <rFont val="Times New Roman"/>
        <family val="1"/>
      </rPr>
      <t>July 2</t>
    </r>
    <r>
      <rPr>
        <sz val="10"/>
        <color rgb="FF000000"/>
        <rFont val="Times New Roman"/>
        <family val="1"/>
      </rPr>
      <t xml:space="preserve"> : PEFA pair, 4 eggs, RG: &lt;5mm. Mem. card +batteries changed. </t>
    </r>
    <r>
      <rPr>
        <b/>
        <sz val="10"/>
        <color rgb="FF000000"/>
        <rFont val="Times New Roman"/>
        <family val="1"/>
      </rPr>
      <t>July 13:</t>
    </r>
    <r>
      <rPr>
        <sz val="10"/>
        <color rgb="FF000000"/>
        <rFont val="Times New Roman"/>
        <family val="1"/>
      </rPr>
      <t xml:space="preserve"> PEFA pair, 3 chicks, 1 egg, R.G : 0,8cm. Mem. card+ batt changed </t>
    </r>
    <r>
      <rPr>
        <b/>
        <sz val="10"/>
        <color rgb="FF000000"/>
        <rFont val="Times New Roman"/>
        <family val="1"/>
      </rPr>
      <t xml:space="preserve">July 18: </t>
    </r>
    <r>
      <rPr>
        <sz val="10"/>
        <color rgb="FF000000"/>
        <rFont val="Times New Roman"/>
        <family val="1"/>
      </rPr>
      <t xml:space="preserve"> PEFA pair, 4 chicks, RG: 0 cm. Mem.card+batt changed. Visit 1-5D-5 quails. </t>
    </r>
    <r>
      <rPr>
        <b/>
        <sz val="10"/>
        <color rgb="FF000000"/>
        <rFont val="Times New Roman"/>
        <family val="1"/>
      </rPr>
      <t>July 23</t>
    </r>
    <r>
      <rPr>
        <sz val="10"/>
        <color rgb="FF000000"/>
        <rFont val="Times New Roman"/>
        <family val="1"/>
      </rPr>
      <t xml:space="preserve"> RG=0 1 adult. Left 4 pigeon at nest. Changed memory card + batt. BLUE wt= 274 T=34 HB=50 Cul=18.5 TC=13 crop =0GREEN wt=263 T=33 HB=49 Cul=19 TC=13 crop=0 RED wt=234 T=33.5 HB=48 Cul=18 TC=12 crop=0 WHITE wt=52 T=20 HB=37.5 Cul=14.5 TC=10.5 </t>
    </r>
    <r>
      <rPr>
        <b/>
        <sz val="10"/>
        <color rgb="FF000000"/>
        <rFont val="Times New Roman"/>
        <family val="1"/>
      </rPr>
      <t>July 28</t>
    </r>
    <r>
      <rPr>
        <sz val="10"/>
        <color rgb="FF000000"/>
        <rFont val="Times New Roman"/>
        <family val="1"/>
      </rPr>
      <t xml:space="preserve">  PEFA pair. 3 nestlings. 6 quail left. RG=0. Changed MC and Batt. Blood taken on blue green and red. 6 quail left. Blue: wt=476 T=44 HB=56.5 cul=20 TC=16 Ret=3 Crop=1/8. Green: wt=421 T=41 HB=55 Cul=20.5 TC=14.5 Ret=4. Red: wt=407 T=41 HB=55 Cul=18 TC=13.5 Ret=2 </t>
    </r>
    <r>
      <rPr>
        <b/>
        <sz val="10"/>
        <color rgb="FF000000"/>
        <rFont val="Times New Roman"/>
        <family val="1"/>
      </rPr>
      <t xml:space="preserve">August 2 </t>
    </r>
    <r>
      <rPr>
        <sz val="10"/>
        <color rgb="FF000000"/>
        <rFont val="Times New Roman"/>
        <family val="1"/>
      </rPr>
      <t xml:space="preserve"> female adult present. RG=0. Seven quail left. Changed MC + Batt. Blue: WT=519 T=51 HB=61.5 Cul=22.5 TC=17 Crop=0  Green: WT=478 T=47.5 HB=60 Cul=23 TC=15 Crop=0. Red: WT= 417 T=46.5 HB=59 Cul=23 TC=15.5 Crop=0.</t>
    </r>
    <r>
      <rPr>
        <b/>
        <sz val="10"/>
        <color rgb="FF000000"/>
        <rFont val="Times New Roman"/>
        <family val="1"/>
      </rPr>
      <t xml:space="preserve">August 8 </t>
    </r>
    <r>
      <rPr>
        <sz val="10"/>
        <color rgb="FF000000"/>
        <rFont val="Times New Roman"/>
        <family val="1"/>
      </rPr>
      <t>2 adults present. RG=300mm. 3 nestlings. Blood taken from all nestlings (blue green red) . left 9 quail. BLue: WT=646 T=51 Cul=24 HB=66 TC=18.5 Crop=empty Red: WT=556 T-46.5 Cul=25 HB=62 TC=17 Crop=0 Red: WT=497 T=47 Cul=24 HB=62 TC=16 Crop=0</t>
    </r>
  </si>
  <si>
    <t>Blood #5 - 1.5 ml</t>
  </si>
  <si>
    <t>Blood #6 - 1.5 ml</t>
  </si>
  <si>
    <r>
      <t xml:space="preserve">June 16: </t>
    </r>
    <r>
      <rPr>
        <sz val="10"/>
        <color rgb="FF000000"/>
        <rFont val="Times New Roman"/>
        <family val="1"/>
      </rPr>
      <t xml:space="preserve">New PEFA nest. PEFA pair. Tried to look for bands but birds are too far. 4 eggs. No RG or Ibuttons deployed. </t>
    </r>
    <r>
      <rPr>
        <b/>
        <sz val="10"/>
        <color rgb="FF000000"/>
        <rFont val="Times New Roman"/>
        <family val="1"/>
      </rPr>
      <t>June 26</t>
    </r>
    <r>
      <rPr>
        <sz val="10"/>
        <color rgb="FF000000"/>
        <rFont val="Times New Roman"/>
        <family val="1"/>
      </rPr>
      <t xml:space="preserve">: PEFA pair, 4 eggs, too far to see if banded with binos. Camera deployed at 1:30 pm. Forgot RG. </t>
    </r>
    <r>
      <rPr>
        <b/>
        <sz val="10"/>
        <color rgb="FF000000"/>
        <rFont val="Times New Roman"/>
        <family val="1"/>
      </rPr>
      <t xml:space="preserve">July 9: </t>
    </r>
    <r>
      <rPr>
        <sz val="10"/>
        <color rgb="FF000000"/>
        <rFont val="Times New Roman"/>
        <family val="1"/>
      </rPr>
      <t xml:space="preserve">PEFA female, not banded. No RG. 4 eggs, mem. card +batt changed. </t>
    </r>
    <r>
      <rPr>
        <b/>
        <sz val="10"/>
        <color rgb="FF000000"/>
        <rFont val="Times New Roman"/>
        <family val="1"/>
      </rPr>
      <t xml:space="preserve">July 17: </t>
    </r>
    <r>
      <rPr>
        <sz val="10"/>
        <color rgb="FF000000"/>
        <rFont val="Times New Roman"/>
        <family val="1"/>
      </rPr>
      <t xml:space="preserve"> PEFA pair, 3 chicks, 1 egg not pipping, deployed RG, NO I button. Changed mem.card</t>
    </r>
    <r>
      <rPr>
        <b/>
        <sz val="10"/>
        <color rgb="FF000000"/>
        <rFont val="Times New Roman"/>
        <family val="1"/>
      </rPr>
      <t xml:space="preserve">July 22: </t>
    </r>
    <r>
      <rPr>
        <sz val="10"/>
        <color rgb="FF000000"/>
        <rFont val="Times New Roman"/>
        <family val="1"/>
      </rPr>
      <t xml:space="preserve"> 1 adult. Changed MC + batt. RG = 0. 3 chicks + 1 yolky egg. All empty crop. Blue: T = 34 (26), HB = 46, C = 17, TC = 12.3. Green: T = 30 (25), HB = 44.5,  C = 17.5, TC = 12. Red: T = 26.5 (22), C = 40, C = 15, TC = 11.</t>
    </r>
    <r>
      <rPr>
        <b/>
        <sz val="10"/>
        <color rgb="FF000000"/>
        <rFont val="Times New Roman"/>
        <family val="1"/>
      </rPr>
      <t>July 27</t>
    </r>
    <r>
      <rPr>
        <sz val="10"/>
        <color rgb="FF000000"/>
        <rFont val="Times New Roman"/>
        <family val="1"/>
      </rPr>
      <t>: Pefa Pair. RG=0. 3 Chicks+1 egg. Changed MC and batteries. deployed stick trap. Took blood from blue green and red chicks. Blue: WT=478 T=41 Cul=22 HB=55 TC=15.5 Crop=full Green: WT=410 T=37.5 Cul=19.5 HB=54 TC=14 Crop=full Red: Wt=298 T=35 Cul=18 HB=50 TC=13 Crop=Full.</t>
    </r>
    <r>
      <rPr>
        <b/>
        <sz val="10"/>
        <color rgb="FF000000"/>
        <rFont val="Times New Roman"/>
        <family val="1"/>
      </rPr>
      <t>Aug 1</t>
    </r>
    <r>
      <rPr>
        <sz val="10"/>
        <color rgb="FF000000"/>
        <rFont val="Times New Roman"/>
        <family val="1"/>
      </rPr>
      <t xml:space="preserve"> Pair of adults present. 3 chicks. 1 egg. RG=0. changed MC and batt. Bue: wt=590 T=50 HB=62 Cul=24 TC=17.5 Crop=1/4 Green: wt=520 T=47.5 HB=60 Cul=23 TC=16.5 Crop=1/4 Red: Wt=379 T=42.5 HB=54.5 Cul=20 TC=14 Crop=1/4 Ret=5.5 </t>
    </r>
    <r>
      <rPr>
        <b/>
        <sz val="10"/>
        <color rgb="FF000000"/>
        <rFont val="Times New Roman"/>
        <family val="1"/>
      </rPr>
      <t xml:space="preserve"> Augsust 9</t>
    </r>
    <r>
      <rPr>
        <sz val="10"/>
        <color rgb="FF000000"/>
        <rFont val="Times New Roman"/>
        <family val="1"/>
      </rPr>
      <t xml:space="preserve"> RG=250mm. No adults present. Took blood on all three nestlings. Banded blue and green nestlings, red too small to determine sex. Blue: WT=596 T=53 HB=66 Cul=26.5 TC=19.5 Crop=0 Green: WT=500 T=50 HB=63 Cul=25.5 TC=18.5 Red: WT=329 T-45 HB=58.5 Cul=23 TC=15.5</t>
    </r>
  </si>
  <si>
    <r>
      <t xml:space="preserve">May 22: </t>
    </r>
    <r>
      <rPr>
        <sz val="10"/>
        <color rgb="FF000000"/>
        <rFont val="Times New Roman"/>
        <family val="1"/>
      </rPr>
      <t xml:space="preserve">Empty. </t>
    </r>
    <r>
      <rPr>
        <b/>
        <sz val="10"/>
        <color rgb="FF000000"/>
        <rFont val="Times New Roman"/>
        <family val="1"/>
      </rPr>
      <t>May 24:</t>
    </r>
    <r>
      <rPr>
        <sz val="10"/>
        <color rgb="FF000000"/>
        <rFont val="Times New Roman"/>
        <family val="1"/>
      </rPr>
      <t xml:space="preserve"> Empty. </t>
    </r>
    <r>
      <rPr>
        <b/>
        <sz val="10"/>
        <color rgb="FF000000"/>
        <rFont val="Times New Roman"/>
        <family val="1"/>
      </rPr>
      <t xml:space="preserve">May 27: </t>
    </r>
    <r>
      <rPr>
        <sz val="10"/>
        <color rgb="FF000000"/>
        <rFont val="Times New Roman"/>
        <family val="1"/>
      </rPr>
      <t xml:space="preserve">PEFA pair. 3rd falcon showed up. Unsuccessful trapping. </t>
    </r>
    <r>
      <rPr>
        <b/>
        <sz val="10"/>
        <color rgb="FF000000"/>
        <rFont val="Times New Roman"/>
        <family val="1"/>
      </rPr>
      <t>June 5</t>
    </r>
    <r>
      <rPr>
        <sz val="10"/>
        <color rgb="FF000000"/>
        <rFont val="Times New Roman"/>
        <family val="1"/>
      </rPr>
      <t xml:space="preserve">: PEFA pair. Female seems unbanded (from bino). 1 egg, cold. Female was not on egg when we arrived. Deployed rg + ibutton at 2:15 pm. </t>
    </r>
    <r>
      <rPr>
        <b/>
        <sz val="10"/>
        <color rgb="FF000000"/>
        <rFont val="Times New Roman"/>
        <family val="1"/>
      </rPr>
      <t>June 12:</t>
    </r>
    <r>
      <rPr>
        <sz val="10"/>
        <color rgb="FF000000"/>
        <rFont val="Times New Roman"/>
        <family val="1"/>
      </rPr>
      <t xml:space="preserve"> PEFA pair , both unbanded,4 eggs, RG=0,75. </t>
    </r>
    <r>
      <rPr>
        <b/>
        <sz val="10"/>
        <color rgb="FF000000"/>
        <rFont val="Times New Roman"/>
        <family val="1"/>
      </rPr>
      <t>June 23:</t>
    </r>
    <r>
      <rPr>
        <sz val="10"/>
        <color rgb="FF000000"/>
        <rFont val="Times New Roman"/>
        <family val="1"/>
      </rPr>
      <t xml:space="preserve">  PEFA pair. 4 eggs. RG = 0. Took wpt PEFA 7. </t>
    </r>
    <r>
      <rPr>
        <b/>
        <sz val="10"/>
        <color rgb="FF000000"/>
        <rFont val="Times New Roman"/>
        <family val="1"/>
      </rPr>
      <t xml:space="preserve">July 15: </t>
    </r>
    <r>
      <rPr>
        <sz val="10"/>
        <color rgb="FF000000"/>
        <rFont val="Times New Roman"/>
        <family val="1"/>
      </rPr>
      <t xml:space="preserve"> PEFA pair, 3 chicks, RG: 2cm. </t>
    </r>
    <r>
      <rPr>
        <b/>
        <sz val="10"/>
        <color rgb="FF000000"/>
        <rFont val="Times New Roman"/>
        <family val="1"/>
      </rPr>
      <t>July 22</t>
    </r>
    <r>
      <rPr>
        <sz val="10"/>
        <color rgb="FF000000"/>
        <rFont val="Times New Roman"/>
        <family val="1"/>
      </rPr>
      <t xml:space="preserve">: PEFA pair. RG = 0.2 cm. 3 chicks. Guillemot remain at the nest. Blue: C = 19, T = 36.5, Crop = full, HB = 51.5, TC = 13.5. Green: C = 19, T = 36.5, Crop = Full, HB = 51, TC = 12.5. Red: C = 18, T = 35, Crop = Full, HB = 49.5, TC  = 12. </t>
    </r>
    <r>
      <rPr>
        <b/>
        <sz val="10"/>
        <color rgb="FF000000"/>
        <rFont val="Times New Roman"/>
        <family val="1"/>
      </rPr>
      <t xml:space="preserve">August 8 </t>
    </r>
    <r>
      <rPr>
        <sz val="10"/>
        <color rgb="FF000000"/>
        <rFont val="Times New Roman"/>
        <family val="1"/>
      </rPr>
      <t>RG=3 cm.  1 unhatched egg, and 3 nestlings. Blue: WT=581 T=48.5 Green: WT=565 T=49.5 Red: WT=571 T=47.5.</t>
    </r>
  </si>
  <si>
    <t xml:space="preserve">Matt T. </t>
  </si>
  <si>
    <t>25-fenake</t>
  </si>
  <si>
    <t>35days/female</t>
  </si>
  <si>
    <t>NA</t>
  </si>
  <si>
    <t>1947-19229</t>
  </si>
  <si>
    <t>Pascal P</t>
  </si>
  <si>
    <t>Aug-12-2014</t>
  </si>
  <si>
    <r>
      <t xml:space="preserve">June 13: </t>
    </r>
    <r>
      <rPr>
        <sz val="10"/>
        <color rgb="FF000000"/>
        <rFont val="Times New Roman"/>
        <family val="1"/>
      </rPr>
      <t xml:space="preserve">Pefa pair, both banded (cant read ID), 4 eggs, RG deployed, NO I BUTTON, Reconyx camera with solar pannel at 11:45 AM. </t>
    </r>
    <r>
      <rPr>
        <b/>
        <sz val="10"/>
        <color rgb="FF000000"/>
        <rFont val="Times New Roman"/>
        <family val="1"/>
      </rPr>
      <t xml:space="preserve">June 21: </t>
    </r>
    <r>
      <rPr>
        <sz val="10"/>
        <color rgb="FF000000"/>
        <rFont val="Times New Roman"/>
        <family val="1"/>
      </rPr>
      <t xml:space="preserve">PEFA pair. Both banded with GL. 4 eggs. Attempt to trap over eggs. Female came to the trap, got caught but escaped (maybe the noose broke) before we caught her. Changed batt + mem card. RG = 0. Cam has to be replaced because showing only the top of the eggs. </t>
    </r>
    <r>
      <rPr>
        <b/>
        <sz val="10"/>
        <color rgb="FF000000"/>
        <rFont val="Times New Roman"/>
        <family val="1"/>
      </rPr>
      <t xml:space="preserve">July 1: </t>
    </r>
    <r>
      <rPr>
        <sz val="10"/>
        <color rgb="FF000000"/>
        <rFont val="Times New Roman"/>
        <family val="1"/>
      </rPr>
      <t xml:space="preserve"> PEFA pair, 4 eggs, RG&lt;5mm, mem. Card+batteries changed. Cam replaced. Tried trapping over eggs again  without success (after 3 hours, female never came completely incubating) </t>
    </r>
    <r>
      <rPr>
        <b/>
        <sz val="10"/>
        <color rgb="FF000000"/>
        <rFont val="Times New Roman"/>
        <family val="1"/>
      </rPr>
      <t xml:space="preserve">July 9: </t>
    </r>
    <r>
      <rPr>
        <sz val="10"/>
        <color rgb="FF000000"/>
        <rFont val="Times New Roman"/>
        <family val="1"/>
      </rPr>
      <t xml:space="preserve">PEFA pair, 4 eggs, mem. card +batt changed . R.G: &lt; 5mm. </t>
    </r>
    <r>
      <rPr>
        <b/>
        <sz val="10"/>
        <color rgb="FF000000"/>
        <rFont val="Times New Roman"/>
        <family val="1"/>
      </rPr>
      <t xml:space="preserve"> July 13 : </t>
    </r>
    <r>
      <rPr>
        <sz val="10"/>
        <color rgb="FF000000"/>
        <rFont val="Times New Roman"/>
        <family val="1"/>
      </rPr>
      <t xml:space="preserve"> PEFA pair, 4 chicks, RG: 0,4 cm, mem.card+batt changed. Visit 1-5D-5quails. </t>
    </r>
    <r>
      <rPr>
        <b/>
        <sz val="10"/>
        <color rgb="FF000000"/>
        <rFont val="Times New Roman"/>
        <family val="1"/>
      </rPr>
      <t xml:space="preserve">July 18: </t>
    </r>
    <r>
      <rPr>
        <sz val="10"/>
        <color rgb="FF000000"/>
        <rFont val="Times New Roman"/>
        <family val="1"/>
      </rPr>
      <t xml:space="preserve"> PEFA pair, 4 chicks, RG: &lt;0,2 cm. Mem.card+ batt. changed. 2 quails left-&gt; removed. Visit 2-10D-6 quails</t>
    </r>
    <r>
      <rPr>
        <b/>
        <sz val="10"/>
        <color rgb="FF000000"/>
        <rFont val="Times New Roman"/>
        <family val="1"/>
      </rPr>
      <t xml:space="preserve">July 23: </t>
    </r>
    <r>
      <rPr>
        <sz val="10"/>
        <color rgb="FF000000"/>
        <rFont val="Times New Roman"/>
        <family val="1"/>
      </rPr>
      <t xml:space="preserve">PEFA pair. RG = 0. Dropped 6 pigeons. 4 chicks. Changed batt + card 8 gb. Card filled on July 21. Deployed sticky trap. Dirt over  blue chick left eye (removed). Green: Crop = full, C = 20, TC = 12.5, HB = 52.5, T = 35.5. Red: Crop = empty. C = 20.5, TC = 14, HB = 54, T = 36.5. Blue: Crop = empty. C = 19.5, TC = 13, HB = 51.5, T = 33.5, Pink: Crop = full, C = 19, TC = 12. 5, HB = 50.5, T = 34. </t>
    </r>
    <r>
      <rPr>
        <b/>
        <sz val="10"/>
        <color rgb="FF000000"/>
        <rFont val="Times New Roman"/>
        <family val="1"/>
      </rPr>
      <t xml:space="preserve">July 28: </t>
    </r>
    <r>
      <rPr>
        <sz val="10"/>
        <color rgb="FF000000"/>
        <rFont val="Times New Roman"/>
        <family val="1"/>
      </rPr>
      <t xml:space="preserve"> PEFa pair. RG = 0. Changed batt + mem card. 4 chicks, all bleed. gust 7 :Dropped 7 quails only (4th feeding). Blue: T = 42.5, C = 23, HB = 56.5, TC = 15, Crop = 0, Rec = 9. Green: T = 42, C = 22, HB = 57.5, TC = 14, Crop = empty. Rec = 8. Red: T = 45, C = 23.5, HB = 61.5, TC = 16.5, Cropt = 1/4, Rec = 6.5. Pink: T = 42.5, C = 21, HB = 58.5, TC = 15.5, Crop = 1/8. Rec = 4. </t>
    </r>
    <r>
      <rPr>
        <b/>
        <sz val="10"/>
        <color rgb="FF000000"/>
        <rFont val="Times New Roman"/>
        <family val="1"/>
      </rPr>
      <t xml:space="preserve">August 1 </t>
    </r>
    <r>
      <rPr>
        <sz val="10"/>
        <color rgb="FF000000"/>
        <rFont val="Times New Roman"/>
        <family val="1"/>
      </rPr>
      <t xml:space="preserve"> Female adult present. RG=0. 13 quail left. 4 nestlings present. Blue: WT=483 T=47 HB=60 Cul=22.5 TC=15 Crop=0 Green: WT=534 T=47 HB=60 Cul=22.5 TC=15 Crop=0 Red: WT= 671 T=53 HB=64 Cul=24 TC=17 Crop=0 White: WT=649 T=50.5 HB=63 Cul=22 TC=15.5 Crop=0. </t>
    </r>
    <r>
      <rPr>
        <b/>
        <sz val="10"/>
        <color rgb="FF000000"/>
        <rFont val="Times New Roman"/>
        <family val="1"/>
      </rPr>
      <t>August 4</t>
    </r>
    <r>
      <rPr>
        <sz val="10"/>
        <color rgb="FF000000"/>
        <rFont val="Times New Roman"/>
        <family val="1"/>
      </rPr>
      <t xml:space="preserve"> Took blood on all chicks. No quail given because we had none in Rankin at this time. Banded all young. Blue: Wt=544 T=48 HB=61.5 Cul=23 TC=16 Crop=0. Green: WT=544 T=45.5 HB=61.5 Cul=21 TC=15.5 Crop=0 Red: WT=741 T=50 HB=64.5 Cul=26 TC=18.25 Crop=0. White: WT=736 T=51 HB=65 Cul=24 TC=17.5 Crop=0. </t>
    </r>
    <r>
      <rPr>
        <b/>
        <sz val="10"/>
        <color rgb="FF000000"/>
        <rFont val="Times New Roman"/>
        <family val="1"/>
      </rPr>
      <t xml:space="preserve">August 7 </t>
    </r>
    <r>
      <rPr>
        <sz val="10"/>
        <color rgb="FF000000"/>
        <rFont val="Times New Roman"/>
        <family val="1"/>
      </rPr>
      <t xml:space="preserve">:  1 PEFA, 4 chicks, dropped 11 quails (rainy day) </t>
    </r>
    <r>
      <rPr>
        <b/>
        <sz val="10"/>
        <color rgb="FF000000"/>
        <rFont val="Times New Roman"/>
        <family val="1"/>
      </rPr>
      <t xml:space="preserve">August 9 </t>
    </r>
    <r>
      <rPr>
        <sz val="10"/>
        <color rgb="FF000000"/>
        <rFont val="Times New Roman"/>
        <family val="1"/>
      </rPr>
      <t>Rain Gauge and camera removed on previous visit. 4 nestlings. 1 adult present. Blue: WT=614 T=47.5 HB=61 Cul=22 TC=16.5 Crop=1/2 Green: WT=595 T=47 HB=61 Cul=22.5 TC=16 Crop=1/3 Red: WT=831 T=53.5 HB=65 Cul=25.5 TC=18.5 Crop=1/3 White: WT=860 T=51.5 HB=66 Cul=23 TC=18 Crop=2/3.</t>
    </r>
  </si>
  <si>
    <r>
      <t>May 17:</t>
    </r>
    <r>
      <rPr>
        <sz val="10"/>
        <color rgb="FF000000"/>
        <rFont val="Times New Roman"/>
        <family val="1"/>
      </rPr>
      <t xml:space="preserve"> Empty. </t>
    </r>
    <r>
      <rPr>
        <b/>
        <sz val="10"/>
        <color rgb="FF000000"/>
        <rFont val="Times New Roman"/>
        <family val="1"/>
      </rPr>
      <t xml:space="preserve">May 30: </t>
    </r>
    <r>
      <rPr>
        <sz val="10"/>
        <color rgb="FF000000"/>
        <rFont val="Times New Roman"/>
        <family val="1"/>
      </rPr>
      <t xml:space="preserve">Didn't see any bird from south side of meliadine but strong wind and birds may be on the other side of the cliff. </t>
    </r>
    <r>
      <rPr>
        <b/>
        <sz val="10"/>
        <color rgb="FF000000"/>
        <rFont val="Times New Roman"/>
        <family val="1"/>
      </rPr>
      <t xml:space="preserve">June 1: </t>
    </r>
    <r>
      <rPr>
        <sz val="10"/>
        <color rgb="FF000000"/>
        <rFont val="Times New Roman"/>
        <family val="1"/>
      </rPr>
      <t xml:space="preserve">PEFA female seen from south side of Meliadine river. </t>
    </r>
    <r>
      <rPr>
        <b/>
        <sz val="10"/>
        <color rgb="FF000000"/>
        <rFont val="Times New Roman"/>
        <family val="1"/>
      </rPr>
      <t>June 5:</t>
    </r>
    <r>
      <rPr>
        <sz val="10"/>
        <color rgb="FF000000"/>
        <rFont val="Times New Roman"/>
        <family val="1"/>
      </rPr>
      <t xml:space="preserve"> 2 adults. 2 eggs. Set up Reconyx + RG. No Ibutton. Female is banded and has a GL.  </t>
    </r>
    <r>
      <rPr>
        <b/>
        <sz val="10"/>
        <color rgb="FF000000"/>
        <rFont val="Times New Roman"/>
        <family val="1"/>
      </rPr>
      <t>June 11:</t>
    </r>
    <r>
      <rPr>
        <sz val="10"/>
        <color rgb="FF000000"/>
        <rFont val="Times New Roman"/>
        <family val="1"/>
      </rPr>
      <t xml:space="preserve"> PEFA pair trapped, female 76B (vv) retreived geolocator, 4 eggs. RG= 0. Changed memory card. </t>
    </r>
    <r>
      <rPr>
        <b/>
        <sz val="10"/>
        <color rgb="FF000000"/>
        <rFont val="Times New Roman"/>
        <family val="1"/>
      </rPr>
      <t xml:space="preserve">June 20: </t>
    </r>
    <r>
      <rPr>
        <sz val="10"/>
        <color rgb="FF000000"/>
        <rFont val="Times New Roman"/>
        <family val="1"/>
      </rPr>
      <t>PEFA pair+ 1 intruder, 4 eggs, mem. card+battery changed. RG: 0mm. Female very aggressive.</t>
    </r>
    <r>
      <rPr>
        <b/>
        <sz val="10"/>
        <color rgb="FF000000"/>
        <rFont val="Times New Roman"/>
        <family val="1"/>
      </rPr>
      <t xml:space="preserve"> June 30 : </t>
    </r>
    <r>
      <rPr>
        <sz val="10"/>
        <color rgb="FF000000"/>
        <rFont val="Times New Roman"/>
        <family val="1"/>
      </rPr>
      <t xml:space="preserve">PEFA pair, 4 eggs, RG:0mm, mem. card+batteries changed. </t>
    </r>
    <r>
      <rPr>
        <b/>
        <sz val="10"/>
        <color rgb="FF000000"/>
        <rFont val="Times New Roman"/>
        <family val="1"/>
      </rPr>
      <t xml:space="preserve">July 13: </t>
    </r>
    <r>
      <rPr>
        <sz val="10"/>
        <color rgb="FF000000"/>
        <rFont val="Times New Roman"/>
        <family val="1"/>
      </rPr>
      <t>PEFA pair, 2 chicks, 2 eggs, RG: 0,6 cm. Mem. card+ batt changed</t>
    </r>
    <r>
      <rPr>
        <b/>
        <sz val="10"/>
        <color rgb="FF000000"/>
        <rFont val="Times New Roman"/>
        <family val="1"/>
      </rPr>
      <t xml:space="preserve">July 16: </t>
    </r>
    <r>
      <rPr>
        <sz val="10"/>
        <color rgb="FF000000"/>
        <rFont val="Times New Roman"/>
        <family val="1"/>
      </rPr>
      <t xml:space="preserve"> PEFA pair, 2 chicks, 2 eggs, RG: 0,4 cm. mem. card+batt changed.Visit 1-5D-Control. **Blue have a parasite larvae in ears--removed. </t>
    </r>
    <r>
      <rPr>
        <b/>
        <sz val="10"/>
        <color rgb="FF000000"/>
        <rFont val="Times New Roman"/>
        <family val="1"/>
      </rPr>
      <t xml:space="preserve">July 21: </t>
    </r>
    <r>
      <rPr>
        <sz val="10"/>
        <color rgb="FF000000"/>
        <rFont val="Times New Roman"/>
        <family val="1"/>
      </rPr>
      <t xml:space="preserve"> PEFA pair, 2 chicks, 2 yoly eggs, RG: 0cm. Mem.card+batt changed Visit 2-10D- control. Both chicks goth maggots in ears. </t>
    </r>
    <r>
      <rPr>
        <b/>
        <sz val="10"/>
        <color rgb="FF000000"/>
        <rFont val="Times New Roman"/>
        <family val="1"/>
      </rPr>
      <t xml:space="preserve">July 26: </t>
    </r>
    <r>
      <rPr>
        <sz val="10"/>
        <color rgb="FF000000"/>
        <rFont val="Times New Roman"/>
        <family val="1"/>
      </rPr>
      <t>2 PEFA + 2 chicks. Set sticky trap. Changed mem card 8 gb. Blood on blue and green.  Blue: C = 22.5, TC = 16.0, T = 44.0, Rec = 8.0, HB = 58, Crop = empty. Green: C = 19, TC = 14, T = 36. HB = 50.5, Crop = empty.</t>
    </r>
    <r>
      <rPr>
        <b/>
        <sz val="10"/>
        <color rgb="FF000000"/>
        <rFont val="Times New Roman"/>
        <family val="1"/>
      </rPr>
      <t xml:space="preserve"> July 31: </t>
    </r>
    <r>
      <rPr>
        <sz val="10"/>
        <color rgb="FF000000"/>
        <rFont val="Times New Roman"/>
        <family val="1"/>
      </rPr>
      <t xml:space="preserve"> PEFA pair, 2 chixks, RG: 0 cm. Mem.card+batt changed. Visit 4- 20D-control </t>
    </r>
    <r>
      <rPr>
        <b/>
        <sz val="10"/>
        <color rgb="FF000000"/>
        <rFont val="Times New Roman"/>
        <family val="1"/>
      </rPr>
      <t>August 5</t>
    </r>
    <r>
      <rPr>
        <sz val="10"/>
        <color rgb="FF000000"/>
        <rFont val="Times New Roman"/>
        <family val="1"/>
      </rPr>
      <t xml:space="preserve"> 2 young. No adults. RG = 0.2mm Removed camera, RG and ibutton. Blood taken on both young. Blue: wt=590 T=51 HB=63 Cul=24.5 TC=17.5 Crop=0 Band=220609900 sex=male Green: wt=498 T=46.5 HB=58.5 Cul=23 TC=16 Crop=1/3 band=220609899 sex=male </t>
    </r>
    <r>
      <rPr>
        <b/>
        <sz val="10"/>
        <color rgb="FF000000"/>
        <rFont val="Times New Roman"/>
        <family val="1"/>
      </rPr>
      <t>August 9</t>
    </r>
    <r>
      <rPr>
        <sz val="10"/>
        <color rgb="FF000000"/>
        <rFont val="Times New Roman"/>
        <family val="1"/>
      </rPr>
      <t xml:space="preserve"> 2 adults present. Camera and RG removed on previous visit. Blue: WT=568 T=49 HB=64.5 Cul=24 TC=18 Crop=0 Green: WT=463 T=47 HB=61 Cul=23 TC=16 Crop=0</t>
    </r>
  </si>
  <si>
    <r>
      <t xml:space="preserve">May 27: </t>
    </r>
    <r>
      <rPr>
        <sz val="10"/>
        <color rgb="FF000000"/>
        <rFont val="Times New Roman"/>
        <family val="1"/>
      </rPr>
      <t xml:space="preserve">PEFA pair chasing a RLHA. </t>
    </r>
    <r>
      <rPr>
        <b/>
        <sz val="10"/>
        <color rgb="FF000000"/>
        <rFont val="Times New Roman"/>
        <family val="1"/>
      </rPr>
      <t xml:space="preserve">June 11: </t>
    </r>
    <r>
      <rPr>
        <sz val="10"/>
        <color rgb="FF000000"/>
        <rFont val="Times New Roman"/>
        <family val="1"/>
      </rPr>
      <t xml:space="preserve"> 2 adults PEFA. Both unbanded. 4 eggs. Deployed cam + RG + Ibutton. </t>
    </r>
    <r>
      <rPr>
        <b/>
        <sz val="10"/>
        <color rgb="FF000000"/>
        <rFont val="Times New Roman"/>
        <family val="1"/>
      </rPr>
      <t xml:space="preserve">June 16: </t>
    </r>
    <r>
      <rPr>
        <sz val="10"/>
        <color rgb="FF000000"/>
        <rFont val="Times New Roman"/>
        <family val="1"/>
      </rPr>
      <t xml:space="preserve">2 PEFA adults. 4 eggs. Less than 1 mm rain. Changed mem card + batt. </t>
    </r>
    <r>
      <rPr>
        <b/>
        <sz val="10"/>
        <color rgb="FF000000"/>
        <rFont val="Times New Roman"/>
        <family val="1"/>
      </rPr>
      <t>June 26</t>
    </r>
    <r>
      <rPr>
        <sz val="10"/>
        <color rgb="FF000000"/>
        <rFont val="Times New Roman"/>
        <family val="1"/>
      </rPr>
      <t xml:space="preserve">: PEFA pair, 4 eggs, Mem.card+batteries (10xAA) changed RG: 0mm. Batt only 70% full (forgot 2 batt.) RG: 0mm </t>
    </r>
    <r>
      <rPr>
        <b/>
        <sz val="10"/>
        <color rgb="FF000000"/>
        <rFont val="Times New Roman"/>
        <family val="1"/>
      </rPr>
      <t xml:space="preserve">July 09: </t>
    </r>
    <r>
      <rPr>
        <sz val="10"/>
        <color rgb="FF000000"/>
        <rFont val="Times New Roman"/>
        <family val="1"/>
      </rPr>
      <t xml:space="preserve">PEFA pair, 4 eggs, mem. card (SD)+batt. (AA) changed RG: &lt;5mm. 2 eggs cracked, will probably hatch soon (can ear sounds in it). </t>
    </r>
    <r>
      <rPr>
        <b/>
        <sz val="10"/>
        <color rgb="FF000000"/>
        <rFont val="Times New Roman"/>
        <family val="1"/>
      </rPr>
      <t xml:space="preserve">July 13: </t>
    </r>
    <r>
      <rPr>
        <sz val="10"/>
        <color rgb="FF000000"/>
        <rFont val="Times New Roman"/>
        <family val="1"/>
      </rPr>
      <t xml:space="preserve"> 1 PEFA, 4 chicks, RG: 0,2 cm. Mem.card+batt changed. </t>
    </r>
    <r>
      <rPr>
        <b/>
        <sz val="10"/>
        <color rgb="FF000000"/>
        <rFont val="Times New Roman"/>
        <family val="1"/>
      </rPr>
      <t xml:space="preserve">July 16: </t>
    </r>
    <r>
      <rPr>
        <sz val="10"/>
        <color rgb="FF000000"/>
        <rFont val="Times New Roman"/>
        <family val="1"/>
      </rPr>
      <t>PEFA pair, 4 chicks, RG: 0cm. Mem.card+batt changed. Visit 1-5D-control. Pink hatched before red (mistake on first visit)</t>
    </r>
    <r>
      <rPr>
        <b/>
        <sz val="10"/>
        <color rgb="FF000000"/>
        <rFont val="Times New Roman"/>
        <family val="1"/>
      </rPr>
      <t xml:space="preserve">July 21: </t>
    </r>
    <r>
      <rPr>
        <sz val="10"/>
        <color rgb="FF000000"/>
        <rFont val="Times New Roman"/>
        <family val="1"/>
      </rPr>
      <t xml:space="preserve">PEFA pair. RG = 0. Changed batt only. Blue: T = 41, HB = 49.5, C = 19.5, Crop = empty. Green: T = 41, HB = 49.5, C = 19.5, Crop = 1/4. Red: T = 35.5, HB = 46, C = 17.5, Crop = 1/2. T = 42, HB = 47.5, C = 19, Crop = 1/8. </t>
    </r>
    <r>
      <rPr>
        <b/>
        <sz val="10"/>
        <color rgb="FF000000"/>
        <rFont val="Times New Roman"/>
        <family val="1"/>
      </rPr>
      <t>July 31</t>
    </r>
    <r>
      <rPr>
        <sz val="10"/>
        <color rgb="FF000000"/>
        <rFont val="Times New Roman"/>
        <family val="1"/>
      </rPr>
      <t xml:space="preserve"> No adults. RG=0 Changed MC and Batt. 4 nestlings. Blue: wt=400 T=45.5 HB=59 Cul=23 TC=16 Crop=0 Green: wt=410 T=45 HB=58 Cul=24.5 TC=15.5 Crop=0 Red: wt=251 T=44 HB=56 Cul=22 TC=15.5 White: wt=380 T=46 HB=57 Cul=22.5 TC=16 Crop=0 </t>
    </r>
    <r>
      <rPr>
        <b/>
        <sz val="10"/>
        <color rgb="FF000000"/>
        <rFont val="Times New Roman"/>
        <family val="1"/>
      </rPr>
      <t xml:space="preserve">August 5 </t>
    </r>
    <r>
      <rPr>
        <sz val="10"/>
        <color rgb="FF000000"/>
        <rFont val="Times New Roman"/>
        <family val="1"/>
      </rPr>
      <t xml:space="preserve"> 2 adults present. Red and white nestlings dead in scrape accompanied by strong smell and limp bodies. Similar development to blue and green (ie died recently). Blood taken from Blue and Green. RG=0. Blue: WT=378 HB=57 T=45 Cul=21.5 TC=16 crop=0 Green: WT= 358 HB=57.5 T=45.5 Cul=24.5 TC=17 Crop=1/3 </t>
    </r>
    <r>
      <rPr>
        <b/>
        <sz val="10"/>
        <color rgb="FF000000"/>
        <rFont val="Times New Roman"/>
        <family val="1"/>
      </rPr>
      <t xml:space="preserve"> August 9</t>
    </r>
    <r>
      <rPr>
        <sz val="10"/>
        <color rgb="FF000000"/>
        <rFont val="Times New Roman"/>
        <family val="1"/>
      </rPr>
      <t xml:space="preserve"> Blue: WT=403 T=46 HB=59 Cul=22 TC=16.5 Crop=0</t>
    </r>
  </si>
  <si>
    <r>
      <t>June 23:</t>
    </r>
    <r>
      <rPr>
        <sz val="10"/>
        <color rgb="FF000000"/>
        <rFont val="Times New Roman"/>
        <family val="1"/>
      </rPr>
      <t xml:space="preserve"> RLHA pair, nest on a rock near ground, 5 eggs </t>
    </r>
    <r>
      <rPr>
        <b/>
        <sz val="10"/>
        <color rgb="FF000000"/>
        <rFont val="Times New Roman"/>
        <family val="1"/>
      </rPr>
      <t xml:space="preserve">July 16: </t>
    </r>
    <r>
      <rPr>
        <sz val="10"/>
        <color rgb="FF000000"/>
        <rFont val="Times New Roman"/>
        <family val="1"/>
      </rPr>
      <t xml:space="preserve"> RLHA pair, 3 chicks, 1 yolky and cold egg. Siksik remains. </t>
    </r>
    <r>
      <rPr>
        <b/>
        <sz val="10"/>
        <color rgb="FF000000"/>
        <rFont val="Times New Roman"/>
        <family val="1"/>
      </rPr>
      <t>August 10</t>
    </r>
    <r>
      <rPr>
        <sz val="10"/>
        <color rgb="FF000000"/>
        <rFont val="Times New Roman"/>
        <family val="1"/>
      </rPr>
      <t xml:space="preserve"> One chick found and is able to fly short distances. There may be other fledglings that are older and able to fly further from the nest. Collected pellets from in the nest, and took blood from the nestlings. WT=981 T=70 band=185714502 sex=female</t>
    </r>
  </si>
  <si>
    <t>30-male</t>
  </si>
  <si>
    <r>
      <rPr>
        <b/>
        <sz val="10"/>
        <color rgb="FF000000"/>
        <rFont val="Times New Roman"/>
        <family val="1"/>
      </rPr>
      <t xml:space="preserve">June 6: </t>
    </r>
    <r>
      <rPr>
        <sz val="10"/>
        <color rgb="FF000000"/>
        <rFont val="Times New Roman"/>
        <family val="1"/>
      </rPr>
      <t xml:space="preserve">Empty. </t>
    </r>
    <r>
      <rPr>
        <b/>
        <sz val="10"/>
        <color rgb="FF000000"/>
        <rFont val="Times New Roman"/>
        <family val="1"/>
      </rPr>
      <t>August 10</t>
    </r>
    <r>
      <rPr>
        <sz val="10"/>
        <color rgb="FF000000"/>
        <rFont val="Times New Roman"/>
        <family val="1"/>
      </rPr>
      <t xml:space="preserve"> 5 RLHA nestlings. #1: WT=810 T=71 crop=1/3 blood:yes.  #2 WT=927 T=72 crop=0 blood:yes. #3 WT=723 T=73 crop=0 blood:no. #4 Wt=784 T=71.5 crop=0 Blood:yes #5 Wt=717 T=67 crop=0 blood:no</t>
    </r>
  </si>
  <si>
    <t>62.89241 -91.98023</t>
  </si>
  <si>
    <r>
      <t>May 19</t>
    </r>
    <r>
      <rPr>
        <sz val="10"/>
        <color rgb="FF000000"/>
        <rFont val="Times New Roman"/>
        <family val="1"/>
      </rPr>
      <t xml:space="preserve">: Empty </t>
    </r>
    <r>
      <rPr>
        <b/>
        <sz val="10"/>
        <color rgb="FF000000"/>
        <rFont val="Times New Roman"/>
        <family val="1"/>
      </rPr>
      <t xml:space="preserve">May 20: </t>
    </r>
    <r>
      <rPr>
        <sz val="10"/>
        <color rgb="FF000000"/>
        <rFont val="Times New Roman"/>
        <family val="1"/>
      </rPr>
      <t xml:space="preserve">PEFA pair on top of hill wailing. 3rd falcon flew by. Chased away by resident bird. </t>
    </r>
    <r>
      <rPr>
        <b/>
        <sz val="10"/>
        <color rgb="FF000000"/>
        <rFont val="Times New Roman"/>
        <family val="1"/>
      </rPr>
      <t xml:space="preserve">May 23: </t>
    </r>
    <r>
      <rPr>
        <sz val="10"/>
        <color rgb="FF000000"/>
        <rFont val="Times New Roman"/>
        <family val="1"/>
      </rPr>
      <t xml:space="preserve">PEFA male only. </t>
    </r>
    <r>
      <rPr>
        <b/>
        <sz val="10"/>
        <color rgb="FF000000"/>
        <rFont val="Times New Roman"/>
        <family val="1"/>
      </rPr>
      <t xml:space="preserve">June 8: </t>
    </r>
    <r>
      <rPr>
        <sz val="10"/>
        <color rgb="FF000000"/>
        <rFont val="Times New Roman"/>
        <family val="1"/>
      </rPr>
      <t xml:space="preserve">1 egg. 2 adults. Deployed cam + RG. </t>
    </r>
    <r>
      <rPr>
        <b/>
        <sz val="10"/>
        <color rgb="FF000000"/>
        <rFont val="Times New Roman"/>
        <family val="1"/>
      </rPr>
      <t xml:space="preserve">June 9: </t>
    </r>
    <r>
      <rPr>
        <sz val="10"/>
        <color rgb="FF000000"/>
        <rFont val="Times New Roman"/>
        <family val="1"/>
      </rPr>
      <t xml:space="preserve">Male is banded 20H (Picture #:2014-06-09 08:17:52 PM M01-03. 2nd egg layed on June 9. </t>
    </r>
    <r>
      <rPr>
        <b/>
        <sz val="10"/>
        <color rgb="FF000000"/>
        <rFont val="Times New Roman"/>
        <family val="1"/>
      </rPr>
      <t xml:space="preserve">June 11: </t>
    </r>
    <r>
      <rPr>
        <sz val="10"/>
        <color rgb="FF000000"/>
        <rFont val="Times New Roman"/>
        <family val="1"/>
      </rPr>
      <t xml:space="preserve">3rd egg layed (from reconyx). </t>
    </r>
    <r>
      <rPr>
        <b/>
        <sz val="10"/>
        <color rgb="FF000000"/>
        <rFont val="Times New Roman"/>
        <family val="1"/>
      </rPr>
      <t xml:space="preserve">June 12: </t>
    </r>
    <r>
      <rPr>
        <sz val="10"/>
        <color rgb="FF000000"/>
        <rFont val="Times New Roman"/>
        <family val="1"/>
      </rPr>
      <t xml:space="preserve"> No rain. 3 eggs. Changed mem card + batt. Mem card filled previous day (June 11). From June 8 till carmera stopped on June 11, AM and PM are inverted on pictures. </t>
    </r>
    <r>
      <rPr>
        <b/>
        <sz val="10"/>
        <color rgb="FF000000"/>
        <rFont val="Times New Roman"/>
        <family val="1"/>
      </rPr>
      <t xml:space="preserve">June 22: </t>
    </r>
    <r>
      <rPr>
        <sz val="10"/>
        <color rgb="FF000000"/>
        <rFont val="Times New Roman"/>
        <family val="1"/>
      </rPr>
      <t xml:space="preserve">1 PEFA + 4 eggs. Batt + mem card changed (4GB). </t>
    </r>
    <r>
      <rPr>
        <b/>
        <sz val="10"/>
        <color rgb="FF000000"/>
        <rFont val="Times New Roman"/>
        <family val="1"/>
      </rPr>
      <t>July 2</t>
    </r>
    <r>
      <rPr>
        <sz val="10"/>
        <color rgb="FF000000"/>
        <rFont val="Times New Roman"/>
        <family val="1"/>
      </rPr>
      <t xml:space="preserve"> : PEFA pair, 4 eggs, RG: 0mm. Mem. card +batteries changed very aggressive birds </t>
    </r>
    <r>
      <rPr>
        <b/>
        <sz val="10"/>
        <color rgb="FF000000"/>
        <rFont val="Times New Roman"/>
        <family val="1"/>
      </rPr>
      <t xml:space="preserve">July 13: </t>
    </r>
    <r>
      <rPr>
        <sz val="10"/>
        <color rgb="FF000000"/>
        <rFont val="Times New Roman"/>
        <family val="1"/>
      </rPr>
      <t xml:space="preserve"> PEFA pair, 4 eggs, R.G : 1cm. Mem.card+batt changed. </t>
    </r>
    <r>
      <rPr>
        <b/>
        <sz val="10"/>
        <color rgb="FF000000"/>
        <rFont val="Times New Roman"/>
        <family val="1"/>
      </rPr>
      <t xml:space="preserve">July 18: </t>
    </r>
    <r>
      <rPr>
        <sz val="10"/>
        <color rgb="FF000000"/>
        <rFont val="Times New Roman"/>
        <family val="1"/>
      </rPr>
      <t xml:space="preserve"> PEFA pair, 3 chicks, 1 egg hatching right now. RG: 0cm. Mem.card+batt changed. </t>
    </r>
    <r>
      <rPr>
        <b/>
        <sz val="10"/>
        <color rgb="FF000000"/>
        <rFont val="Times New Roman"/>
        <family val="1"/>
      </rPr>
      <t xml:space="preserve"> July 19: </t>
    </r>
    <r>
      <rPr>
        <sz val="10"/>
        <color rgb="FF000000"/>
        <rFont val="Times New Roman"/>
        <family val="1"/>
      </rPr>
      <t xml:space="preserve"> PEFA, 3 chicks, RG: 0cm. Visit 1- 5D-5 quails. Red died last night </t>
    </r>
    <r>
      <rPr>
        <b/>
        <sz val="10"/>
        <color rgb="FF000000"/>
        <rFont val="Times New Roman"/>
        <family val="1"/>
      </rPr>
      <t xml:space="preserve">July 24: </t>
    </r>
    <r>
      <rPr>
        <sz val="10"/>
        <color rgb="FF000000"/>
        <rFont val="Times New Roman"/>
        <family val="1"/>
      </rPr>
      <t>2 chicks, 3 pigeon left, RG=0mm, 3 pigeon left BLUE wt=142 T=(was not taken) HB=44 Cul=18 TC=12.5 GREEN wt=115 T=(not taken) HB=43 Cul=17.5 TC=13</t>
    </r>
    <r>
      <rPr>
        <b/>
        <sz val="10"/>
        <color rgb="FF000000"/>
        <rFont val="Times New Roman"/>
        <family val="1"/>
      </rPr>
      <t xml:space="preserve"> July 29</t>
    </r>
    <r>
      <rPr>
        <sz val="10"/>
        <color rgb="FF000000"/>
        <rFont val="Times New Roman"/>
        <family val="1"/>
      </rPr>
      <t xml:space="preserve"> 2 adults. Changed MC and batt. RG=0. took blood on Blue. Blue: wt=251 T=33 HB=50.5 Cul=18.5 TC=14 ret=1 crop=1/2. Green: wt=161 T=29 HB=47.5 cul=19 TC=13.5 ret=0 crop=0. 4 quail left. Green too small for blood work. </t>
    </r>
    <r>
      <rPr>
        <b/>
        <sz val="10"/>
        <color rgb="FF000000"/>
        <rFont val="Times New Roman"/>
        <family val="1"/>
      </rPr>
      <t>August 3</t>
    </r>
    <r>
      <rPr>
        <sz val="10"/>
        <color rgb="FF000000"/>
        <rFont val="Times New Roman"/>
        <family val="1"/>
      </rPr>
      <t xml:space="preserve"> 2 adults, 2 nestlings, left 5 quail. Blood taken from green. RG=0 Changed MC and Batt. Blue: WT=389 TC=14.5 Cul=20 T=43 Crop=0 Ret=4.5 HB=56 Green: WT=271 TC=13.5 Cul=18.5 T=39 Crop=0 Ret=2 HB=53 </t>
    </r>
    <r>
      <rPr>
        <b/>
        <sz val="10"/>
        <color rgb="FF000000"/>
        <rFont val="Times New Roman"/>
        <family val="1"/>
      </rPr>
      <t>August 8</t>
    </r>
    <r>
      <rPr>
        <sz val="10"/>
        <color rgb="FF000000"/>
        <rFont val="Times New Roman"/>
        <family val="1"/>
      </rPr>
      <t xml:space="preserve"> Red dead in nest. one nestling remaining (blue). Banded, and took blood from blue. Left 3 quail. Blue: WT=548 T=46 HB=62 Cul=23 TC=17.5 crop=0 sex=male band=220612996</t>
    </r>
  </si>
  <si>
    <r>
      <t>May 19:</t>
    </r>
    <r>
      <rPr>
        <sz val="10"/>
        <color rgb="FF000000"/>
        <rFont val="Times New Roman"/>
        <family val="1"/>
      </rPr>
      <t xml:space="preserve"> RLHA pair. </t>
    </r>
    <r>
      <rPr>
        <b/>
        <sz val="10"/>
        <color rgb="FF000000"/>
        <rFont val="Times New Roman"/>
        <family val="1"/>
      </rPr>
      <t>May 21:</t>
    </r>
    <r>
      <rPr>
        <sz val="10"/>
        <color rgb="FF000000"/>
        <rFont val="Times New Roman"/>
        <family val="1"/>
      </rPr>
      <t xml:space="preserve"> PEFA pair. GL lost on female. </t>
    </r>
    <r>
      <rPr>
        <b/>
        <sz val="10"/>
        <color rgb="FF000000"/>
        <rFont val="Times New Roman"/>
        <family val="1"/>
      </rPr>
      <t xml:space="preserve">June 6: </t>
    </r>
    <r>
      <rPr>
        <sz val="10"/>
        <color rgb="FF000000"/>
        <rFont val="Times New Roman"/>
        <family val="1"/>
      </rPr>
      <t xml:space="preserve">PEFA pair found on our way to site 31. 3 eggs. Deployed cam + RG + ibutton at 4:45 PM. Wpt 33 2014. Female is banded. Blue band on right leg. Male is unbanded. </t>
    </r>
    <r>
      <rPr>
        <b/>
        <sz val="10"/>
        <color rgb="FF000000"/>
        <rFont val="Times New Roman"/>
        <family val="1"/>
      </rPr>
      <t xml:space="preserve">June 8: </t>
    </r>
    <r>
      <rPr>
        <sz val="10"/>
        <color rgb="FF000000"/>
        <rFont val="Times New Roman"/>
        <family val="1"/>
      </rPr>
      <t xml:space="preserve">Info from reconyx: 4th egg first seen at 6:37 AM. Picture # 2014-06-08 6:37:50 PM M1/3. </t>
    </r>
    <r>
      <rPr>
        <b/>
        <sz val="10"/>
        <color rgb="FF000000"/>
        <rFont val="Times New Roman"/>
        <family val="1"/>
      </rPr>
      <t xml:space="preserve">June 16: </t>
    </r>
    <r>
      <rPr>
        <sz val="10"/>
        <color rgb="FF000000"/>
        <rFont val="Times New Roman"/>
        <family val="1"/>
      </rPr>
      <t xml:space="preserve">PEFA pair 4 eggs. RG = 0. Changed mem card + batt. Mem card is full. Replaced cam cause was a bit too close. New mem card said picture 1 of 1. </t>
    </r>
    <r>
      <rPr>
        <b/>
        <sz val="10"/>
        <color rgb="FF000000"/>
        <rFont val="Times New Roman"/>
        <family val="1"/>
      </rPr>
      <t>June 26:</t>
    </r>
    <r>
      <rPr>
        <sz val="10"/>
        <color rgb="FF000000"/>
        <rFont val="Times New Roman"/>
        <family val="1"/>
      </rPr>
      <t xml:space="preserve"> PEFA pair, 4 eggs, Mem.card+batteries changed RG: 0mm </t>
    </r>
    <r>
      <rPr>
        <b/>
        <sz val="10"/>
        <color rgb="FF000000"/>
        <rFont val="Times New Roman"/>
        <family val="1"/>
      </rPr>
      <t xml:space="preserve">July 9: </t>
    </r>
    <r>
      <rPr>
        <sz val="10"/>
        <color rgb="FF000000"/>
        <rFont val="Times New Roman"/>
        <family val="1"/>
      </rPr>
      <t xml:space="preserve">PEFA pair, 4 eggs, mem. card +batt changed . R.G: 0mm. </t>
    </r>
    <r>
      <rPr>
        <b/>
        <sz val="10"/>
        <color rgb="FF000000"/>
        <rFont val="Times New Roman"/>
        <family val="1"/>
      </rPr>
      <t xml:space="preserve">July 13: </t>
    </r>
    <r>
      <rPr>
        <sz val="10"/>
        <color rgb="FF000000"/>
        <rFont val="Times New Roman"/>
        <family val="1"/>
      </rPr>
      <t>PEFA pair, 3 chicks, 1 pipping egg, RG: 0,4 cm. Mem. card+batt changed.</t>
    </r>
    <r>
      <rPr>
        <b/>
        <sz val="10"/>
        <color rgb="FF000000"/>
        <rFont val="Times New Roman"/>
        <family val="1"/>
      </rPr>
      <t xml:space="preserve">July 16: </t>
    </r>
    <r>
      <rPr>
        <sz val="10"/>
        <color rgb="FF000000"/>
        <rFont val="Times New Roman"/>
        <family val="1"/>
      </rPr>
      <t>PEFA pair, 3 chicks, 1 egg. RG: 0cm. mem. card+ batt changed.  Visit 1-5D-control</t>
    </r>
    <r>
      <rPr>
        <b/>
        <sz val="10"/>
        <color rgb="FF000000"/>
        <rFont val="Times New Roman"/>
        <family val="1"/>
      </rPr>
      <t xml:space="preserve">July 21: </t>
    </r>
    <r>
      <rPr>
        <sz val="10"/>
        <color rgb="FF000000"/>
        <rFont val="Times New Roman"/>
        <family val="1"/>
      </rPr>
      <t xml:space="preserve">Pefa pair. RG = 0. Changed batt + mem card. 3 chicks + 1 egg. mem card + batt changed. Blue: T = 40, C = 18.5, HB = 48, Crop = full. Green: T = 40, C = 18.5, HB = 48, Crop = full. Red: T = 38, C = 18, HB = 47, Crop = 3/4. </t>
    </r>
    <r>
      <rPr>
        <b/>
        <sz val="10"/>
        <color rgb="FF000000"/>
        <rFont val="Times New Roman"/>
        <family val="1"/>
      </rPr>
      <t>July 31</t>
    </r>
    <r>
      <rPr>
        <sz val="10"/>
        <color rgb="FF000000"/>
        <rFont val="Times New Roman"/>
        <family val="1"/>
      </rPr>
      <t xml:space="preserve"> 2 adults. RG=0 Changed MC and Batt. 3 nestlings. Blue:wt=509 T=45 HB=59 Cul=23 TC=16 Crop=0. Green wt=605 T=49 HB=64 Cul=23 TC=17 Crop=0 Red: wt=663 T=50 HB=64 Cul=25 TC=16 Crop=0.</t>
    </r>
    <r>
      <rPr>
        <b/>
        <sz val="10"/>
        <color rgb="FF000000"/>
        <rFont val="Times New Roman"/>
        <family val="1"/>
      </rPr>
      <t xml:space="preserve">August 5: </t>
    </r>
    <r>
      <rPr>
        <sz val="10"/>
        <color rgb="FF000000"/>
        <rFont val="Times New Roman"/>
        <family val="1"/>
      </rPr>
      <t xml:space="preserve">RG=0 2 nestlings present.blood taken from blue and red nestlings. Blue: wt=435 T=48 HB=58 Cul=23.5 TC=16.5 Crop=0 Red: WT=456 T=52.5 HB=61 Cul=23 TC=16.5 Crop=0 </t>
    </r>
    <r>
      <rPr>
        <b/>
        <sz val="10"/>
        <color rgb="FF000000"/>
        <rFont val="Times New Roman"/>
        <family val="1"/>
      </rPr>
      <t>August 10</t>
    </r>
    <r>
      <rPr>
        <sz val="10"/>
        <color rgb="FF000000"/>
        <rFont val="Times New Roman"/>
        <family val="1"/>
      </rPr>
      <t xml:space="preserve"> Remains of red nestling found in nest. Sexed as being a female due to the tarsus width and length. RG=200mm. 1 adult present. Blue: WT=536 T=49.5 HB=60 Cul=23 TC=17 Crop=0 band=220613000 sex=female</t>
    </r>
    <r>
      <rPr>
        <b/>
        <sz val="10"/>
        <color rgb="FF000000"/>
        <rFont val="Times New Roman"/>
        <family val="1"/>
      </rPr>
      <t xml:space="preserve"> </t>
    </r>
  </si>
  <si>
    <t>See notes, 5 young</t>
  </si>
  <si>
    <r>
      <t>May 18:</t>
    </r>
    <r>
      <rPr>
        <sz val="10"/>
        <color rgb="FF000000"/>
        <rFont val="Times New Roman"/>
        <family val="1"/>
      </rPr>
      <t xml:space="preserve"> Empty. </t>
    </r>
    <r>
      <rPr>
        <b/>
        <sz val="10"/>
        <color rgb="FF000000"/>
        <rFont val="Times New Roman"/>
        <family val="1"/>
      </rPr>
      <t xml:space="preserve">May 26: </t>
    </r>
    <r>
      <rPr>
        <sz val="10"/>
        <color rgb="FF000000"/>
        <rFont val="Times New Roman"/>
        <family val="1"/>
      </rPr>
      <t xml:space="preserve">PEFA pair. Unsuccessful trapping. </t>
    </r>
    <r>
      <rPr>
        <b/>
        <sz val="10"/>
        <color rgb="FF000000"/>
        <rFont val="Times New Roman"/>
        <family val="1"/>
      </rPr>
      <t xml:space="preserve">June 10: </t>
    </r>
    <r>
      <rPr>
        <sz val="10"/>
        <color rgb="FF000000"/>
        <rFont val="Times New Roman"/>
        <family val="1"/>
      </rPr>
      <t xml:space="preserve"> 2 adults. Both unbanded. 3 eggs. Deployed camera + RG + Ibutton at 11:30. </t>
    </r>
    <r>
      <rPr>
        <b/>
        <sz val="10"/>
        <color rgb="FF000000"/>
        <rFont val="Times New Roman"/>
        <family val="1"/>
      </rPr>
      <t xml:space="preserve">June 20: </t>
    </r>
    <r>
      <rPr>
        <sz val="10"/>
        <color rgb="FF000000"/>
        <rFont val="Times New Roman"/>
        <family val="1"/>
      </rPr>
      <t xml:space="preserve">1 PEFA. 4 eggs. RG = 0 Camera took off.  </t>
    </r>
    <r>
      <rPr>
        <b/>
        <sz val="10"/>
        <color rgb="FF000000"/>
        <rFont val="Times New Roman"/>
        <family val="1"/>
      </rPr>
      <t xml:space="preserve">June 30: </t>
    </r>
    <r>
      <rPr>
        <sz val="10"/>
        <color rgb="FF000000"/>
        <rFont val="Times New Roman"/>
        <family val="1"/>
      </rPr>
      <t xml:space="preserve"> PEFA pair, no more camera (took off by Erik). </t>
    </r>
    <r>
      <rPr>
        <b/>
        <sz val="10"/>
        <color rgb="FF000000"/>
        <rFont val="Times New Roman"/>
        <family val="1"/>
      </rPr>
      <t xml:space="preserve">3 eggs (1 missing). </t>
    </r>
    <r>
      <rPr>
        <sz val="10"/>
        <color rgb="FF000000"/>
        <rFont val="Times New Roman"/>
        <family val="1"/>
      </rPr>
      <t xml:space="preserve"> RG: 0mm </t>
    </r>
    <r>
      <rPr>
        <b/>
        <sz val="10"/>
        <color rgb="FF000000"/>
        <rFont val="Times New Roman"/>
        <family val="1"/>
      </rPr>
      <t xml:space="preserve">July 13: </t>
    </r>
    <r>
      <rPr>
        <sz val="10"/>
        <color rgb="FF000000"/>
        <rFont val="Times New Roman"/>
        <family val="1"/>
      </rPr>
      <t xml:space="preserve">PEFA pair, 2 chicks, 1 egg. R.G: 0 cm. Camera roaming deployed. </t>
    </r>
    <r>
      <rPr>
        <b/>
        <sz val="10"/>
        <color rgb="FF000000"/>
        <rFont val="Times New Roman"/>
        <family val="1"/>
      </rPr>
      <t xml:space="preserve">July 16: </t>
    </r>
    <r>
      <rPr>
        <sz val="10"/>
        <color rgb="FF000000"/>
        <rFont val="Times New Roman"/>
        <family val="1"/>
      </rPr>
      <t>PEFA pair, 3 chicks, RG: 0cm, mem. card+ batt changed. Visit1-5D-4 quails.</t>
    </r>
    <r>
      <rPr>
        <b/>
        <sz val="10"/>
        <color rgb="FF000000"/>
        <rFont val="Times New Roman"/>
        <family val="1"/>
      </rPr>
      <t xml:space="preserve">July 21 : </t>
    </r>
    <r>
      <rPr>
        <sz val="10"/>
        <color rgb="FF000000"/>
        <rFont val="Times New Roman"/>
        <family val="1"/>
      </rPr>
      <t>PEFA pair, 3 chicks, RG: 0 cm Mem.card+batt changed. Visit 2-10D-5 quails</t>
    </r>
    <r>
      <rPr>
        <b/>
        <sz val="10"/>
        <color rgb="FF000000"/>
        <rFont val="Times New Roman"/>
        <family val="1"/>
      </rPr>
      <t xml:space="preserve">July 26: </t>
    </r>
    <r>
      <rPr>
        <sz val="10"/>
        <color rgb="FF000000"/>
        <rFont val="Times New Roman"/>
        <family val="1"/>
      </rPr>
      <t>3</t>
    </r>
    <r>
      <rPr>
        <b/>
        <sz val="10"/>
        <color rgb="FF000000"/>
        <rFont val="Times New Roman"/>
        <family val="1"/>
      </rPr>
      <t xml:space="preserve"> </t>
    </r>
    <r>
      <rPr>
        <sz val="10"/>
        <color rgb="FF000000"/>
        <rFont val="Times New Roman"/>
        <family val="1"/>
      </rPr>
      <t>PEFA. RG = 0. 3 chicks. Blue: T = 42, HB = 56, C = 21.5, Crop = empty, Rec = 3.5, Green: T = 40, HB = 52, TC = 14, C = 20, crop = empty. Rec = 2,0. Red: T = 37.5, HB  = 54, TC = 14, C = 19.5, Crop = empty. Rec = 1.5. Blood sample en 3 chicks. Deployed sticky trap. Dropped 6 quails.</t>
    </r>
    <r>
      <rPr>
        <b/>
        <sz val="10"/>
        <color rgb="FF000000"/>
        <rFont val="Times New Roman"/>
        <family val="1"/>
      </rPr>
      <t xml:space="preserve"> July 31: </t>
    </r>
    <r>
      <rPr>
        <sz val="10"/>
        <color rgb="FF000000"/>
        <rFont val="Times New Roman"/>
        <family val="1"/>
      </rPr>
      <t xml:space="preserve">PEFA female, 3 chicks, RG: 0 cm, mem.card+ batt changed. Visit 4 -20D-7 quails. </t>
    </r>
    <r>
      <rPr>
        <b/>
        <sz val="10"/>
        <color rgb="FF000000"/>
        <rFont val="Times New Roman"/>
        <family val="1"/>
      </rPr>
      <t>August 5</t>
    </r>
    <r>
      <rPr>
        <sz val="10"/>
        <color rgb="FF000000"/>
        <rFont val="Times New Roman"/>
        <family val="1"/>
      </rPr>
      <t xml:space="preserve"> Blue chick freshly dead. Heavy rain previous night. No contusions on body, and far from scrape. Could not locate green nestling. Changed MC and Batt, took blood on Red. Red: wt=806 T=51 HB=67 Cul=23.5 TC=18 Crop=1/3 band=194719214 sex=female </t>
    </r>
    <r>
      <rPr>
        <b/>
        <sz val="10"/>
        <color rgb="FF000000"/>
        <rFont val="Times New Roman"/>
        <family val="1"/>
      </rPr>
      <t>August 7</t>
    </r>
    <r>
      <rPr>
        <sz val="10"/>
        <color rgb="FF000000"/>
        <rFont val="Times New Roman"/>
        <family val="1"/>
      </rPr>
      <t xml:space="preserve"> :  1 PEFA, 1 chick, dropped 3 quails (rainy day) </t>
    </r>
    <r>
      <rPr>
        <b/>
        <sz val="10"/>
        <color rgb="FF000000"/>
        <rFont val="Times New Roman"/>
        <family val="1"/>
      </rPr>
      <t>August 10</t>
    </r>
    <r>
      <rPr>
        <sz val="10"/>
        <color rgb="FF000000"/>
        <rFont val="Times New Roman"/>
        <family val="1"/>
      </rPr>
      <t xml:space="preserve"> 30 day check. One nestling (red) Red: wt=870 T=54 HB=67.5 Cul=27 TC=19 crop=1/4</t>
    </r>
  </si>
  <si>
    <r>
      <t xml:space="preserve">May 17: </t>
    </r>
    <r>
      <rPr>
        <sz val="10"/>
        <color rgb="FF000000"/>
        <rFont val="Times New Roman"/>
        <family val="1"/>
      </rPr>
      <t xml:space="preserve">Empty. </t>
    </r>
    <r>
      <rPr>
        <b/>
        <sz val="10"/>
        <color rgb="FF000000"/>
        <rFont val="Times New Roman"/>
        <family val="1"/>
      </rPr>
      <t xml:space="preserve">May 30: </t>
    </r>
    <r>
      <rPr>
        <sz val="10"/>
        <color rgb="FF000000"/>
        <rFont val="Times New Roman"/>
        <family val="1"/>
      </rPr>
      <t xml:space="preserve">PEFA pair. Male unbanded and female seems banded. </t>
    </r>
    <r>
      <rPr>
        <b/>
        <sz val="10"/>
        <color rgb="FF000000"/>
        <rFont val="Times New Roman"/>
        <family val="1"/>
      </rPr>
      <t xml:space="preserve">June 10: </t>
    </r>
    <r>
      <rPr>
        <sz val="10"/>
        <color rgb="FF000000"/>
        <rFont val="Times New Roman"/>
        <family val="1"/>
      </rPr>
      <t xml:space="preserve">PEFA pair. Female banded. 3rd PEFA showed up. 4 Eggs. Cam + RG + Ibutton deployed at 4:30 PM. Wpt 79 2014. </t>
    </r>
    <r>
      <rPr>
        <b/>
        <sz val="10"/>
        <color rgb="FF000000"/>
        <rFont val="Times New Roman"/>
        <family val="1"/>
      </rPr>
      <t xml:space="preserve">June 13: </t>
    </r>
    <r>
      <rPr>
        <sz val="10"/>
        <color rgb="FF000000"/>
        <rFont val="Times New Roman"/>
        <family val="1"/>
      </rPr>
      <t xml:space="preserve">Pefa pair. 4 eggs. RG = 0. Didn't change  mem card and batt. Trapping over eggs. Female caught. </t>
    </r>
    <r>
      <rPr>
        <b/>
        <sz val="10"/>
        <color rgb="FF000000"/>
        <rFont val="Times New Roman"/>
        <family val="1"/>
      </rPr>
      <t xml:space="preserve">June 21: </t>
    </r>
    <r>
      <rPr>
        <sz val="10"/>
        <color rgb="FF000000"/>
        <rFont val="Times New Roman"/>
        <family val="1"/>
      </rPr>
      <t xml:space="preserve">2 PEFA + 4 eggs. Changed batt + mem card. </t>
    </r>
    <r>
      <rPr>
        <b/>
        <sz val="10"/>
        <color rgb="FF000000"/>
        <rFont val="Times New Roman"/>
        <family val="1"/>
      </rPr>
      <t xml:space="preserve">June 30: </t>
    </r>
    <r>
      <rPr>
        <sz val="10"/>
        <color rgb="FF000000"/>
        <rFont val="Times New Roman"/>
        <family val="1"/>
      </rPr>
      <t>PEFA pair, 4 eggs, RG: 0mm, mem. card+batteries changed.</t>
    </r>
    <r>
      <rPr>
        <b/>
        <sz val="10"/>
        <color rgb="FF000000"/>
        <rFont val="Times New Roman"/>
        <family val="1"/>
      </rPr>
      <t xml:space="preserve">June 9: </t>
    </r>
    <r>
      <rPr>
        <sz val="10"/>
        <color rgb="FF000000"/>
        <rFont val="Times New Roman"/>
        <family val="1"/>
      </rPr>
      <t xml:space="preserve"> PEFA pair, 4 eggs, R.G :0cm, mem. card+ batt changed. 1 egg cracked (will hatch soo). </t>
    </r>
    <r>
      <rPr>
        <b/>
        <sz val="10"/>
        <color rgb="FF000000"/>
        <rFont val="Times New Roman"/>
        <family val="1"/>
      </rPr>
      <t xml:space="preserve">July 14: </t>
    </r>
    <r>
      <rPr>
        <sz val="10"/>
        <color rgb="FF000000"/>
        <rFont val="Times New Roman"/>
        <family val="1"/>
      </rPr>
      <t xml:space="preserve">  PEFA pair, 3 chicks, 1 egg. R.G: 0,2 cm. Mem.card+ batt changed. </t>
    </r>
    <r>
      <rPr>
        <b/>
        <sz val="10"/>
        <color rgb="FF000000"/>
        <rFont val="Times New Roman"/>
        <family val="1"/>
      </rPr>
      <t xml:space="preserve">July 16: </t>
    </r>
    <r>
      <rPr>
        <sz val="10"/>
        <color rgb="FF000000"/>
        <rFont val="Times New Roman"/>
        <family val="1"/>
      </rPr>
      <t xml:space="preserve"> PEFA pair, 3 chicks, 1 unhatched, RG: 0 cm. Visit 1-5D-4 quails given.</t>
    </r>
    <r>
      <rPr>
        <b/>
        <sz val="10"/>
        <color rgb="FF000000"/>
        <rFont val="Times New Roman"/>
        <family val="1"/>
      </rPr>
      <t xml:space="preserve">July 21: </t>
    </r>
    <r>
      <rPr>
        <sz val="10"/>
        <color rgb="FF000000"/>
        <rFont val="Times New Roman"/>
        <family val="1"/>
      </rPr>
      <t xml:space="preserve"> PEFA pair, 3 chicks, 1 unhatched egg, RG: &lt; 0,2 cm. Mem. card+batt. changed. Visit 2-10D-5 quails.</t>
    </r>
    <r>
      <rPr>
        <b/>
        <sz val="10"/>
        <color rgb="FF000000"/>
        <rFont val="Times New Roman"/>
        <family val="1"/>
      </rPr>
      <t xml:space="preserve">July 26: </t>
    </r>
    <r>
      <rPr>
        <sz val="10"/>
        <color rgb="FF000000"/>
        <rFont val="Times New Roman"/>
        <family val="1"/>
      </rPr>
      <t>Pefa pair. rg = 0. 3 chicks + 1 yolky egg. Blue: T = 45, C = 23, HB = 61, TC = 16.5, Crop = 1/8, Rec = 4. Green: T = 38.5, C = 20.5, HB = 55, TC = 15, Crop = empty, Rec = empty. Red: T = 37.5, C = 19, HB = 53.5, TC = 13, Crop = empty. Rec = &lt; 1.5. Mem card filled on july 24 at 7:13 AM.  Dropped 6 quails. Deployed sticky trap. Blood on blue and green.</t>
    </r>
    <r>
      <rPr>
        <b/>
        <sz val="10"/>
        <color rgb="FF000000"/>
        <rFont val="Times New Roman"/>
        <family val="1"/>
      </rPr>
      <t xml:space="preserve"> July 31: </t>
    </r>
    <r>
      <rPr>
        <sz val="10"/>
        <color rgb="FF000000"/>
        <rFont val="Times New Roman"/>
        <family val="1"/>
      </rPr>
      <t xml:space="preserve"> PEFA pair, 3 chicks, 1 egg, RG: 0 cm, mem. card+ batt changed. Visit 4-20D-7 quails. Female have sticky trap on a wing. New sticky trap deployed. </t>
    </r>
    <r>
      <rPr>
        <b/>
        <sz val="10"/>
        <color rgb="FF000000"/>
        <rFont val="Times New Roman"/>
        <family val="1"/>
      </rPr>
      <t>August 5</t>
    </r>
    <r>
      <rPr>
        <sz val="10"/>
        <color rgb="FF000000"/>
        <rFont val="Times New Roman"/>
        <family val="1"/>
      </rPr>
      <t xml:space="preserve"> 1 adult. RG=0. Did not change MC + Batt, but moved camera to get better coverage of scrape. Took blood on all chicks. Blue: wt=849 T=56 HB=69 Cul=27 TC=20 Crop=0 Band=194719215 sex=female. Green: wt=474 T=50.5 HB=62 Cul=25 TC=18 Crop=0 Band=220612992 sex=male Red: wt=579 T=47.5 HB=62 Cul=25.5 TC=17 Crop=1/3 Band=220612991 </t>
    </r>
    <r>
      <rPr>
        <b/>
        <sz val="10"/>
        <color rgb="FF000000"/>
        <rFont val="Times New Roman"/>
        <family val="1"/>
      </rPr>
      <t>August 7</t>
    </r>
    <r>
      <rPr>
        <sz val="10"/>
        <color rgb="FF000000"/>
        <rFont val="Times New Roman"/>
        <family val="1"/>
      </rPr>
      <t xml:space="preserve"> :  1 PEFA, 2 chicks,1 dead(green) dropped 6 quails (rainy day) </t>
    </r>
    <r>
      <rPr>
        <b/>
        <sz val="10"/>
        <color rgb="FF000000"/>
        <rFont val="Times New Roman"/>
        <family val="1"/>
      </rPr>
      <t>August 10</t>
    </r>
    <r>
      <rPr>
        <sz val="10"/>
        <color rgb="FF000000"/>
        <rFont val="Times New Roman"/>
        <family val="1"/>
      </rPr>
      <t xml:space="preserve"> female adult present. 2 nestlings. RG= 160 mm. Removed camera. Blue: WT=942 T=55 HB=67 Cul=28 TC=21 crop=1/4. Red: WT=614 T=47 HB=63 Cul=22 TC=17 Crop=empty.</t>
    </r>
  </si>
  <si>
    <r>
      <t xml:space="preserve">June 10: </t>
    </r>
    <r>
      <rPr>
        <sz val="10"/>
        <color rgb="FF000000"/>
        <rFont val="Times New Roman"/>
        <family val="1"/>
      </rPr>
      <t xml:space="preserve"> RLHA pair. 5 eggs. Nest on the ground. Wpt: 112 2014. </t>
    </r>
    <r>
      <rPr>
        <b/>
        <sz val="10"/>
        <color rgb="FF000000"/>
        <rFont val="Times New Roman"/>
        <family val="1"/>
      </rPr>
      <t>August 10</t>
    </r>
    <r>
      <rPr>
        <sz val="10"/>
        <color rgb="FF000000"/>
        <rFont val="Times New Roman"/>
        <family val="1"/>
      </rPr>
      <t xml:space="preserve"> 5 young: 1 (female): wt=1051 T=78.5 band=185714515. 2 (male) wt=814 T=71 band=194719223 3 (female): wt=1095 T=74 band=185714514. 4 (male) wt=861 T=69 band=194719224 5 (male) wt=905 T=71 band=194719225</t>
    </r>
  </si>
  <si>
    <t>See notes, too many young</t>
  </si>
  <si>
    <r>
      <t xml:space="preserve">June 8: </t>
    </r>
    <r>
      <rPr>
        <sz val="10"/>
        <color rgb="FF000000"/>
        <rFont val="Times New Roman"/>
        <family val="1"/>
      </rPr>
      <t xml:space="preserve"> PEFA. 2 adults. Female is unbanded. Male is banded. Deployed Reconyx + RG + Ibutton. 2 eggs. </t>
    </r>
    <r>
      <rPr>
        <b/>
        <sz val="10"/>
        <color rgb="FF000000"/>
        <rFont val="Times New Roman"/>
        <family val="1"/>
      </rPr>
      <t xml:space="preserve">June 9: </t>
    </r>
    <r>
      <rPr>
        <sz val="10"/>
        <color rgb="FF000000"/>
        <rFont val="Times New Roman"/>
        <family val="1"/>
      </rPr>
      <t xml:space="preserve">3rd egg first seen at 2014-06-09 10:53:41 PM M 2/3. </t>
    </r>
    <r>
      <rPr>
        <b/>
        <sz val="10"/>
        <color rgb="FF000000"/>
        <rFont val="Times New Roman"/>
        <family val="1"/>
      </rPr>
      <t xml:space="preserve">June 12: </t>
    </r>
    <r>
      <rPr>
        <sz val="10"/>
        <color rgb="FF000000"/>
        <rFont val="Times New Roman"/>
        <family val="1"/>
      </rPr>
      <t xml:space="preserve">Cam stopped at 4:22 AM so we missed the laying date of the 4th egg (that we estimate to occur on June 12). </t>
    </r>
    <r>
      <rPr>
        <b/>
        <sz val="10"/>
        <color rgb="FF000000"/>
        <rFont val="Times New Roman"/>
        <family val="1"/>
      </rPr>
      <t xml:space="preserve">Jun 18: </t>
    </r>
    <r>
      <rPr>
        <sz val="10"/>
        <color rgb="FF000000"/>
        <rFont val="Times New Roman"/>
        <family val="1"/>
      </rPr>
      <t>PEFA pair. 4 eggs. Change batt + mem card.</t>
    </r>
    <r>
      <rPr>
        <b/>
        <sz val="10"/>
        <color rgb="FF000000"/>
        <rFont val="Times New Roman"/>
        <family val="1"/>
      </rPr>
      <t xml:space="preserve"> June 29 : </t>
    </r>
    <r>
      <rPr>
        <sz val="10"/>
        <color rgb="FF000000"/>
        <rFont val="Times New Roman"/>
        <family val="1"/>
      </rPr>
      <t xml:space="preserve"> PEFA pair, 4 eggs, RG:&lt; 5mm, camera took off to place at site </t>
    </r>
    <r>
      <rPr>
        <b/>
        <sz val="10"/>
        <color rgb="FF000000"/>
        <rFont val="Times New Roman"/>
        <family val="1"/>
      </rPr>
      <t xml:space="preserve">95. July 10: </t>
    </r>
    <r>
      <rPr>
        <sz val="10"/>
        <color rgb="FF000000"/>
        <rFont val="Times New Roman"/>
        <family val="1"/>
      </rPr>
      <t xml:space="preserve"> PEFA pair, 4 eggs, R.G: 0, cam deployed at 20:50 </t>
    </r>
    <r>
      <rPr>
        <b/>
        <sz val="10"/>
        <color rgb="FF000000"/>
        <rFont val="Times New Roman"/>
        <family val="1"/>
      </rPr>
      <t xml:space="preserve">July 12: </t>
    </r>
    <r>
      <rPr>
        <sz val="10"/>
        <color rgb="FF000000"/>
        <rFont val="Times New Roman"/>
        <family val="1"/>
      </rPr>
      <t xml:space="preserve"> 2 eggs, 2 chicks, 1 songbird remains in the nest. </t>
    </r>
    <r>
      <rPr>
        <b/>
        <sz val="10"/>
        <color rgb="FF000000"/>
        <rFont val="Times New Roman"/>
        <family val="1"/>
      </rPr>
      <t xml:space="preserve"> July 16 </t>
    </r>
    <r>
      <rPr>
        <sz val="10"/>
        <color rgb="FF000000"/>
        <rFont val="Times New Roman"/>
        <family val="1"/>
      </rPr>
      <t xml:space="preserve">: PEFA pair, 4 chicks, RG: 0 cm. mem.card +batt changed. Visit 1-5D-control. </t>
    </r>
    <r>
      <rPr>
        <b/>
        <sz val="10"/>
        <color rgb="FF000000"/>
        <rFont val="Times New Roman"/>
        <family val="1"/>
      </rPr>
      <t>July 21:</t>
    </r>
    <r>
      <rPr>
        <sz val="10"/>
        <color rgb="FF000000"/>
        <rFont val="Times New Roman"/>
        <family val="1"/>
      </rPr>
      <t xml:space="preserve"> PEFA female, 4 chicks, RG: NA, mem. card+ batt changed. Visit 2 -10D- 5 quails</t>
    </r>
    <r>
      <rPr>
        <b/>
        <sz val="10"/>
        <color rgb="FF000000"/>
        <rFont val="Times New Roman"/>
        <family val="1"/>
      </rPr>
      <t xml:space="preserve"> July 26: </t>
    </r>
    <r>
      <rPr>
        <sz val="10"/>
        <color rgb="FF000000"/>
        <rFont val="Times New Roman"/>
        <family val="1"/>
      </rPr>
      <t>PEFa female. RG = 0. 4 chicks. Blood taken on blue-green-red. Changed batt + mem. Sticky trap set. Mem card filled on july 24 at 11:41 PM. Blue: T = 41.5, C = 21, TC = 15.5, HB = 55, Rec = 3. Green: T = 40, C = 20, TC = 15, Rec = 2.5. Red: T = 36, C = 20, TC = 14.5, HB = 54, Rec = 1.5. Pink: T = 25.5, C = 18, TC = 12, HB = 46.5, rec = 0. All empty crop.</t>
    </r>
    <r>
      <rPr>
        <b/>
        <sz val="10"/>
        <color rgb="FF000000"/>
        <rFont val="Times New Roman"/>
        <family val="1"/>
      </rPr>
      <t xml:space="preserve"> July 31: </t>
    </r>
    <r>
      <rPr>
        <sz val="10"/>
        <color rgb="FF000000"/>
        <rFont val="Times New Roman"/>
        <family val="1"/>
      </rPr>
      <t xml:space="preserve"> Pefa pair, 4 chicks, RG: 0 cm. Mem. card+batt changed. Visit 4-20D-control </t>
    </r>
    <r>
      <rPr>
        <b/>
        <sz val="10"/>
        <color rgb="FF000000"/>
        <rFont val="Times New Roman"/>
        <family val="1"/>
      </rPr>
      <t>August 5</t>
    </r>
    <r>
      <rPr>
        <sz val="10"/>
        <color rgb="FF000000"/>
        <rFont val="Times New Roman"/>
        <family val="1"/>
      </rPr>
      <t xml:space="preserve"> 2 adults. did not change MC or Batt. RG=0 blood on Blue Green and Red, but White was too small. Blue: wt=559 T=48.5 HB=61 Cul=23.5 TC=17 Crop=0 band=220612989 sex=male Green: wt=570 T=49.5 HB=61.5 Cul=22.5 TC=17 Crop=0 band=220612990 sex=male. Red: WT=574 T=47.5 HB=51.5 Cul=23 TC=17 Crop=1/5 Band=220612988 sex=male. White: Wt=350 T=41 HB=58 Cul=22 TC=15 Crop=0.</t>
    </r>
    <r>
      <rPr>
        <b/>
        <sz val="10"/>
        <color rgb="FF000000"/>
        <rFont val="Times New Roman"/>
        <family val="1"/>
      </rPr>
      <t xml:space="preserve"> August 10</t>
    </r>
    <r>
      <rPr>
        <sz val="10"/>
        <color rgb="FF000000"/>
        <rFont val="Times New Roman"/>
        <family val="1"/>
      </rPr>
      <t xml:space="preserve"> 3 nestlings. 1 adult present. removed RG and ibutton. Blue: WT:659 T=48 HB=63 Cul=23 TC=18 Crop=2/3 Green: WT=642 T=46 HB=63.5 Cul=23 TC=18.5 crop=full Red WT=648 T=44 HB=64 Cul=23.5 TC=18 Crop=2/3</t>
    </r>
  </si>
  <si>
    <t>See Notes</t>
  </si>
  <si>
    <t>unk-m</t>
  </si>
  <si>
    <r>
      <t xml:space="preserve">21 may: </t>
    </r>
    <r>
      <rPr>
        <sz val="10"/>
        <color rgb="FF000000"/>
        <rFont val="Times New Roman"/>
        <family val="1"/>
      </rPr>
      <t xml:space="preserve"> PEFA pair. Female caught over trap. </t>
    </r>
    <r>
      <rPr>
        <b/>
        <sz val="10"/>
        <color rgb="FF000000"/>
        <rFont val="Times New Roman"/>
        <family val="1"/>
      </rPr>
      <t xml:space="preserve">May 28: </t>
    </r>
    <r>
      <rPr>
        <sz val="10"/>
        <color rgb="FF000000"/>
        <rFont val="Times New Roman"/>
        <family val="1"/>
      </rPr>
      <t xml:space="preserve"> PEFA pair. </t>
    </r>
    <r>
      <rPr>
        <b/>
        <sz val="10"/>
        <color rgb="FF000000"/>
        <rFont val="Times New Roman"/>
        <family val="1"/>
      </rPr>
      <t xml:space="preserve">June 6: </t>
    </r>
    <r>
      <rPr>
        <sz val="10"/>
        <color rgb="FF000000"/>
        <rFont val="Times New Roman"/>
        <family val="1"/>
      </rPr>
      <t xml:space="preserve"> PEFA pair. Both sitting on top of the cliff. Scrape found. 2 eggs. Deployed RG. Will need Ibutton and look for band. Probably no place for camera. </t>
    </r>
    <r>
      <rPr>
        <b/>
        <sz val="10"/>
        <color rgb="FF000000"/>
        <rFont val="Times New Roman"/>
        <family val="1"/>
      </rPr>
      <t xml:space="preserve">June 16: </t>
    </r>
    <r>
      <rPr>
        <sz val="10"/>
        <color rgb="FF000000"/>
        <rFont val="Times New Roman"/>
        <family val="1"/>
      </rPr>
      <t xml:space="preserve">PEFA pair. Male is banded (15C) from canon. Female is too far. 4 eggs. Deployed Ibutton at 1:30 PM. WPT 31 2014. </t>
    </r>
    <r>
      <rPr>
        <b/>
        <sz val="10"/>
        <color rgb="FF000000"/>
        <rFont val="Times New Roman"/>
        <family val="1"/>
      </rPr>
      <t>June 26</t>
    </r>
    <r>
      <rPr>
        <sz val="10"/>
        <color rgb="FF000000"/>
        <rFont val="Times New Roman"/>
        <family val="1"/>
      </rPr>
      <t xml:space="preserve">: PEFA pair, 3 eggs, Mem.card+batteries changed RG: 0mm </t>
    </r>
    <r>
      <rPr>
        <b/>
        <sz val="10"/>
        <color rgb="FF000000"/>
        <rFont val="Times New Roman"/>
        <family val="1"/>
      </rPr>
      <t xml:space="preserve"> July 9: </t>
    </r>
    <r>
      <rPr>
        <sz val="10"/>
        <color rgb="FF000000"/>
        <rFont val="Times New Roman"/>
        <family val="1"/>
      </rPr>
      <t xml:space="preserve"> PEFA pair, 3 eggs, RG: 0mm (will probably hatch soon). </t>
    </r>
    <r>
      <rPr>
        <b/>
        <sz val="10"/>
        <color rgb="FF000000"/>
        <rFont val="Times New Roman"/>
        <family val="1"/>
      </rPr>
      <t xml:space="preserve">July 21: </t>
    </r>
    <r>
      <rPr>
        <sz val="10"/>
        <color rgb="FF000000"/>
        <rFont val="Times New Roman"/>
        <family val="1"/>
      </rPr>
      <t xml:space="preserve">PEFA female. RG = 9. 2 chicks + 1 egg not piping. Female banded and has blue band. Blue: C = 17.5, HB = 43, T = 31.5, crop = empty. Green: C = 17, HB = 43, tarsus = 31, crop = empty. </t>
    </r>
    <r>
      <rPr>
        <b/>
        <sz val="10"/>
        <color rgb="FF000000"/>
        <rFont val="Times New Roman"/>
        <family val="1"/>
      </rPr>
      <t xml:space="preserve">July 28: </t>
    </r>
    <r>
      <rPr>
        <sz val="10"/>
        <color rgb="FF000000"/>
        <rFont val="Times New Roman"/>
        <family val="1"/>
      </rPr>
      <t xml:space="preserve">RG =0. Pefa female. 2 chicks. Green: C = 20, TC = 14, HB = 52, T = 39, Rec = 1.5, crop = 0. Blue: C = 20, TC = 13.5, HB = 54, T = 37.5, Rec = 2,0. Crop = 0. </t>
    </r>
    <r>
      <rPr>
        <b/>
        <sz val="10"/>
        <color rgb="FF000000"/>
        <rFont val="Times New Roman"/>
        <family val="1"/>
      </rPr>
      <t xml:space="preserve"> August 11: </t>
    </r>
    <r>
      <rPr>
        <sz val="10"/>
        <color rgb="FF000000"/>
        <rFont val="Times New Roman"/>
        <family val="1"/>
      </rPr>
      <t>1 chick, no PEFA, RG: 1,6 cm. I button removed at 10:47. Blue: WT=388</t>
    </r>
  </si>
  <si>
    <t>unk-unk</t>
  </si>
  <si>
    <r>
      <t xml:space="preserve">May 24: </t>
    </r>
    <r>
      <rPr>
        <sz val="10"/>
        <color rgb="FF000000"/>
        <rFont val="Times New Roman"/>
        <family val="1"/>
      </rPr>
      <t>Female</t>
    </r>
    <r>
      <rPr>
        <b/>
        <sz val="10"/>
        <color rgb="FF000000"/>
        <rFont val="Times New Roman"/>
        <family val="1"/>
      </rPr>
      <t>:</t>
    </r>
    <r>
      <rPr>
        <sz val="10"/>
        <color rgb="FF000000"/>
        <rFont val="Times New Roman"/>
        <family val="1"/>
      </rPr>
      <t xml:space="preserve"> Blue band on right leg. Only silver band on left leg. Both deck feather broken. Went by foot to deployd pigeon. Female and male took off. Female came back to cliff-&gt; pigeon deployed-&gt; female came to pigeon. Took off. Landed close. Came back. Got caught. </t>
    </r>
    <r>
      <rPr>
        <b/>
        <sz val="10"/>
        <color rgb="FF000000"/>
        <rFont val="Times New Roman"/>
        <family val="1"/>
      </rPr>
      <t>June 9:</t>
    </r>
    <r>
      <rPr>
        <sz val="10"/>
        <color rgb="FF000000"/>
        <rFont val="Times New Roman"/>
        <family val="1"/>
      </rPr>
      <t xml:space="preserve"> Found probable scrape. No eggs. 1 adult. Deployed RG + Ibutton + Reconyx. </t>
    </r>
    <r>
      <rPr>
        <b/>
        <sz val="10"/>
        <color rgb="FF000000"/>
        <rFont val="Times New Roman"/>
        <family val="1"/>
      </rPr>
      <t xml:space="preserve">June 14: </t>
    </r>
    <r>
      <rPr>
        <sz val="10"/>
        <color rgb="FF000000"/>
        <rFont val="Times New Roman"/>
        <family val="1"/>
      </rPr>
      <t xml:space="preserve">PEFA pair. Scrape found in a different spot. 3 eggs. Move Cam + RG + Ibutton at 4:15 PM. Didn't change Batt + Mem card because 1% full and 87% batt. </t>
    </r>
    <r>
      <rPr>
        <b/>
        <sz val="10"/>
        <color rgb="FF000000"/>
        <rFont val="Times New Roman"/>
        <family val="1"/>
      </rPr>
      <t xml:space="preserve">June 23: </t>
    </r>
    <r>
      <rPr>
        <sz val="10"/>
        <color rgb="FF000000"/>
        <rFont val="Times New Roman"/>
        <family val="1"/>
      </rPr>
      <t xml:space="preserve">PEFA individual (female). 3 eggs like when the nest was discovered so leave cam until hatching. RG = 0. Changed batt + 8 gb. New mem card is taking pictures 1 of 1. Wpt 72 2014. </t>
    </r>
    <r>
      <rPr>
        <b/>
        <sz val="10"/>
        <color rgb="FF000000"/>
        <rFont val="Times New Roman"/>
        <family val="1"/>
      </rPr>
      <t xml:space="preserve">July 15: </t>
    </r>
    <r>
      <rPr>
        <sz val="10"/>
        <color rgb="FF000000"/>
        <rFont val="Times New Roman"/>
        <family val="1"/>
      </rPr>
      <t>PEFA pair, 3 eggs, RG: 0,2 cm. Mem.card +batt changed. 2 eggs piping.</t>
    </r>
    <r>
      <rPr>
        <b/>
        <sz val="10"/>
        <color rgb="FF000000"/>
        <rFont val="Times New Roman"/>
        <family val="1"/>
      </rPr>
      <t xml:space="preserve"> July 20: </t>
    </r>
    <r>
      <rPr>
        <sz val="10"/>
        <color rgb="FF000000"/>
        <rFont val="Times New Roman"/>
        <family val="1"/>
      </rPr>
      <t xml:space="preserve">PEFA female. 3 chicks. RG = 0.2 cm. Mem card + batt changed. All empty crop. Blue: T = 22.5, C = 15.5, HB = 37.5. Green: T = 21, C = 13.5, HB = 36. Red: T = 19, C = 13, HB = 34.5 </t>
    </r>
    <r>
      <rPr>
        <b/>
        <sz val="10"/>
        <color rgb="FF000000"/>
        <rFont val="Times New Roman"/>
        <family val="1"/>
      </rPr>
      <t>July 30</t>
    </r>
    <r>
      <rPr>
        <sz val="10"/>
        <color rgb="FF000000"/>
        <rFont val="Times New Roman"/>
        <family val="1"/>
      </rPr>
      <t xml:space="preserve"> 1 adult. RG=0 Changed MC and batt. took blood on Green.  Blue: wt=197 T=33.5 HB=50 CUl=20 TC=14 Ret=0 Crop=0. Green wt=285 T=34 HB=50.5 Cul=18.5 TC=13.5 Ret=0 Crop=0. </t>
    </r>
    <r>
      <rPr>
        <b/>
        <sz val="10"/>
        <color rgb="FF000000"/>
        <rFont val="Times New Roman"/>
        <family val="1"/>
      </rPr>
      <t>August 4</t>
    </r>
    <r>
      <rPr>
        <sz val="10"/>
        <color rgb="FF000000"/>
        <rFont val="Times New Roman"/>
        <family val="1"/>
      </rPr>
      <t xml:space="preserve"> 1 adult present. Batteries not changed (still 78% remaining). Changed memory card. 1 nestling. Green: WT=353 T=38.5 HB=53.5 Cul=19 TC=14.5 Crop=0 Ret=3mm. </t>
    </r>
    <r>
      <rPr>
        <b/>
        <sz val="10"/>
        <color rgb="FF000000"/>
        <rFont val="Times New Roman"/>
        <family val="1"/>
      </rPr>
      <t>August 11</t>
    </r>
    <r>
      <rPr>
        <sz val="10"/>
        <color rgb="FF000000"/>
        <rFont val="Times New Roman"/>
        <family val="1"/>
      </rPr>
      <t xml:space="preserve"> RG=100mm. one nestlings (green). Banded young, and took blood. Green: WT+446 T=44 HB=59 Cul=20.5 TC=15.5 crop=0 sex=male</t>
    </r>
  </si>
  <si>
    <r>
      <t xml:space="preserve">May 17: </t>
    </r>
    <r>
      <rPr>
        <sz val="10"/>
        <color rgb="FF000000"/>
        <rFont val="Times New Roman"/>
        <family val="1"/>
      </rPr>
      <t xml:space="preserve">Empty </t>
    </r>
    <r>
      <rPr>
        <b/>
        <sz val="10"/>
        <color rgb="FF000000"/>
        <rFont val="Times New Roman"/>
        <family val="1"/>
      </rPr>
      <t xml:space="preserve">May 21 </t>
    </r>
    <r>
      <rPr>
        <sz val="10"/>
        <color rgb="FF000000"/>
        <rFont val="Times New Roman"/>
        <family val="1"/>
      </rPr>
      <t xml:space="preserve">: Empty </t>
    </r>
    <r>
      <rPr>
        <b/>
        <sz val="10"/>
        <color rgb="FF000000"/>
        <rFont val="Times New Roman"/>
        <family val="1"/>
      </rPr>
      <t>May 22:</t>
    </r>
    <r>
      <rPr>
        <sz val="10"/>
        <color rgb="FF000000"/>
        <rFont val="Times New Roman"/>
        <family val="1"/>
      </rPr>
      <t xml:space="preserve"> PEFA pair. Unsuccessfull trapping. </t>
    </r>
    <r>
      <rPr>
        <b/>
        <sz val="10"/>
        <color rgb="FF000000"/>
        <rFont val="Times New Roman"/>
        <family val="1"/>
      </rPr>
      <t xml:space="preserve">May 24: </t>
    </r>
    <r>
      <rPr>
        <sz val="10"/>
        <color rgb="FF000000"/>
        <rFont val="Times New Roman"/>
        <family val="1"/>
      </rPr>
      <t xml:space="preserve">PEFA pair. 3rd falcon showed up. Unsuccessful trapping. </t>
    </r>
    <r>
      <rPr>
        <b/>
        <sz val="10"/>
        <color rgb="FF000000"/>
        <rFont val="Times New Roman"/>
        <family val="1"/>
      </rPr>
      <t>June 9:</t>
    </r>
    <r>
      <rPr>
        <sz val="10"/>
        <color rgb="FF000000"/>
        <rFont val="Times New Roman"/>
        <family val="1"/>
      </rPr>
      <t xml:space="preserve">  3 eggs. 2 PEFA. Male unbanded. Female 05B (vv). Deployed RG + Ibutton at 13:43. </t>
    </r>
    <r>
      <rPr>
        <b/>
        <sz val="10"/>
        <color rgb="FF000000"/>
        <rFont val="Times New Roman"/>
        <family val="1"/>
      </rPr>
      <t xml:space="preserve">June 14 : </t>
    </r>
    <r>
      <rPr>
        <sz val="10"/>
        <color rgb="FF000000"/>
        <rFont val="Times New Roman"/>
        <family val="1"/>
      </rPr>
      <t xml:space="preserve">Pefa pair, 4 eggs, memory card+battery changed (must check setting to set camera to take 3 picture at the time.RG: 0 mm. </t>
    </r>
    <r>
      <rPr>
        <b/>
        <sz val="10"/>
        <color rgb="FF000000"/>
        <rFont val="Times New Roman"/>
        <family val="1"/>
      </rPr>
      <t xml:space="preserve">July 15: </t>
    </r>
    <r>
      <rPr>
        <sz val="10"/>
        <color rgb="FF000000"/>
        <rFont val="Times New Roman"/>
        <family val="1"/>
      </rPr>
      <t xml:space="preserve"> PEFA pair, 4 chicks, RG: 0,6cm. Visit #1 (5D)-Control. Changed batt.+ mem. card.</t>
    </r>
    <r>
      <rPr>
        <b/>
        <sz val="10"/>
        <color rgb="FF000000"/>
        <rFont val="Times New Roman"/>
        <family val="1"/>
      </rPr>
      <t xml:space="preserve">July 20: </t>
    </r>
    <r>
      <rPr>
        <sz val="10"/>
        <color rgb="FF000000"/>
        <rFont val="Times New Roman"/>
        <family val="1"/>
      </rPr>
      <t>PEFA female. 4 chicks. RG &lt; 0.2 cm. mem card + batt changed. Visit #2. Blue:</t>
    </r>
    <r>
      <rPr>
        <b/>
        <sz val="10"/>
        <color rgb="FF000000"/>
        <rFont val="Times New Roman"/>
        <family val="1"/>
      </rPr>
      <t xml:space="preserve"> </t>
    </r>
    <r>
      <rPr>
        <sz val="10"/>
        <color rgb="FF000000"/>
        <rFont val="Times New Roman"/>
        <family val="1"/>
      </rPr>
      <t xml:space="preserve">T = 36, C = 19, HB = 48.5. Green: T = 30.5, C = 16. HB = 41.5. Red: T = 34.5, C = 17, HB = 45. Pink: T = 24., C = 14, HB = 38.5. </t>
    </r>
    <r>
      <rPr>
        <b/>
        <sz val="10"/>
        <color rgb="FF000000"/>
        <rFont val="Times New Roman"/>
        <family val="1"/>
      </rPr>
      <t>July 25</t>
    </r>
    <r>
      <rPr>
        <sz val="10"/>
        <color rgb="FF000000"/>
        <rFont val="Times New Roman"/>
        <family val="1"/>
      </rPr>
      <t xml:space="preserve">: 1 Adult, 4 Chicks. Changed memory card + batt. Blood taken on Blue and Red BLUE wt=467 T=41 HB=56.1 Cul=21.1 TC=15.6 Ret=2.6 GREEN wt=190 T=34.1 HB=46.7 Cul=16.4 TC=11.2 Ret=0 RED wt=307 T=39.7 HB=50.1 Cul=19.2 TC=12.9 Ret=1.2 WHITE wt=94 T=26.1 HB=42.2 Cul=15.5 TC=11 Ret=0 </t>
    </r>
    <r>
      <rPr>
        <b/>
        <sz val="10"/>
        <color rgb="FF000000"/>
        <rFont val="Times New Roman"/>
        <family val="1"/>
      </rPr>
      <t>July 30</t>
    </r>
    <r>
      <rPr>
        <sz val="10"/>
        <color rgb="FF000000"/>
        <rFont val="Times New Roman"/>
        <family val="1"/>
      </rPr>
      <t xml:space="preserve"> 1 adult. Changed MC and Batt. 3 nestlings. Female was feeding young when we arrived.  Took a very small blood sample from green. Green's foot looks severely deformed. Blue: wt=678 T=48 HB=60 Cul=22.5 TC=17.5 Ret=9.5 Crop=full Green: wt=285 T=37.5 HB=51.5 Cul=19 TC=13 Ret=5 Crop=2/3. Red wt=478 T=44 HB=56 Cul=21.5</t>
    </r>
    <r>
      <rPr>
        <b/>
        <sz val="10"/>
        <color rgb="FF000000"/>
        <rFont val="Times New Roman"/>
        <family val="1"/>
      </rPr>
      <t>August 4</t>
    </r>
    <r>
      <rPr>
        <sz val="10"/>
        <color rgb="FF000000"/>
        <rFont val="Times New Roman"/>
        <family val="1"/>
      </rPr>
      <t xml:space="preserve"> 2 nestlings. No adults present. RG=0. Took down camera and rain gauge. took blood from and banded both nestlings.Blue: WT=773 T=52 HB=65.6 Cul=26.5 TC=18 Crop=0. Red: WT=544 T=48 HB=59 Cul=22.5 TC=15.5 Crop=2/3.</t>
    </r>
    <r>
      <rPr>
        <b/>
        <sz val="10"/>
        <color rgb="FF000000"/>
        <rFont val="Times New Roman"/>
        <family val="1"/>
      </rPr>
      <t xml:space="preserve"> August 11 </t>
    </r>
    <r>
      <rPr>
        <sz val="10"/>
        <color rgb="FF000000"/>
        <rFont val="Times New Roman"/>
        <family val="1"/>
      </rPr>
      <t xml:space="preserve">2 chicks. two adults present. Blue: WT=608 T=54.5 HB=66 TC=18.5 Cul=26 Crop=0. Red: WT=416 T=47 HB=61.5 TC=17 Cul=23 Crop=0 </t>
    </r>
  </si>
  <si>
    <r>
      <t xml:space="preserve">May 21 : </t>
    </r>
    <r>
      <rPr>
        <sz val="10"/>
        <color rgb="FF000000"/>
        <rFont val="Times New Roman"/>
        <family val="1"/>
      </rPr>
      <t>Empty</t>
    </r>
    <r>
      <rPr>
        <b/>
        <sz val="10"/>
        <color rgb="FF000000"/>
        <rFont val="Times New Roman"/>
        <family val="1"/>
      </rPr>
      <t xml:space="preserve"> May 22:</t>
    </r>
    <r>
      <rPr>
        <sz val="10"/>
        <color rgb="FF000000"/>
        <rFont val="Times New Roman"/>
        <family val="1"/>
      </rPr>
      <t xml:space="preserve"> 2 PEFA. More on east side of 65/ PEFA pair. Female: Blue band newly deployed+ Broken rectrice (1st on right). </t>
    </r>
    <r>
      <rPr>
        <b/>
        <sz val="10"/>
        <color rgb="FF000000"/>
        <rFont val="Times New Roman"/>
        <family val="1"/>
      </rPr>
      <t xml:space="preserve">June 8: </t>
    </r>
    <r>
      <rPr>
        <sz val="10"/>
        <color rgb="FF000000"/>
        <rFont val="Times New Roman"/>
        <family val="1"/>
      </rPr>
      <t xml:space="preserve">PEFA pair. Female is banded. Deployed cam + Ibutton + RG at 4:00 PM. 2 eggs. Didn't take wpt because it began to rain as we were at the nest. Note from reconyx: Camera angle does not allow to see the eggs very well. Can't tell when the 3rd egg was layed so we assumed 2nd egg was layed same day as the nest was discovered. </t>
    </r>
    <r>
      <rPr>
        <b/>
        <sz val="10"/>
        <color rgb="FF000000"/>
        <rFont val="Times New Roman"/>
        <family val="1"/>
      </rPr>
      <t xml:space="preserve">June 14: </t>
    </r>
    <r>
      <rPr>
        <sz val="10"/>
        <color rgb="FF000000"/>
        <rFont val="Times New Roman"/>
        <family val="1"/>
      </rPr>
      <t xml:space="preserve">2 PEFA. 3 eggs. RG = 0. Change batt + Mem card. Mem card stopped recording on June 10. </t>
    </r>
    <r>
      <rPr>
        <b/>
        <sz val="10"/>
        <color rgb="FF000000"/>
        <rFont val="Times New Roman"/>
        <family val="1"/>
      </rPr>
      <t xml:space="preserve">July 20: </t>
    </r>
    <r>
      <rPr>
        <sz val="10"/>
        <color rgb="FF000000"/>
        <rFont val="Times New Roman"/>
        <family val="1"/>
      </rPr>
      <t xml:space="preserve"> PEFA pair. 2 chicks. RG = 0.4 cm. mem card + batt changed. Replaced cam. Blue: T = 38, C = 19.5, HB = 49.5, Crop = Full. Green: T = 37, C = 19, HB = 46.5, Crop = full. </t>
    </r>
    <r>
      <rPr>
        <b/>
        <sz val="10"/>
        <color rgb="FF000000"/>
        <rFont val="Times New Roman"/>
        <family val="1"/>
      </rPr>
      <t>August 11</t>
    </r>
    <r>
      <rPr>
        <sz val="10"/>
        <color rgb="FF000000"/>
        <rFont val="Times New Roman"/>
        <family val="1"/>
      </rPr>
      <t xml:space="preserve"> ibutton removed. RG=190 mm. 2 nestlings. Blue: WT=620 T=52 crop=1/2 sex=female Green: WT=534 T=47 sex=male crop=0</t>
    </r>
  </si>
  <si>
    <r>
      <t xml:space="preserve">May 22: </t>
    </r>
    <r>
      <rPr>
        <sz val="10"/>
        <color rgb="FF000000"/>
        <rFont val="Times New Roman"/>
        <family val="1"/>
      </rPr>
      <t xml:space="preserve"> Empty. </t>
    </r>
    <r>
      <rPr>
        <b/>
        <sz val="10"/>
        <color rgb="FF000000"/>
        <rFont val="Times New Roman"/>
        <family val="1"/>
      </rPr>
      <t xml:space="preserve">May 24: </t>
    </r>
    <r>
      <rPr>
        <sz val="10"/>
        <color rgb="FF000000"/>
        <rFont val="Times New Roman"/>
        <family val="1"/>
      </rPr>
      <t xml:space="preserve">PEFA pair. Unsuccessful trapping. </t>
    </r>
    <r>
      <rPr>
        <b/>
        <sz val="10"/>
        <color rgb="FF000000"/>
        <rFont val="Times New Roman"/>
        <family val="1"/>
      </rPr>
      <t xml:space="preserve">June 8: </t>
    </r>
    <r>
      <rPr>
        <sz val="10"/>
        <color rgb="FF000000"/>
        <rFont val="Times New Roman"/>
        <family val="1"/>
      </rPr>
      <t xml:space="preserve">PEFA pair. One is banded (95% sure that it is the male). Scrape found. 4 eggs. Deployed RG + Ibutton at 3:00 PM. Wpt 80 2014. </t>
    </r>
    <r>
      <rPr>
        <b/>
        <sz val="10"/>
        <color rgb="FF000000"/>
        <rFont val="Times New Roman"/>
        <family val="1"/>
      </rPr>
      <t xml:space="preserve">June 14: </t>
    </r>
    <r>
      <rPr>
        <sz val="10"/>
        <color rgb="FF000000"/>
        <rFont val="Times New Roman"/>
        <family val="1"/>
      </rPr>
      <t xml:space="preserve">PEFA pair. 4 eggs. RG = 0. Female is unbanded. Male is banded but no GL. 3rd PEFa showed up (very dark bird). </t>
    </r>
    <r>
      <rPr>
        <b/>
        <sz val="10"/>
        <color rgb="FF000000"/>
        <rFont val="Times New Roman"/>
        <family val="1"/>
      </rPr>
      <t xml:space="preserve">July 22: </t>
    </r>
    <r>
      <rPr>
        <sz val="10"/>
        <color rgb="FF000000"/>
        <rFont val="Times New Roman"/>
        <family val="1"/>
      </rPr>
      <t xml:space="preserve">PEFA female. Unbanded. RG = 0. 4 chicks. No cam. Male showed up. Blue: C = 19.5, T = 37.5, HB = 52, TC = 13.5, Crop = empty. Green: C = 19.5, T = 37, HB = 51, TC = 13.5, Crop = 1/2. Red: C = 19.5, T = 36.5, HB  = 49, TC = 13.5, Crop = 1/4. Pink:  C = 18.5, T = 33.5, HB = 47.5, TC = 13, Crop = empty. </t>
    </r>
    <r>
      <rPr>
        <b/>
        <sz val="10"/>
        <color rgb="FF000000"/>
        <rFont val="Times New Roman"/>
        <family val="1"/>
      </rPr>
      <t>August 11</t>
    </r>
    <r>
      <rPr>
        <sz val="10"/>
        <color rgb="FF000000"/>
        <rFont val="Times New Roman"/>
        <family val="1"/>
      </rPr>
      <t xml:space="preserve"> 3 nestlings, plus one dead in nest. banded 1 out of the 3 nestlings; the other two were far down the cliff and hard to reach. Green: WT=481 T=47 crop=0 sex=male </t>
    </r>
  </si>
  <si>
    <r>
      <t>May 22:</t>
    </r>
    <r>
      <rPr>
        <sz val="10"/>
        <color rgb="FF000000"/>
        <rFont val="Times New Roman"/>
        <family val="1"/>
      </rPr>
      <t xml:space="preserve"> PEFA pair. </t>
    </r>
    <r>
      <rPr>
        <b/>
        <sz val="10"/>
        <color rgb="FF000000"/>
        <rFont val="Times New Roman"/>
        <family val="1"/>
      </rPr>
      <t xml:space="preserve">June 8: </t>
    </r>
    <r>
      <rPr>
        <sz val="10"/>
        <color rgb="FF000000"/>
        <rFont val="Times New Roman"/>
        <family val="1"/>
      </rPr>
      <t xml:space="preserve">PEFA pair. 3 eggs. Deployed camera (with solar pannel input) + RG + Ibutton at 12:39 PM. Wpt 19 2014. Female banded. Male seems banded (80% sure). Male may have a GL (from reconyx) but not 100% sure. </t>
    </r>
    <r>
      <rPr>
        <b/>
        <sz val="10"/>
        <color rgb="FF000000"/>
        <rFont val="Times New Roman"/>
        <family val="1"/>
      </rPr>
      <t xml:space="preserve">June 9: </t>
    </r>
    <r>
      <rPr>
        <sz val="10"/>
        <color rgb="FF000000"/>
        <rFont val="Times New Roman"/>
        <family val="1"/>
      </rPr>
      <t xml:space="preserve">From reconyx: 4th egg layed. Picture # 2014-06-09 12:23:09 M 1/3. Male. </t>
    </r>
    <r>
      <rPr>
        <b/>
        <sz val="10"/>
        <color rgb="FF000000"/>
        <rFont val="Times New Roman"/>
        <family val="1"/>
      </rPr>
      <t xml:space="preserve">June 11: </t>
    </r>
    <r>
      <rPr>
        <sz val="10"/>
        <color rgb="FF000000"/>
        <rFont val="Times New Roman"/>
        <family val="1"/>
      </rPr>
      <t>Male is banded 20C (vv) from reconyx. Picture #: 2014-06-11 12-44-43 PM M01_03.</t>
    </r>
    <r>
      <rPr>
        <b/>
        <sz val="10"/>
        <color rgb="FF000000"/>
        <rFont val="Times New Roman"/>
        <family val="1"/>
      </rPr>
      <t xml:space="preserve">June 17: </t>
    </r>
    <r>
      <rPr>
        <sz val="10"/>
        <color rgb="FF000000"/>
        <rFont val="Times New Roman"/>
        <family val="1"/>
      </rPr>
      <t xml:space="preserve">PEFA pair. 4 eggs. RG = 0.2 cm. Changed batt + mem card 8 gb. Lemming remains at the nest. </t>
    </r>
    <r>
      <rPr>
        <b/>
        <sz val="10"/>
        <color rgb="FF000000"/>
        <rFont val="Times New Roman"/>
        <family val="1"/>
      </rPr>
      <t xml:space="preserve">July 22: </t>
    </r>
    <r>
      <rPr>
        <sz val="10"/>
        <color rgb="FF000000"/>
        <rFont val="Times New Roman"/>
        <family val="1"/>
      </rPr>
      <t xml:space="preserve">PEFA female. RG = 0.7 cm. Camera still at the nest. changed mem card 8 gb only. Blue: C = 19, T = 33.5, HB = 48.5, TC = 12.5, Crop = 1/3. Green: C = 17.5, T = 31.5, HB = 48, TC = 12, Crop = 1/2. </t>
    </r>
    <r>
      <rPr>
        <b/>
        <sz val="10"/>
        <color rgb="FF000000"/>
        <rFont val="Times New Roman"/>
        <family val="1"/>
      </rPr>
      <t xml:space="preserve"> August 11</t>
    </r>
    <r>
      <rPr>
        <sz val="10"/>
        <color rgb="FF000000"/>
        <rFont val="Times New Roman"/>
        <family val="1"/>
      </rPr>
      <t xml:space="preserve"> 2 chicks. removed cam and raing guage. RG= 200mm. Blue: WT=601 T=47.5 sex=male crop=0 Green: WT=648 T=47 sex=male crop=0</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</si>
</sst>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mmm;@"/>
    <numFmt numFmtId="165" formatCode="0.0"/>
  </numFmts>
  <fonts count="69" x14ac:knownFonts="1">
    <font>
      <sz val="10"/>
      <color rgb="FF000000"/>
      <name val="Arial"/>
    </font>
    <font>
      <b/>
      <sz val="10"/>
      <color rgb="FF000000"/>
      <name val="Times New Roman"/>
      <family val="1"/>
    </font>
    <font>
      <b/>
      <sz val="10"/>
      <color rgb="FF000000"/>
      <name val="Times New Roman"/>
      <family val="1"/>
    </font>
    <font>
      <sz val="10"/>
      <color rgb="FF000000"/>
      <name val="Times New Roman"/>
      <family val="1"/>
    </font>
    <font>
      <sz val="10"/>
      <color rgb="FF000000"/>
      <name val="Times New Roman"/>
      <family val="1"/>
    </font>
    <font>
      <sz val="9"/>
      <color rgb="FF000000"/>
      <name val="Times New Roman"/>
      <family val="1"/>
    </font>
    <font>
      <sz val="10"/>
      <color rgb="FF000000"/>
      <name val="Times New Roman"/>
      <family val="1"/>
    </font>
    <font>
      <sz val="10"/>
      <color rgb="FF000000"/>
      <name val="Times New Roman"/>
      <family val="1"/>
    </font>
    <font>
      <b/>
      <sz val="10"/>
      <color rgb="FF000000"/>
      <name val="Times New Roman"/>
      <family val="1"/>
    </font>
    <font>
      <sz val="10"/>
      <color rgb="FF000000"/>
      <name val="Times New Roman"/>
      <family val="1"/>
    </font>
    <font>
      <sz val="10"/>
      <color rgb="FF000000"/>
      <name val="Times New Roman"/>
      <family val="1"/>
    </font>
    <font>
      <sz val="9"/>
      <color rgb="FF000000"/>
      <name val="Times New Roman"/>
      <family val="1"/>
    </font>
    <font>
      <sz val="10"/>
      <color rgb="FF000000"/>
      <name val="Times New Roman"/>
      <family val="1"/>
    </font>
    <font>
      <sz val="9"/>
      <color rgb="FF000000"/>
      <name val="Times New Roman"/>
      <family val="1"/>
    </font>
    <font>
      <sz val="10"/>
      <color rgb="FF000000"/>
      <name val="Times New Roman"/>
      <family val="1"/>
    </font>
    <font>
      <sz val="9"/>
      <color rgb="FF000000"/>
      <name val="Times New Roman"/>
      <family val="1"/>
    </font>
    <font>
      <b/>
      <sz val="10"/>
      <color rgb="FF000000"/>
      <name val="Times New Roman"/>
      <family val="1"/>
    </font>
    <font>
      <sz val="10"/>
      <color rgb="FF000000"/>
      <name val="Times New Roman"/>
      <family val="1"/>
    </font>
    <font>
      <b/>
      <sz val="10"/>
      <color rgb="FF000000"/>
      <name val="Times New Roman"/>
      <family val="1"/>
    </font>
    <font>
      <sz val="10"/>
      <color rgb="FF000000"/>
      <name val="Times New Roman"/>
      <family val="1"/>
    </font>
    <font>
      <b/>
      <sz val="10"/>
      <color rgb="FF000000"/>
      <name val="Times New Roman"/>
      <family val="1"/>
    </font>
    <font>
      <sz val="10"/>
      <color rgb="FF000000"/>
      <name val="Times New Roman"/>
      <family val="1"/>
    </font>
    <font>
      <b/>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9"/>
      <color rgb="FF000000"/>
      <name val="Times New Roman"/>
      <family val="1"/>
    </font>
    <font>
      <sz val="10"/>
      <color rgb="FF000000"/>
      <name val="Times New Roman"/>
      <family val="1"/>
    </font>
    <font>
      <sz val="10"/>
      <color rgb="FF000000"/>
      <name val="Times New Roman"/>
      <family val="1"/>
    </font>
    <font>
      <b/>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9"/>
      <color rgb="FF000000"/>
      <name val="Times New Roman"/>
      <family val="1"/>
    </font>
    <font>
      <sz val="10"/>
      <color rgb="FF000000"/>
      <name val="Times New Roman"/>
      <family val="1"/>
    </font>
    <font>
      <sz val="10"/>
      <color rgb="FF000000"/>
      <name val="Times New Roman"/>
      <family val="1"/>
    </font>
    <font>
      <b/>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b/>
      <sz val="10"/>
      <color rgb="FF000000"/>
      <name val="Times New Roman"/>
      <family val="1"/>
    </font>
    <font>
      <sz val="10"/>
      <color rgb="FF000000"/>
      <name val="Times New Roman"/>
      <family val="1"/>
    </font>
    <font>
      <b/>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b/>
      <sz val="10"/>
      <color rgb="FF000000"/>
      <name val="Times New Roman"/>
      <family val="1"/>
    </font>
    <font>
      <sz val="10"/>
      <color rgb="FF000000"/>
      <name val="Times New Roman"/>
      <family val="1"/>
    </font>
    <font>
      <sz val="9"/>
      <color rgb="FF000000"/>
      <name val="Times New Roman"/>
      <family val="1"/>
    </font>
    <font>
      <b/>
      <sz val="10"/>
      <color rgb="FF000000"/>
      <name val="Times New Roman"/>
      <family val="1"/>
    </font>
    <font>
      <sz val="9"/>
      <color rgb="FF000000"/>
      <name val="Times New Roman"/>
      <family val="1"/>
    </font>
    <font>
      <sz val="10"/>
      <color rgb="FF000000"/>
      <name val="Times New Roman"/>
      <family val="1"/>
    </font>
    <font>
      <sz val="9"/>
      <color rgb="FF000000"/>
      <name val="Times New Roman"/>
      <family val="1"/>
    </font>
    <font>
      <b/>
      <sz val="10"/>
      <color rgb="FF000000"/>
      <name val="Times New Roman"/>
      <family val="1"/>
    </font>
    <font>
      <sz val="9"/>
      <color rgb="FF000000"/>
      <name val="Times New Roman"/>
      <family val="1"/>
    </font>
    <font>
      <sz val="10"/>
      <color rgb="FF000000"/>
      <name val="Times New Roman"/>
      <family val="1"/>
    </font>
    <font>
      <sz val="10"/>
      <color rgb="FF000000"/>
      <name val="Calibri"/>
      <family val="2"/>
    </font>
    <font>
      <sz val="10"/>
      <color rgb="FF000000"/>
      <name val="Arial"/>
      <family val="2"/>
    </font>
    <font>
      <sz val="9"/>
      <color indexed="81"/>
      <name val="Tahoma"/>
      <family val="2"/>
    </font>
    <font>
      <b/>
      <sz val="9"/>
      <color indexed="81"/>
      <name val="Tahoma"/>
      <family val="2"/>
    </font>
    <font>
      <b/>
      <sz val="10"/>
      <color rgb="FF000000"/>
      <name val="Arial"/>
      <family val="2"/>
    </font>
    <font>
      <b/>
      <sz val="10"/>
      <color indexed="8"/>
      <name val="Arial"/>
      <family val="2"/>
    </font>
  </fonts>
  <fills count="40">
    <fill>
      <patternFill patternType="none"/>
    </fill>
    <fill>
      <patternFill patternType="gray125"/>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theme="0" tint="-0.249977111117893"/>
        <bgColor indexed="64"/>
      </patternFill>
    </fill>
    <fill>
      <patternFill patternType="solid">
        <fgColor rgb="FFFFFF00"/>
        <bgColor indexed="64"/>
      </patternFill>
    </fill>
  </fills>
  <borders count="83">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rgb="FF000000"/>
      </left>
      <right/>
      <top style="thin">
        <color indexed="64"/>
      </top>
      <bottom/>
      <diagonal/>
    </border>
    <border>
      <left/>
      <right style="thin">
        <color rgb="FF000000"/>
      </right>
      <top style="thin">
        <color indexed="64"/>
      </top>
      <bottom/>
      <diagonal/>
    </border>
    <border>
      <left style="thin">
        <color indexed="64"/>
      </left>
      <right/>
      <top style="thin">
        <color rgb="FF000000"/>
      </top>
      <bottom/>
      <diagonal/>
    </border>
    <border>
      <left/>
      <right style="thin">
        <color rgb="FF000000"/>
      </right>
      <top/>
      <bottom style="thin">
        <color rgb="FF000000"/>
      </bottom>
      <diagonal/>
    </border>
    <border>
      <left/>
      <right style="thin">
        <color indexed="64"/>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indexed="64"/>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indexed="64"/>
      </bottom>
      <diagonal/>
    </border>
    <border>
      <left style="thin">
        <color indexed="64"/>
      </left>
      <right/>
      <top style="thin">
        <color rgb="FF000000"/>
      </top>
      <bottom style="thin">
        <color rgb="FF000000"/>
      </bottom>
      <diagonal/>
    </border>
    <border>
      <left style="thin">
        <color indexed="64"/>
      </left>
      <right/>
      <top style="thin">
        <color indexed="64"/>
      </top>
      <bottom/>
      <diagonal/>
    </border>
    <border>
      <left/>
      <right style="thin">
        <color indexed="64"/>
      </right>
      <top/>
      <bottom style="thin">
        <color rgb="FF000000"/>
      </bottom>
      <diagonal/>
    </border>
    <border>
      <left style="thin">
        <color rgb="FF000000"/>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right style="thin">
        <color indexed="64"/>
      </right>
      <top style="thin">
        <color indexed="64"/>
      </top>
      <bottom style="thin">
        <color rgb="FF000000"/>
      </bottom>
      <diagonal/>
    </border>
  </borders>
  <cellStyleXfs count="1">
    <xf numFmtId="0" fontId="0" fillId="0" borderId="0"/>
  </cellStyleXfs>
  <cellXfs count="542">
    <xf numFmtId="0" fontId="0" fillId="0" borderId="0" xfId="0" applyAlignment="1">
      <alignment wrapText="1"/>
    </xf>
    <xf numFmtId="0" fontId="6" fillId="3" borderId="4" xfId="0" applyFont="1" applyFill="1" applyBorder="1" applyAlignment="1">
      <alignment horizontal="left" vertical="center" wrapText="1"/>
    </xf>
    <xf numFmtId="0" fontId="0" fillId="0" borderId="10" xfId="0" applyBorder="1" applyAlignment="1">
      <alignment wrapText="1"/>
    </xf>
    <xf numFmtId="0" fontId="23" fillId="15" borderId="12" xfId="0" applyFont="1" applyFill="1" applyBorder="1"/>
    <xf numFmtId="0" fontId="25" fillId="0" borderId="14" xfId="0" applyFont="1" applyBorder="1" applyAlignment="1">
      <alignment vertical="top"/>
    </xf>
    <xf numFmtId="0" fontId="27" fillId="18" borderId="16" xfId="0" applyFont="1" applyFill="1" applyBorder="1" applyAlignment="1">
      <alignment horizontal="center" vertical="center" wrapText="1"/>
    </xf>
    <xf numFmtId="0" fontId="30" fillId="21" borderId="19" xfId="0" applyFont="1" applyFill="1" applyBorder="1" applyAlignment="1">
      <alignment horizontal="left" vertical="center"/>
    </xf>
    <xf numFmtId="0" fontId="34" fillId="0" borderId="22" xfId="0" applyFont="1" applyBorder="1" applyAlignment="1">
      <alignment vertical="center"/>
    </xf>
    <xf numFmtId="0" fontId="35" fillId="0" borderId="23" xfId="0" applyFont="1" applyBorder="1" applyAlignment="1">
      <alignment horizontal="left" vertical="center"/>
    </xf>
    <xf numFmtId="0" fontId="36" fillId="22" borderId="24" xfId="0" applyFont="1" applyFill="1" applyBorder="1" applyAlignment="1">
      <alignment horizontal="center" vertical="center"/>
    </xf>
    <xf numFmtId="0" fontId="38" fillId="24" borderId="27" xfId="0" applyFont="1" applyFill="1" applyBorder="1" applyAlignment="1">
      <alignment horizontal="left" vertical="center"/>
    </xf>
    <xf numFmtId="0" fontId="44" fillId="29" borderId="29" xfId="0" applyFont="1" applyFill="1" applyBorder="1"/>
    <xf numFmtId="0" fontId="45" fillId="30" borderId="30" xfId="0" applyFont="1" applyFill="1" applyBorder="1" applyAlignment="1">
      <alignment horizontal="left" vertical="center"/>
    </xf>
    <xf numFmtId="0" fontId="46" fillId="31" borderId="32" xfId="0" applyFont="1" applyFill="1" applyBorder="1" applyAlignment="1">
      <alignment horizontal="center" vertical="center" wrapText="1"/>
    </xf>
    <xf numFmtId="0" fontId="49" fillId="32" borderId="35" xfId="0" applyFont="1" applyFill="1" applyBorder="1" applyAlignment="1">
      <alignment vertical="center" wrapText="1"/>
    </xf>
    <xf numFmtId="164" fontId="51" fillId="33" borderId="37" xfId="0" applyNumberFormat="1" applyFont="1" applyFill="1" applyBorder="1" applyAlignment="1">
      <alignment horizontal="center" vertical="center"/>
    </xf>
    <xf numFmtId="0" fontId="53" fillId="0" borderId="40" xfId="0" applyFont="1" applyBorder="1" applyAlignment="1">
      <alignment vertical="center"/>
    </xf>
    <xf numFmtId="164" fontId="54" fillId="0" borderId="41" xfId="0" applyNumberFormat="1" applyFont="1" applyBorder="1" applyAlignment="1">
      <alignment horizontal="center"/>
    </xf>
    <xf numFmtId="0" fontId="55" fillId="0" borderId="42" xfId="0" applyFont="1" applyBorder="1" applyAlignment="1">
      <alignment horizontal="center"/>
    </xf>
    <xf numFmtId="164" fontId="57" fillId="0" borderId="45" xfId="0" applyNumberFormat="1" applyFont="1" applyBorder="1" applyAlignment="1">
      <alignment horizontal="center"/>
    </xf>
    <xf numFmtId="0" fontId="59" fillId="36" borderId="47" xfId="0" applyFont="1" applyFill="1" applyBorder="1" applyAlignment="1">
      <alignment horizontal="center"/>
    </xf>
    <xf numFmtId="0" fontId="60" fillId="37" borderId="49" xfId="0" applyFont="1" applyFill="1" applyBorder="1" applyAlignment="1">
      <alignment horizontal="center" vertical="center" wrapText="1"/>
    </xf>
    <xf numFmtId="0" fontId="21" fillId="13" borderId="44" xfId="0" applyFont="1" applyFill="1" applyBorder="1"/>
    <xf numFmtId="0" fontId="21" fillId="13" borderId="52" xfId="0" applyFont="1" applyFill="1" applyBorder="1"/>
    <xf numFmtId="0" fontId="44" fillId="29" borderId="53" xfId="0" applyFont="1" applyFill="1" applyBorder="1"/>
    <xf numFmtId="0" fontId="0" fillId="0" borderId="0" xfId="0" applyAlignment="1">
      <alignment wrapText="1"/>
    </xf>
    <xf numFmtId="0" fontId="25" fillId="0" borderId="26" xfId="0" applyFont="1" applyBorder="1" applyAlignment="1">
      <alignment vertical="top"/>
    </xf>
    <xf numFmtId="0" fontId="3" fillId="18" borderId="16" xfId="0" applyFont="1" applyFill="1" applyBorder="1" applyAlignment="1">
      <alignment horizontal="center" vertical="center" wrapText="1"/>
    </xf>
    <xf numFmtId="0" fontId="5" fillId="0" borderId="42" xfId="0" applyFont="1" applyBorder="1" applyAlignment="1">
      <alignment horizontal="center"/>
    </xf>
    <xf numFmtId="16" fontId="5" fillId="0" borderId="42" xfId="0" applyNumberFormat="1" applyFont="1" applyBorder="1" applyAlignment="1">
      <alignment horizontal="center"/>
    </xf>
    <xf numFmtId="0" fontId="52" fillId="0" borderId="26" xfId="0" applyFont="1" applyBorder="1" applyAlignment="1">
      <alignment vertical="top"/>
    </xf>
    <xf numFmtId="0" fontId="0" fillId="38" borderId="57" xfId="0" applyFill="1" applyBorder="1" applyAlignment="1">
      <alignment horizontal="center" vertical="center" wrapText="1"/>
    </xf>
    <xf numFmtId="0" fontId="0" fillId="38" borderId="57" xfId="0" applyFill="1" applyBorder="1" applyAlignment="1">
      <alignment wrapText="1"/>
    </xf>
    <xf numFmtId="0" fontId="59" fillId="36" borderId="32" xfId="0" applyFont="1" applyFill="1" applyBorder="1" applyAlignment="1">
      <alignment horizontal="center"/>
    </xf>
    <xf numFmtId="0" fontId="18" fillId="0" borderId="60" xfId="0" applyFont="1" applyBorder="1" applyAlignment="1">
      <alignment vertical="center"/>
    </xf>
    <xf numFmtId="0" fontId="0" fillId="38" borderId="26" xfId="0" applyFill="1" applyBorder="1" applyAlignment="1">
      <alignment wrapText="1"/>
    </xf>
    <xf numFmtId="0" fontId="2" fillId="2" borderId="48" xfId="0" applyFont="1" applyFill="1" applyBorder="1" applyAlignment="1">
      <alignment vertical="center"/>
    </xf>
    <xf numFmtId="0" fontId="55" fillId="0" borderId="17" xfId="0" applyFont="1" applyBorder="1" applyAlignment="1">
      <alignment horizontal="center"/>
    </xf>
    <xf numFmtId="0" fontId="59" fillId="36" borderId="17" xfId="0" applyFont="1" applyFill="1" applyBorder="1" applyAlignment="1">
      <alignment horizontal="center"/>
    </xf>
    <xf numFmtId="0" fontId="38" fillId="24" borderId="55" xfId="0" applyFont="1" applyFill="1" applyBorder="1" applyAlignment="1">
      <alignment horizontal="left" vertical="center"/>
    </xf>
    <xf numFmtId="0" fontId="7" fillId="4" borderId="57" xfId="0" applyFont="1" applyFill="1" applyBorder="1" applyAlignment="1">
      <alignment horizontal="center" vertical="center"/>
    </xf>
    <xf numFmtId="0" fontId="59" fillId="0" borderId="47" xfId="0" applyFont="1" applyFill="1" applyBorder="1" applyAlignment="1">
      <alignment horizontal="center"/>
    </xf>
    <xf numFmtId="0" fontId="59" fillId="0" borderId="17" xfId="0" applyFont="1" applyFill="1" applyBorder="1" applyAlignment="1">
      <alignment horizontal="center"/>
    </xf>
    <xf numFmtId="0" fontId="55" fillId="0" borderId="48" xfId="0" applyFont="1" applyBorder="1" applyAlignment="1">
      <alignment horizontal="center"/>
    </xf>
    <xf numFmtId="0" fontId="61" fillId="18" borderId="16" xfId="0" applyFont="1" applyFill="1" applyBorder="1" applyAlignment="1">
      <alignment horizontal="center" vertical="center" wrapText="1"/>
    </xf>
    <xf numFmtId="0" fontId="55" fillId="0" borderId="39" xfId="0" applyFont="1" applyBorder="1" applyAlignment="1">
      <alignment horizontal="center"/>
    </xf>
    <xf numFmtId="0" fontId="25" fillId="0" borderId="0" xfId="0" applyFont="1" applyBorder="1" applyAlignment="1">
      <alignment vertical="top"/>
    </xf>
    <xf numFmtId="0" fontId="42" fillId="27" borderId="39" xfId="0" applyFont="1" applyFill="1" applyBorder="1" applyAlignment="1">
      <alignment horizontal="left" vertical="center"/>
    </xf>
    <xf numFmtId="0" fontId="42" fillId="27" borderId="57" xfId="0" applyFont="1" applyFill="1" applyBorder="1" applyAlignment="1">
      <alignment horizontal="left" vertical="center"/>
    </xf>
    <xf numFmtId="0" fontId="30" fillId="21" borderId="33" xfId="0" applyFont="1" applyFill="1" applyBorder="1" applyAlignment="1">
      <alignment horizontal="left" vertical="center"/>
    </xf>
    <xf numFmtId="1" fontId="15" fillId="0" borderId="17" xfId="0" applyNumberFormat="1" applyFont="1" applyBorder="1" applyAlignment="1">
      <alignment horizontal="center"/>
    </xf>
    <xf numFmtId="1" fontId="10" fillId="7" borderId="17" xfId="0" applyNumberFormat="1" applyFont="1" applyFill="1" applyBorder="1" applyAlignment="1">
      <alignment horizontal="center" vertical="center"/>
    </xf>
    <xf numFmtId="0" fontId="55" fillId="0" borderId="32" xfId="0" applyFont="1" applyBorder="1" applyAlignment="1">
      <alignment horizontal="center"/>
    </xf>
    <xf numFmtId="0" fontId="50" fillId="0" borderId="62" xfId="0" applyFont="1" applyBorder="1" applyAlignment="1">
      <alignment vertical="top"/>
    </xf>
    <xf numFmtId="0" fontId="27" fillId="18" borderId="32" xfId="0" applyFont="1" applyFill="1" applyBorder="1" applyAlignment="1">
      <alignment horizontal="center" vertical="center" wrapText="1"/>
    </xf>
    <xf numFmtId="0" fontId="32" fillId="0" borderId="57" xfId="0" applyFont="1" applyBorder="1" applyAlignment="1">
      <alignment horizontal="center" vertical="center"/>
    </xf>
    <xf numFmtId="0" fontId="16" fillId="10" borderId="57" xfId="0" applyFont="1" applyFill="1" applyBorder="1" applyAlignment="1">
      <alignment horizontal="center" vertical="center"/>
    </xf>
    <xf numFmtId="0" fontId="60" fillId="37" borderId="32" xfId="0" applyFont="1" applyFill="1" applyBorder="1" applyAlignment="1">
      <alignment horizontal="center" vertical="center" wrapText="1"/>
    </xf>
    <xf numFmtId="0" fontId="40" fillId="26" borderId="57" xfId="0" applyFont="1" applyFill="1" applyBorder="1" applyAlignment="1">
      <alignment vertical="center"/>
    </xf>
    <xf numFmtId="0" fontId="47" fillId="0" borderId="57" xfId="0" applyFont="1" applyBorder="1" applyAlignment="1">
      <alignment horizontal="center" vertical="center"/>
    </xf>
    <xf numFmtId="0" fontId="36" fillId="22" borderId="24" xfId="0" applyFont="1" applyFill="1" applyBorder="1" applyAlignment="1">
      <alignment horizontal="center" vertical="center"/>
    </xf>
    <xf numFmtId="0" fontId="0" fillId="0" borderId="10" xfId="0" applyBorder="1" applyAlignment="1">
      <alignment wrapText="1"/>
    </xf>
    <xf numFmtId="0" fontId="7" fillId="4" borderId="57" xfId="0" applyFont="1" applyFill="1" applyBorder="1" applyAlignment="1">
      <alignment horizontal="center" vertical="center"/>
    </xf>
    <xf numFmtId="0" fontId="0" fillId="0" borderId="10" xfId="0" applyBorder="1" applyAlignment="1">
      <alignment wrapText="1"/>
    </xf>
    <xf numFmtId="15" fontId="55" fillId="0" borderId="42" xfId="0" applyNumberFormat="1" applyFont="1" applyBorder="1" applyAlignment="1">
      <alignment horizontal="center"/>
    </xf>
    <xf numFmtId="49" fontId="64" fillId="0" borderId="0" xfId="0" applyNumberFormat="1" applyFont="1" applyAlignment="1">
      <alignment wrapText="1"/>
    </xf>
    <xf numFmtId="0" fontId="64" fillId="0" borderId="0" xfId="0" applyFont="1" applyAlignment="1">
      <alignment wrapText="1"/>
    </xf>
    <xf numFmtId="12" fontId="0" fillId="0" borderId="0" xfId="0" applyNumberFormat="1" applyAlignment="1">
      <alignment wrapText="1"/>
    </xf>
    <xf numFmtId="0" fontId="1" fillId="37" borderId="49" xfId="0" applyFont="1" applyFill="1" applyBorder="1" applyAlignment="1">
      <alignment horizontal="center" vertical="center" wrapText="1"/>
    </xf>
    <xf numFmtId="0" fontId="64" fillId="0" borderId="0" xfId="0" applyFont="1" applyAlignment="1">
      <alignment horizontal="center" wrapText="1"/>
    </xf>
    <xf numFmtId="0" fontId="55" fillId="0" borderId="42" xfId="0" applyNumberFormat="1" applyFont="1" applyBorder="1" applyAlignment="1">
      <alignment horizontal="center"/>
    </xf>
    <xf numFmtId="0" fontId="5" fillId="0" borderId="49" xfId="0" applyFont="1" applyBorder="1" applyAlignment="1">
      <alignment horizontal="center"/>
    </xf>
    <xf numFmtId="15" fontId="55" fillId="0" borderId="49" xfId="0" applyNumberFormat="1" applyFont="1" applyBorder="1" applyAlignment="1">
      <alignment horizontal="center"/>
    </xf>
    <xf numFmtId="0" fontId="55" fillId="0" borderId="49" xfId="0" applyFont="1" applyBorder="1" applyAlignment="1">
      <alignment horizontal="center"/>
    </xf>
    <xf numFmtId="0" fontId="0" fillId="38" borderId="0" xfId="0" applyFill="1" applyBorder="1" applyAlignment="1">
      <alignment wrapText="1"/>
    </xf>
    <xf numFmtId="0" fontId="55" fillId="0" borderId="57" xfId="0" applyFont="1" applyBorder="1" applyAlignment="1">
      <alignment horizontal="center"/>
    </xf>
    <xf numFmtId="0" fontId="59" fillId="0" borderId="57" xfId="0" applyFont="1" applyFill="1" applyBorder="1" applyAlignment="1">
      <alignment horizontal="center"/>
    </xf>
    <xf numFmtId="0" fontId="59" fillId="36" borderId="57" xfId="0" applyFont="1" applyFill="1" applyBorder="1" applyAlignment="1">
      <alignment horizontal="center"/>
    </xf>
    <xf numFmtId="0" fontId="0" fillId="0" borderId="57" xfId="0" applyBorder="1" applyAlignment="1">
      <alignment wrapText="1"/>
    </xf>
    <xf numFmtId="0" fontId="0" fillId="0" borderId="0" xfId="0" applyBorder="1" applyAlignment="1">
      <alignment wrapText="1"/>
    </xf>
    <xf numFmtId="0" fontId="5" fillId="0" borderId="17" xfId="0" applyFont="1" applyBorder="1" applyAlignment="1">
      <alignment horizontal="center"/>
    </xf>
    <xf numFmtId="0" fontId="5" fillId="0" borderId="57" xfId="0" applyFont="1" applyBorder="1" applyAlignment="1">
      <alignment horizontal="center"/>
    </xf>
    <xf numFmtId="0" fontId="64" fillId="0" borderId="0" xfId="0" applyFont="1" applyBorder="1" applyAlignment="1">
      <alignment wrapText="1"/>
    </xf>
    <xf numFmtId="12" fontId="0" fillId="0" borderId="50" xfId="0" applyNumberFormat="1" applyBorder="1" applyAlignment="1">
      <alignment wrapText="1"/>
    </xf>
    <xf numFmtId="0" fontId="0" fillId="0" borderId="10" xfId="0" applyBorder="1" applyAlignment="1">
      <alignment wrapText="1"/>
    </xf>
    <xf numFmtId="0" fontId="7" fillId="4" borderId="57" xfId="0" applyFont="1" applyFill="1" applyBorder="1" applyAlignment="1">
      <alignment horizontal="center" vertical="center"/>
    </xf>
    <xf numFmtId="0" fontId="36" fillId="22" borderId="24" xfId="0" applyFont="1" applyFill="1" applyBorder="1" applyAlignment="1">
      <alignment horizontal="center" vertical="center"/>
    </xf>
    <xf numFmtId="0" fontId="7" fillId="4" borderId="65" xfId="0" applyFont="1" applyFill="1" applyBorder="1" applyAlignment="1">
      <alignment horizontal="center" vertical="center"/>
    </xf>
    <xf numFmtId="0" fontId="55" fillId="0" borderId="49" xfId="0" applyNumberFormat="1" applyFont="1" applyBorder="1" applyAlignment="1">
      <alignment horizontal="center"/>
    </xf>
    <xf numFmtId="0" fontId="5" fillId="0" borderId="49" xfId="0" applyFont="1" applyBorder="1" applyAlignment="1">
      <alignment horizontal="left"/>
    </xf>
    <xf numFmtId="0" fontId="5" fillId="0" borderId="42" xfId="0" applyFont="1" applyBorder="1" applyAlignment="1">
      <alignment horizontal="left"/>
    </xf>
    <xf numFmtId="0" fontId="5" fillId="0" borderId="17" xfId="0" applyFont="1" applyFill="1" applyBorder="1" applyAlignment="1">
      <alignment horizontal="center"/>
    </xf>
    <xf numFmtId="0" fontId="5" fillId="0" borderId="57" xfId="0" applyFont="1" applyBorder="1" applyAlignment="1">
      <alignment horizontal="left"/>
    </xf>
    <xf numFmtId="164" fontId="5" fillId="0" borderId="45" xfId="0" applyNumberFormat="1" applyFont="1" applyBorder="1" applyAlignment="1">
      <alignment horizontal="center"/>
    </xf>
    <xf numFmtId="0" fontId="0" fillId="0" borderId="0" xfId="0" applyBorder="1" applyAlignment="1">
      <alignment wrapText="1"/>
    </xf>
    <xf numFmtId="0" fontId="64" fillId="38" borderId="57" xfId="0" applyFont="1" applyFill="1" applyBorder="1" applyAlignment="1">
      <alignment horizontal="center" wrapText="1"/>
    </xf>
    <xf numFmtId="0" fontId="0" fillId="0" borderId="0" xfId="0" applyAlignment="1">
      <alignment horizontal="center" wrapText="1"/>
    </xf>
    <xf numFmtId="0" fontId="64" fillId="0" borderId="0" xfId="0" applyFont="1" applyBorder="1" applyAlignment="1">
      <alignment horizontal="center" wrapText="1"/>
    </xf>
    <xf numFmtId="12" fontId="0" fillId="0" borderId="0" xfId="0" applyNumberFormat="1" applyBorder="1" applyAlignment="1">
      <alignment wrapText="1"/>
    </xf>
    <xf numFmtId="0" fontId="0" fillId="38" borderId="57" xfId="0" applyFill="1" applyBorder="1" applyAlignment="1">
      <alignment horizontal="center" wrapText="1"/>
    </xf>
    <xf numFmtId="0" fontId="0" fillId="0" borderId="0" xfId="0" applyBorder="1" applyAlignment="1">
      <alignment horizontal="center" wrapText="1"/>
    </xf>
    <xf numFmtId="165" fontId="0" fillId="0" borderId="0" xfId="0" applyNumberFormat="1" applyAlignment="1">
      <alignment horizontal="center" wrapText="1"/>
    </xf>
    <xf numFmtId="16" fontId="35" fillId="0" borderId="23" xfId="0" applyNumberFormat="1" applyFont="1" applyBorder="1" applyAlignment="1">
      <alignment horizontal="left" vertical="center"/>
    </xf>
    <xf numFmtId="0" fontId="3" fillId="27" borderId="57" xfId="0" applyFont="1" applyFill="1" applyBorder="1" applyAlignment="1">
      <alignment horizontal="left" vertical="center"/>
    </xf>
    <xf numFmtId="0" fontId="3" fillId="27" borderId="39" xfId="0" applyFont="1" applyFill="1" applyBorder="1" applyAlignment="1">
      <alignment horizontal="left" vertical="center"/>
    </xf>
    <xf numFmtId="14" fontId="55" fillId="0" borderId="42" xfId="0" applyNumberFormat="1" applyFont="1" applyBorder="1" applyAlignment="1">
      <alignment horizontal="center"/>
    </xf>
    <xf numFmtId="0" fontId="5" fillId="0" borderId="48" xfId="0" applyFont="1" applyBorder="1" applyAlignment="1">
      <alignment horizontal="center"/>
    </xf>
    <xf numFmtId="14" fontId="5" fillId="0" borderId="42" xfId="0" applyNumberFormat="1" applyFont="1" applyBorder="1" applyAlignment="1">
      <alignment horizontal="center"/>
    </xf>
    <xf numFmtId="16" fontId="0" fillId="0" borderId="0" xfId="0" applyNumberFormat="1" applyAlignment="1">
      <alignment wrapText="1"/>
    </xf>
    <xf numFmtId="16" fontId="0" fillId="0" borderId="57" xfId="0" applyNumberFormat="1" applyBorder="1" applyAlignment="1">
      <alignment wrapText="1"/>
    </xf>
    <xf numFmtId="0" fontId="21" fillId="13" borderId="0" xfId="0" applyFont="1" applyFill="1" applyBorder="1"/>
    <xf numFmtId="0" fontId="13" fillId="0" borderId="48" xfId="0" applyFont="1" applyBorder="1" applyAlignment="1"/>
    <xf numFmtId="0" fontId="13" fillId="0" borderId="33" xfId="0" applyFont="1" applyBorder="1" applyAlignment="1"/>
    <xf numFmtId="0" fontId="3" fillId="21" borderId="19" xfId="0" applyFont="1" applyFill="1" applyBorder="1" applyAlignment="1">
      <alignment horizontal="left" vertical="center"/>
    </xf>
    <xf numFmtId="0" fontId="3" fillId="27" borderId="66" xfId="0" applyFont="1" applyFill="1" applyBorder="1" applyAlignment="1">
      <alignment horizontal="left" vertical="center"/>
    </xf>
    <xf numFmtId="0" fontId="36" fillId="22" borderId="48" xfId="0" applyFont="1" applyFill="1" applyBorder="1" applyAlignment="1">
      <alignment horizontal="center" vertical="center"/>
    </xf>
    <xf numFmtId="0" fontId="30" fillId="21" borderId="17" xfId="0" applyFont="1" applyFill="1" applyBorder="1" applyAlignment="1">
      <alignment horizontal="left" vertical="center"/>
    </xf>
    <xf numFmtId="0" fontId="3" fillId="21" borderId="32" xfId="0" applyFont="1" applyFill="1" applyBorder="1" applyAlignment="1">
      <alignment horizontal="left" vertical="center"/>
    </xf>
    <xf numFmtId="0" fontId="64" fillId="38" borderId="57" xfId="0" applyFont="1" applyFill="1" applyBorder="1" applyAlignment="1">
      <alignment wrapText="1"/>
    </xf>
    <xf numFmtId="164" fontId="54" fillId="0" borderId="32" xfId="0" applyNumberFormat="1" applyFont="1" applyBorder="1" applyAlignment="1">
      <alignment horizontal="center"/>
    </xf>
    <xf numFmtId="0" fontId="38" fillId="24" borderId="29" xfId="0" applyFont="1" applyFill="1" applyBorder="1" applyAlignment="1">
      <alignment horizontal="left" vertical="center"/>
    </xf>
    <xf numFmtId="16" fontId="55" fillId="0" borderId="42" xfId="0" applyNumberFormat="1" applyFont="1" applyBorder="1" applyAlignment="1">
      <alignment horizontal="center"/>
    </xf>
    <xf numFmtId="0" fontId="5" fillId="0" borderId="32" xfId="0" applyFont="1" applyBorder="1" applyAlignment="1">
      <alignment horizontal="center"/>
    </xf>
    <xf numFmtId="0" fontId="3" fillId="21" borderId="33" xfId="0" applyFont="1" applyFill="1" applyBorder="1" applyAlignment="1">
      <alignment horizontal="left" vertical="center"/>
    </xf>
    <xf numFmtId="1" fontId="55" fillId="0" borderId="42" xfId="0" applyNumberFormat="1" applyFont="1" applyBorder="1" applyAlignment="1">
      <alignment horizontal="center"/>
    </xf>
    <xf numFmtId="0" fontId="1" fillId="0" borderId="57" xfId="0" applyFont="1" applyBorder="1" applyAlignment="1">
      <alignment horizontal="center" vertical="center"/>
    </xf>
    <xf numFmtId="0" fontId="0" fillId="0" borderId="26" xfId="0" applyBorder="1" applyAlignment="1">
      <alignment wrapText="1"/>
    </xf>
    <xf numFmtId="0" fontId="0" fillId="0" borderId="0" xfId="0" applyBorder="1" applyAlignment="1">
      <alignment wrapText="1"/>
    </xf>
    <xf numFmtId="0" fontId="5" fillId="0" borderId="57" xfId="0" applyFont="1" applyBorder="1" applyAlignment="1">
      <alignment horizontal="center"/>
    </xf>
    <xf numFmtId="0" fontId="0" fillId="0" borderId="26" xfId="0" applyBorder="1" applyAlignment="1">
      <alignment wrapText="1"/>
    </xf>
    <xf numFmtId="0" fontId="1" fillId="0" borderId="57" xfId="0" applyFont="1" applyBorder="1" applyAlignment="1">
      <alignment horizontal="center" vertical="center"/>
    </xf>
    <xf numFmtId="0" fontId="5" fillId="0" borderId="57" xfId="0" applyFont="1" applyBorder="1" applyAlignment="1">
      <alignment horizontal="center"/>
    </xf>
    <xf numFmtId="0" fontId="1" fillId="37" borderId="57" xfId="0" applyFont="1" applyFill="1" applyBorder="1" applyAlignment="1">
      <alignment vertical="center"/>
    </xf>
    <xf numFmtId="0" fontId="1" fillId="37" borderId="57" xfId="0" applyFont="1" applyFill="1" applyBorder="1" applyAlignment="1">
      <alignment horizontal="center" vertical="center"/>
    </xf>
    <xf numFmtId="0" fontId="1" fillId="37" borderId="57" xfId="0" applyFont="1" applyFill="1" applyBorder="1" applyAlignment="1">
      <alignment horizontal="center" vertical="center"/>
    </xf>
    <xf numFmtId="0" fontId="1" fillId="0" borderId="40" xfId="0" applyFont="1" applyBorder="1" applyAlignment="1">
      <alignment vertical="center"/>
    </xf>
    <xf numFmtId="0" fontId="1" fillId="0" borderId="60" xfId="0" applyFont="1" applyBorder="1" applyAlignment="1">
      <alignment vertical="center"/>
    </xf>
    <xf numFmtId="0" fontId="1" fillId="37" borderId="32" xfId="0" applyFont="1" applyFill="1" applyBorder="1" applyAlignment="1">
      <alignment horizontal="center" vertical="center" wrapText="1"/>
    </xf>
    <xf numFmtId="0" fontId="3" fillId="37" borderId="32" xfId="0" applyFont="1" applyFill="1" applyBorder="1" applyAlignment="1">
      <alignment horizontal="center" vertical="center" wrapText="1"/>
    </xf>
    <xf numFmtId="0" fontId="3" fillId="37" borderId="49" xfId="0" applyFont="1" applyFill="1" applyBorder="1" applyAlignment="1">
      <alignment horizontal="center" vertical="center" wrapText="1"/>
    </xf>
    <xf numFmtId="0" fontId="5" fillId="37" borderId="49" xfId="0" applyFont="1" applyFill="1" applyBorder="1" applyAlignment="1">
      <alignment horizontal="center" vertical="center" wrapText="1"/>
    </xf>
    <xf numFmtId="0" fontId="5" fillId="0" borderId="49" xfId="0" applyFont="1" applyFill="1" applyBorder="1" applyAlignment="1">
      <alignment horizontal="center"/>
    </xf>
    <xf numFmtId="0" fontId="5" fillId="37" borderId="49" xfId="0" applyFont="1" applyFill="1" applyBorder="1" applyAlignment="1">
      <alignment horizontal="center"/>
    </xf>
    <xf numFmtId="0" fontId="5" fillId="37" borderId="32" xfId="0" applyFont="1" applyFill="1" applyBorder="1" applyAlignment="1">
      <alignment horizontal="center"/>
    </xf>
    <xf numFmtId="15" fontId="5" fillId="0" borderId="49" xfId="0" applyNumberFormat="1" applyFont="1" applyBorder="1" applyAlignment="1">
      <alignment horizontal="center"/>
    </xf>
    <xf numFmtId="0" fontId="5" fillId="37" borderId="17" xfId="0" applyFont="1" applyFill="1" applyBorder="1" applyAlignment="1">
      <alignment horizontal="center"/>
    </xf>
    <xf numFmtId="15" fontId="5" fillId="0" borderId="48" xfId="0" applyNumberFormat="1" applyFont="1" applyBorder="1" applyAlignment="1">
      <alignment horizontal="center"/>
    </xf>
    <xf numFmtId="0" fontId="5" fillId="0" borderId="57" xfId="0" applyFont="1" applyFill="1" applyBorder="1" applyAlignment="1">
      <alignment horizontal="center"/>
    </xf>
    <xf numFmtId="0" fontId="5" fillId="37" borderId="57" xfId="0" applyFont="1" applyFill="1" applyBorder="1" applyAlignment="1">
      <alignment horizontal="center"/>
    </xf>
    <xf numFmtId="0" fontId="1" fillId="37" borderId="49" xfId="0" applyFont="1" applyFill="1" applyBorder="1" applyAlignment="1">
      <alignment horizontal="left" vertical="center"/>
    </xf>
    <xf numFmtId="0" fontId="3" fillId="37" borderId="32" xfId="0" applyFont="1" applyFill="1" applyBorder="1" applyAlignment="1">
      <alignment horizontal="center" vertical="center"/>
    </xf>
    <xf numFmtId="0" fontId="1" fillId="37" borderId="43" xfId="0" applyFont="1" applyFill="1" applyBorder="1" applyAlignment="1">
      <alignment vertical="center"/>
    </xf>
    <xf numFmtId="0" fontId="3" fillId="37" borderId="65" xfId="0" applyFont="1" applyFill="1" applyBorder="1" applyAlignment="1">
      <alignment horizontal="center" vertical="center"/>
    </xf>
    <xf numFmtId="0" fontId="3" fillId="37" borderId="65" xfId="0" applyFont="1" applyFill="1" applyBorder="1" applyAlignment="1">
      <alignment horizontal="center" vertical="center"/>
    </xf>
    <xf numFmtId="0" fontId="3" fillId="37" borderId="49" xfId="0" applyFont="1" applyFill="1" applyBorder="1" applyAlignment="1">
      <alignment horizontal="left" vertical="center" wrapText="1"/>
    </xf>
    <xf numFmtId="164" fontId="5" fillId="0" borderId="49" xfId="0" applyNumberFormat="1" applyFont="1" applyBorder="1" applyAlignment="1">
      <alignment horizontal="center"/>
    </xf>
    <xf numFmtId="164" fontId="3" fillId="37" borderId="49" xfId="0" applyNumberFormat="1" applyFont="1" applyFill="1" applyBorder="1" applyAlignment="1">
      <alignment horizontal="center" vertical="center"/>
    </xf>
    <xf numFmtId="0" fontId="3" fillId="37" borderId="49" xfId="0" applyFont="1" applyFill="1" applyBorder="1" applyAlignment="1">
      <alignment horizontal="left" vertical="center"/>
    </xf>
    <xf numFmtId="0" fontId="3" fillId="37" borderId="55" xfId="0" applyFont="1" applyFill="1" applyBorder="1" applyAlignment="1">
      <alignment horizontal="left" vertical="center"/>
    </xf>
    <xf numFmtId="0" fontId="3" fillId="37" borderId="52" xfId="0" applyFont="1" applyFill="1" applyBorder="1"/>
    <xf numFmtId="0" fontId="3" fillId="37" borderId="53" xfId="0" applyFont="1" applyFill="1" applyBorder="1"/>
    <xf numFmtId="0" fontId="3" fillId="37" borderId="49" xfId="0" applyFont="1" applyFill="1" applyBorder="1"/>
    <xf numFmtId="0" fontId="3" fillId="37" borderId="49" xfId="0" applyFont="1" applyFill="1" applyBorder="1" applyAlignment="1">
      <alignment horizontal="center" vertical="center"/>
    </xf>
    <xf numFmtId="164" fontId="3" fillId="0" borderId="49" xfId="0" applyNumberFormat="1" applyFont="1" applyBorder="1" applyAlignment="1">
      <alignment horizontal="center"/>
    </xf>
    <xf numFmtId="0" fontId="3" fillId="37" borderId="44" xfId="0" applyFont="1" applyFill="1" applyBorder="1"/>
    <xf numFmtId="0" fontId="3" fillId="37" borderId="29" xfId="0" applyFont="1" applyFill="1" applyBorder="1"/>
    <xf numFmtId="16" fontId="3" fillId="0" borderId="33" xfId="0" applyNumberFormat="1" applyFont="1" applyBorder="1" applyAlignment="1">
      <alignment horizontal="left" vertical="center"/>
    </xf>
    <xf numFmtId="0" fontId="3" fillId="37" borderId="33" xfId="0" applyFont="1" applyFill="1" applyBorder="1" applyAlignment="1">
      <alignment horizontal="left" vertical="center"/>
    </xf>
    <xf numFmtId="0" fontId="5" fillId="0" borderId="39" xfId="0" applyFont="1" applyBorder="1" applyAlignment="1">
      <alignment horizontal="center"/>
    </xf>
    <xf numFmtId="0" fontId="3" fillId="37" borderId="32" xfId="0" applyFont="1" applyFill="1" applyBorder="1" applyAlignment="1">
      <alignment horizontal="center" vertical="center"/>
    </xf>
    <xf numFmtId="0" fontId="3" fillId="37" borderId="49" xfId="0" applyFont="1" applyFill="1" applyBorder="1" applyAlignment="1">
      <alignment horizontal="center" vertical="center"/>
    </xf>
    <xf numFmtId="0" fontId="3" fillId="37" borderId="49" xfId="0" applyFont="1" applyFill="1" applyBorder="1" applyAlignment="1">
      <alignment vertical="center" wrapText="1"/>
    </xf>
    <xf numFmtId="1" fontId="5" fillId="0" borderId="17" xfId="0" applyNumberFormat="1" applyFont="1" applyBorder="1" applyAlignment="1">
      <alignment horizontal="center"/>
    </xf>
    <xf numFmtId="1" fontId="3" fillId="37" borderId="17" xfId="0" applyNumberFormat="1" applyFont="1" applyFill="1" applyBorder="1" applyAlignment="1">
      <alignment horizontal="center" vertical="center"/>
    </xf>
    <xf numFmtId="0" fontId="5" fillId="0" borderId="48" xfId="0" applyFont="1" applyBorder="1" applyAlignment="1">
      <alignment horizontal="center"/>
    </xf>
    <xf numFmtId="0" fontId="5" fillId="37" borderId="57" xfId="0" applyFont="1" applyFill="1" applyBorder="1" applyAlignment="1">
      <alignment horizontal="center"/>
    </xf>
    <xf numFmtId="0" fontId="3" fillId="37" borderId="39" xfId="0" applyFont="1" applyFill="1" applyBorder="1" applyAlignment="1">
      <alignment horizontal="left" vertical="center"/>
    </xf>
    <xf numFmtId="16" fontId="5" fillId="0" borderId="49" xfId="0" applyNumberFormat="1" applyFont="1" applyBorder="1" applyAlignment="1">
      <alignment horizontal="center"/>
    </xf>
    <xf numFmtId="0" fontId="3" fillId="37" borderId="57" xfId="0" applyFont="1" applyFill="1" applyBorder="1" applyAlignment="1">
      <alignment horizontal="left" vertical="center"/>
    </xf>
    <xf numFmtId="0" fontId="3" fillId="0" borderId="33" xfId="0" applyFont="1" applyBorder="1" applyAlignment="1">
      <alignment horizontal="left" vertical="center"/>
    </xf>
    <xf numFmtId="0" fontId="3" fillId="0" borderId="26" xfId="0" applyFont="1" applyBorder="1" applyAlignment="1">
      <alignment vertical="center"/>
    </xf>
    <xf numFmtId="0" fontId="3" fillId="0" borderId="26" xfId="0" applyFont="1" applyBorder="1" applyAlignment="1">
      <alignment vertical="top"/>
    </xf>
    <xf numFmtId="0" fontId="3" fillId="0" borderId="62" xfId="0" applyFont="1" applyBorder="1" applyAlignment="1">
      <alignment vertical="top"/>
    </xf>
    <xf numFmtId="0" fontId="5" fillId="37" borderId="48" xfId="0" applyFont="1" applyFill="1" applyBorder="1" applyAlignment="1">
      <alignment horizontal="center"/>
    </xf>
    <xf numFmtId="0" fontId="3" fillId="37" borderId="57" xfId="0" applyFont="1" applyFill="1" applyBorder="1" applyAlignment="1">
      <alignment horizontal="center" vertical="center"/>
    </xf>
    <xf numFmtId="15" fontId="5" fillId="0" borderId="17" xfId="0" applyNumberFormat="1" applyFont="1" applyBorder="1" applyAlignment="1">
      <alignment horizontal="center"/>
    </xf>
    <xf numFmtId="15" fontId="5" fillId="0" borderId="57" xfId="0" applyNumberFormat="1" applyFont="1" applyBorder="1" applyAlignment="1">
      <alignment horizontal="center"/>
    </xf>
    <xf numFmtId="0" fontId="1" fillId="37" borderId="32" xfId="0" applyFont="1" applyFill="1" applyBorder="1" applyAlignment="1">
      <alignment horizontal="left" vertical="center"/>
    </xf>
    <xf numFmtId="0" fontId="5" fillId="37" borderId="26" xfId="0" applyFont="1" applyFill="1" applyBorder="1" applyAlignment="1">
      <alignment horizontal="center"/>
    </xf>
    <xf numFmtId="0" fontId="5" fillId="37" borderId="33" xfId="0" applyFont="1" applyFill="1" applyBorder="1" applyAlignment="1">
      <alignment horizontal="center"/>
    </xf>
    <xf numFmtId="0" fontId="1" fillId="37" borderId="48" xfId="0" applyFont="1" applyFill="1" applyBorder="1" applyAlignment="1">
      <alignment vertical="center"/>
    </xf>
    <xf numFmtId="0" fontId="5" fillId="37" borderId="67" xfId="0" applyFont="1" applyFill="1" applyBorder="1" applyAlignment="1">
      <alignment horizontal="center"/>
    </xf>
    <xf numFmtId="0" fontId="5" fillId="0" borderId="48" xfId="0" applyFont="1" applyFill="1" applyBorder="1" applyAlignment="1">
      <alignment horizontal="center"/>
    </xf>
    <xf numFmtId="0" fontId="5" fillId="0" borderId="33" xfId="0" applyFont="1" applyFill="1" applyBorder="1" applyAlignment="1">
      <alignment horizontal="center"/>
    </xf>
    <xf numFmtId="0" fontId="5" fillId="0" borderId="49" xfId="0" applyNumberFormat="1" applyFont="1" applyBorder="1" applyAlignment="1">
      <alignment horizontal="center"/>
    </xf>
    <xf numFmtId="0" fontId="5" fillId="37" borderId="43" xfId="0" applyFont="1" applyFill="1" applyBorder="1" applyAlignment="1">
      <alignment horizontal="center"/>
    </xf>
    <xf numFmtId="0" fontId="5" fillId="37" borderId="38" xfId="0" applyFont="1" applyFill="1" applyBorder="1" applyAlignment="1">
      <alignment horizontal="center"/>
    </xf>
    <xf numFmtId="0" fontId="5" fillId="0" borderId="48" xfId="0" applyFont="1" applyBorder="1" applyAlignment="1">
      <alignment horizontal="center"/>
    </xf>
    <xf numFmtId="0" fontId="5" fillId="0" borderId="17" xfId="0" applyNumberFormat="1" applyFont="1" applyBorder="1" applyAlignment="1">
      <alignment horizontal="center"/>
    </xf>
    <xf numFmtId="0" fontId="5" fillId="0" borderId="57" xfId="0" applyNumberFormat="1" applyFont="1" applyBorder="1" applyAlignment="1">
      <alignment horizontal="center"/>
    </xf>
    <xf numFmtId="14" fontId="5" fillId="0" borderId="49" xfId="0" applyNumberFormat="1" applyFont="1" applyBorder="1" applyAlignment="1">
      <alignment horizontal="center"/>
    </xf>
    <xf numFmtId="14" fontId="5" fillId="0" borderId="32" xfId="0" applyNumberFormat="1" applyFont="1" applyBorder="1" applyAlignment="1">
      <alignment horizontal="center"/>
    </xf>
    <xf numFmtId="0" fontId="68" fillId="0" borderId="0" xfId="0" applyFont="1" applyFill="1" applyBorder="1" applyAlignment="1">
      <alignment vertical="center" wrapText="1"/>
    </xf>
    <xf numFmtId="0" fontId="67" fillId="0" borderId="0" xfId="0" applyFont="1" applyFill="1" applyBorder="1" applyAlignment="1">
      <alignment vertical="top" wrapText="1"/>
    </xf>
    <xf numFmtId="0" fontId="0" fillId="0" borderId="0" xfId="0" applyFill="1" applyBorder="1" applyAlignment="1">
      <alignment vertical="top" wrapText="1"/>
    </xf>
    <xf numFmtId="0" fontId="5" fillId="0" borderId="48" xfId="0" applyFont="1" applyBorder="1" applyAlignment="1">
      <alignment horizontal="center"/>
    </xf>
    <xf numFmtId="0" fontId="0" fillId="0" borderId="50" xfId="0" applyBorder="1" applyAlignment="1">
      <alignment wrapText="1"/>
    </xf>
    <xf numFmtId="0" fontId="1" fillId="0" borderId="57" xfId="0" applyFont="1" applyBorder="1" applyAlignment="1">
      <alignment horizontal="center" vertical="center"/>
    </xf>
    <xf numFmtId="0" fontId="5" fillId="0" borderId="48" xfId="0" applyFont="1" applyBorder="1" applyAlignment="1">
      <alignment horizontal="center"/>
    </xf>
    <xf numFmtId="0" fontId="3" fillId="37" borderId="49" xfId="0" applyFont="1" applyFill="1" applyBorder="1" applyAlignment="1">
      <alignment horizontal="center" vertical="center"/>
    </xf>
    <xf numFmtId="0" fontId="3" fillId="37" borderId="57" xfId="0" applyFont="1" applyFill="1" applyBorder="1" applyAlignment="1">
      <alignment horizontal="center" vertical="center"/>
    </xf>
    <xf numFmtId="0" fontId="1" fillId="37" borderId="57" xfId="0" applyFont="1" applyFill="1" applyBorder="1" applyAlignment="1">
      <alignment horizontal="center" vertical="center"/>
    </xf>
    <xf numFmtId="164" fontId="3" fillId="0" borderId="41" xfId="0" applyNumberFormat="1" applyFont="1" applyBorder="1" applyAlignment="1">
      <alignment horizontal="center"/>
    </xf>
    <xf numFmtId="0" fontId="5" fillId="0" borderId="42" xfId="0" applyNumberFormat="1" applyFont="1" applyBorder="1" applyAlignment="1">
      <alignment horizontal="center"/>
    </xf>
    <xf numFmtId="0" fontId="64" fillId="0" borderId="80" xfId="0" applyFont="1" applyBorder="1" applyAlignment="1">
      <alignment wrapText="1"/>
    </xf>
    <xf numFmtId="0" fontId="5" fillId="0" borderId="0" xfId="0" applyFont="1" applyAlignment="1">
      <alignment horizontal="center" vertical="center" wrapText="1"/>
    </xf>
    <xf numFmtId="0" fontId="1" fillId="0" borderId="57" xfId="0" applyFont="1" applyBorder="1" applyAlignment="1">
      <alignment horizontal="center" vertical="center"/>
    </xf>
    <xf numFmtId="0" fontId="0" fillId="0" borderId="40" xfId="0" applyBorder="1" applyAlignment="1">
      <alignment wrapText="1"/>
    </xf>
    <xf numFmtId="0" fontId="0" fillId="0" borderId="10" xfId="0" applyBorder="1" applyAlignment="1">
      <alignment wrapText="1"/>
    </xf>
    <xf numFmtId="0" fontId="0" fillId="0" borderId="26" xfId="0" applyBorder="1" applyAlignment="1">
      <alignment wrapText="1"/>
    </xf>
    <xf numFmtId="0" fontId="0" fillId="0" borderId="68" xfId="0" applyBorder="1" applyAlignment="1">
      <alignment wrapText="1"/>
    </xf>
    <xf numFmtId="0" fontId="0" fillId="0" borderId="69" xfId="0" applyBorder="1" applyAlignment="1">
      <alignment wrapText="1"/>
    </xf>
    <xf numFmtId="0" fontId="5" fillId="37" borderId="48" xfId="0" applyFont="1" applyFill="1" applyBorder="1" applyAlignment="1">
      <alignment horizontal="center"/>
    </xf>
    <xf numFmtId="0" fontId="5" fillId="37" borderId="57" xfId="0" applyFont="1" applyFill="1" applyBorder="1" applyAlignment="1">
      <alignment horizontal="center"/>
    </xf>
    <xf numFmtId="0" fontId="5" fillId="0" borderId="48" xfId="0" applyFont="1" applyBorder="1" applyAlignment="1">
      <alignment horizontal="center"/>
    </xf>
    <xf numFmtId="0" fontId="5" fillId="0" borderId="57" xfId="0" applyFont="1" applyBorder="1" applyAlignment="1">
      <alignment horizontal="center"/>
    </xf>
    <xf numFmtId="0" fontId="1" fillId="37" borderId="57" xfId="0" applyFont="1" applyFill="1" applyBorder="1" applyAlignment="1">
      <alignment horizontal="center" vertical="center"/>
    </xf>
    <xf numFmtId="0" fontId="3" fillId="37" borderId="57" xfId="0" applyFont="1" applyFill="1" applyBorder="1" applyAlignment="1">
      <alignment horizontal="center" vertical="center"/>
    </xf>
    <xf numFmtId="0" fontId="3" fillId="37" borderId="49" xfId="0" applyFont="1" applyFill="1" applyBorder="1" applyAlignment="1">
      <alignment horizontal="center" vertical="center"/>
    </xf>
    <xf numFmtId="0" fontId="0" fillId="0" borderId="0" xfId="0" applyBorder="1" applyAlignment="1">
      <alignment wrapText="1"/>
    </xf>
    <xf numFmtId="0" fontId="3" fillId="37" borderId="65" xfId="0" applyFont="1" applyFill="1" applyBorder="1" applyAlignment="1">
      <alignment horizontal="center" vertical="center"/>
    </xf>
    <xf numFmtId="0" fontId="3" fillId="37" borderId="32" xfId="0" applyFont="1" applyFill="1" applyBorder="1" applyAlignment="1">
      <alignment horizontal="center" vertical="center"/>
    </xf>
    <xf numFmtId="0" fontId="5" fillId="37" borderId="33" xfId="0" applyFont="1" applyFill="1" applyBorder="1" applyAlignment="1">
      <alignment horizontal="center"/>
    </xf>
    <xf numFmtId="0" fontId="0" fillId="0" borderId="10" xfId="0" applyBorder="1" applyAlignment="1">
      <alignment wrapText="1"/>
    </xf>
    <xf numFmtId="0" fontId="0" fillId="0" borderId="26" xfId="0" applyBorder="1" applyAlignment="1">
      <alignment wrapText="1"/>
    </xf>
    <xf numFmtId="0" fontId="1" fillId="0" borderId="57" xfId="0" applyFont="1" applyBorder="1" applyAlignment="1">
      <alignment horizontal="center" vertical="center"/>
    </xf>
    <xf numFmtId="0" fontId="5" fillId="37" borderId="57" xfId="0" applyFont="1" applyFill="1" applyBorder="1" applyAlignment="1">
      <alignment horizontal="center"/>
    </xf>
    <xf numFmtId="0" fontId="5" fillId="0" borderId="48" xfId="0" applyFont="1" applyBorder="1" applyAlignment="1">
      <alignment horizontal="center"/>
    </xf>
    <xf numFmtId="0" fontId="5" fillId="0" borderId="57" xfId="0" applyFont="1" applyBorder="1" applyAlignment="1">
      <alignment horizontal="center"/>
    </xf>
    <xf numFmtId="0" fontId="3" fillId="37" borderId="49" xfId="0" applyFont="1" applyFill="1" applyBorder="1" applyAlignment="1">
      <alignment horizontal="center" vertical="center"/>
    </xf>
    <xf numFmtId="0" fontId="3" fillId="37" borderId="57" xfId="0" applyFont="1" applyFill="1" applyBorder="1" applyAlignment="1">
      <alignment horizontal="center" vertical="center"/>
    </xf>
    <xf numFmtId="0" fontId="1" fillId="37" borderId="57" xfId="0" applyFont="1" applyFill="1" applyBorder="1" applyAlignment="1">
      <alignment horizontal="center" vertical="center"/>
    </xf>
    <xf numFmtId="0" fontId="3" fillId="37" borderId="65" xfId="0" applyFont="1" applyFill="1" applyBorder="1" applyAlignment="1">
      <alignment horizontal="center" vertical="center"/>
    </xf>
    <xf numFmtId="0" fontId="5" fillId="37" borderId="66" xfId="0" applyFont="1" applyFill="1" applyBorder="1" applyAlignment="1">
      <alignment horizontal="center"/>
    </xf>
    <xf numFmtId="0" fontId="3" fillId="37" borderId="32" xfId="0" applyFont="1" applyFill="1" applyBorder="1" applyAlignment="1">
      <alignment horizontal="center" vertical="center"/>
    </xf>
    <xf numFmtId="0" fontId="20" fillId="12" borderId="66" xfId="0" applyFont="1" applyFill="1" applyBorder="1" applyAlignment="1">
      <alignment vertical="center"/>
    </xf>
    <xf numFmtId="0" fontId="1" fillId="0" borderId="66" xfId="0" applyFont="1" applyBorder="1" applyAlignment="1">
      <alignment vertical="center"/>
    </xf>
    <xf numFmtId="0" fontId="8" fillId="5" borderId="66" xfId="0" applyFont="1" applyFill="1" applyBorder="1" applyAlignment="1">
      <alignment vertical="center"/>
    </xf>
    <xf numFmtId="0" fontId="32" fillId="0" borderId="77" xfId="0" applyFont="1" applyBorder="1" applyAlignment="1">
      <alignment vertical="center"/>
    </xf>
    <xf numFmtId="0" fontId="0" fillId="0" borderId="0" xfId="0" applyBorder="1" applyAlignment="1">
      <alignment vertical="top" wrapText="1"/>
    </xf>
    <xf numFmtId="2" fontId="5" fillId="0" borderId="49" xfId="0" applyNumberFormat="1" applyFont="1" applyBorder="1" applyAlignment="1">
      <alignment horizontal="center"/>
    </xf>
    <xf numFmtId="164" fontId="5" fillId="0" borderId="49" xfId="0" applyNumberFormat="1" applyFont="1" applyFill="1" applyBorder="1" applyAlignment="1">
      <alignment horizontal="center"/>
    </xf>
    <xf numFmtId="0" fontId="3" fillId="0" borderId="0" xfId="0" applyFont="1" applyBorder="1" applyAlignment="1">
      <alignment vertical="top"/>
    </xf>
    <xf numFmtId="0" fontId="0" fillId="0" borderId="0" xfId="0" applyAlignment="1">
      <alignment vertical="top" wrapText="1"/>
    </xf>
    <xf numFmtId="0" fontId="0" fillId="0" borderId="10" xfId="0" applyBorder="1" applyAlignment="1">
      <alignment wrapText="1"/>
    </xf>
    <xf numFmtId="0" fontId="1" fillId="0" borderId="57" xfId="0" applyFont="1" applyBorder="1" applyAlignment="1">
      <alignment horizontal="center" vertical="center"/>
    </xf>
    <xf numFmtId="0" fontId="5" fillId="0" borderId="48" xfId="0" applyFont="1" applyBorder="1" applyAlignment="1">
      <alignment horizontal="center"/>
    </xf>
    <xf numFmtId="0" fontId="3" fillId="37" borderId="49" xfId="0" applyFont="1" applyFill="1" applyBorder="1" applyAlignment="1">
      <alignment horizontal="center" vertical="center"/>
    </xf>
    <xf numFmtId="0" fontId="3" fillId="37" borderId="57" xfId="0" applyFont="1" applyFill="1" applyBorder="1" applyAlignment="1">
      <alignment horizontal="center" vertical="center"/>
    </xf>
    <xf numFmtId="0" fontId="1" fillId="37" borderId="57" xfId="0" applyFont="1" applyFill="1" applyBorder="1" applyAlignment="1">
      <alignment horizontal="center" vertical="center"/>
    </xf>
    <xf numFmtId="0" fontId="20" fillId="12" borderId="57" xfId="0" applyFont="1" applyFill="1" applyBorder="1" applyAlignment="1">
      <alignment horizontal="center" vertical="center"/>
    </xf>
    <xf numFmtId="0" fontId="0" fillId="0" borderId="57" xfId="0" applyBorder="1" applyAlignment="1">
      <alignment wrapText="1"/>
    </xf>
    <xf numFmtId="0" fontId="1" fillId="0" borderId="57" xfId="0" applyFont="1" applyBorder="1" applyAlignment="1">
      <alignment horizontal="center" vertical="center"/>
    </xf>
    <xf numFmtId="0" fontId="8" fillId="5" borderId="57" xfId="0" applyFont="1" applyFill="1" applyBorder="1" applyAlignment="1">
      <alignment horizontal="left" vertical="center"/>
    </xf>
    <xf numFmtId="0" fontId="32" fillId="0" borderId="20" xfId="0" applyFont="1" applyBorder="1" applyAlignment="1">
      <alignment horizontal="center" vertical="center"/>
    </xf>
    <xf numFmtId="0" fontId="0" fillId="0" borderId="31" xfId="0" applyBorder="1" applyAlignment="1">
      <alignment wrapText="1"/>
    </xf>
    <xf numFmtId="0" fontId="58" fillId="35" borderId="43" xfId="0" applyFont="1" applyFill="1" applyBorder="1" applyAlignment="1">
      <alignment horizontal="center" vertical="center" wrapText="1"/>
    </xf>
    <xf numFmtId="0" fontId="0" fillId="0" borderId="55" xfId="0" applyBorder="1" applyAlignment="1">
      <alignment wrapText="1"/>
    </xf>
    <xf numFmtId="0" fontId="0" fillId="0" borderId="9" xfId="0" applyBorder="1" applyAlignment="1">
      <alignment wrapText="1"/>
    </xf>
    <xf numFmtId="0" fontId="58" fillId="35" borderId="58" xfId="0" applyFont="1" applyFill="1" applyBorder="1" applyAlignment="1">
      <alignment horizontal="center" vertical="center" wrapText="1"/>
    </xf>
    <xf numFmtId="0" fontId="0" fillId="0" borderId="59" xfId="0" applyBorder="1" applyAlignment="1">
      <alignment wrapText="1"/>
    </xf>
    <xf numFmtId="0" fontId="58" fillId="35" borderId="46" xfId="0" applyFont="1" applyFill="1" applyBorder="1" applyAlignment="1">
      <alignment horizontal="center" vertical="center" wrapText="1"/>
    </xf>
    <xf numFmtId="0" fontId="0" fillId="0" borderId="40" xfId="0" applyBorder="1" applyAlignment="1">
      <alignment wrapText="1"/>
    </xf>
    <xf numFmtId="0" fontId="20" fillId="12" borderId="11" xfId="0" applyFont="1" applyFill="1" applyBorder="1" applyAlignment="1">
      <alignment horizontal="center" vertical="center"/>
    </xf>
    <xf numFmtId="0" fontId="0" fillId="0" borderId="10" xfId="0" applyBorder="1" applyAlignment="1">
      <alignment wrapText="1"/>
    </xf>
    <xf numFmtId="0" fontId="0" fillId="0" borderId="26" xfId="0" applyBorder="1" applyAlignment="1">
      <alignment wrapText="1"/>
    </xf>
    <xf numFmtId="0" fontId="5" fillId="0" borderId="43" xfId="0" applyFont="1" applyBorder="1" applyAlignment="1">
      <alignment horizontal="center" vertical="center"/>
    </xf>
    <xf numFmtId="0" fontId="33" fillId="0" borderId="32" xfId="0" applyFont="1" applyBorder="1" applyAlignment="1">
      <alignment horizontal="center" vertical="center"/>
    </xf>
    <xf numFmtId="0" fontId="13" fillId="0" borderId="43" xfId="0" applyFont="1" applyBorder="1" applyAlignment="1">
      <alignment horizontal="center"/>
    </xf>
    <xf numFmtId="0" fontId="21" fillId="13" borderId="57" xfId="0" applyFont="1" applyFill="1" applyBorder="1" applyAlignment="1">
      <alignment horizontal="center"/>
    </xf>
    <xf numFmtId="0" fontId="7" fillId="4" borderId="57" xfId="0" applyFont="1" applyFill="1" applyBorder="1" applyAlignment="1">
      <alignment horizontal="center" vertical="center"/>
    </xf>
    <xf numFmtId="0" fontId="31" fillId="0" borderId="54" xfId="0" applyFont="1" applyBorder="1" applyAlignment="1">
      <alignment horizontal="center" vertical="top"/>
    </xf>
    <xf numFmtId="0" fontId="31" fillId="0" borderId="26" xfId="0" applyFont="1" applyBorder="1" applyAlignment="1">
      <alignment horizontal="center" vertical="top"/>
    </xf>
    <xf numFmtId="0" fontId="31" fillId="0" borderId="56" xfId="0" applyFont="1" applyBorder="1" applyAlignment="1">
      <alignment horizontal="center" vertical="top"/>
    </xf>
    <xf numFmtId="0" fontId="37" fillId="23" borderId="25" xfId="0" applyFont="1" applyFill="1" applyBorder="1" applyAlignment="1">
      <alignment horizontal="center" vertical="center"/>
    </xf>
    <xf numFmtId="0" fontId="36" fillId="22" borderId="24" xfId="0" applyFont="1" applyFill="1" applyBorder="1" applyAlignment="1">
      <alignment horizontal="center" vertical="center"/>
    </xf>
    <xf numFmtId="0" fontId="29" fillId="20" borderId="18" xfId="0" applyFont="1" applyFill="1" applyBorder="1" applyAlignment="1">
      <alignment horizontal="center"/>
    </xf>
    <xf numFmtId="1" fontId="48" fillId="0" borderId="34" xfId="0" applyNumberFormat="1" applyFont="1" applyBorder="1" applyAlignment="1">
      <alignment horizontal="center" vertical="center"/>
    </xf>
    <xf numFmtId="1" fontId="11" fillId="0" borderId="6" xfId="0" applyNumberFormat="1" applyFont="1" applyBorder="1" applyAlignment="1">
      <alignment horizontal="center"/>
    </xf>
    <xf numFmtId="0" fontId="5" fillId="0" borderId="3" xfId="0" applyFont="1" applyBorder="1" applyAlignment="1">
      <alignment horizontal="center" vertical="center"/>
    </xf>
    <xf numFmtId="0" fontId="33" fillId="0" borderId="21" xfId="0" applyFont="1" applyBorder="1" applyAlignment="1">
      <alignment horizontal="center" vertical="center"/>
    </xf>
    <xf numFmtId="0" fontId="13" fillId="0" borderId="7" xfId="0" applyFont="1" applyBorder="1" applyAlignment="1">
      <alignment horizontal="center"/>
    </xf>
    <xf numFmtId="0" fontId="29" fillId="20" borderId="39" xfId="0" applyFont="1" applyFill="1" applyBorder="1" applyAlignment="1">
      <alignment horizontal="center"/>
    </xf>
    <xf numFmtId="0" fontId="0" fillId="0" borderId="36" xfId="0" applyBorder="1" applyAlignment="1">
      <alignment wrapText="1"/>
    </xf>
    <xf numFmtId="1" fontId="3" fillId="0" borderId="1" xfId="0" applyNumberFormat="1" applyFont="1" applyBorder="1" applyAlignment="1">
      <alignment horizontal="center"/>
    </xf>
    <xf numFmtId="1" fontId="11" fillId="0" borderId="57" xfId="0" applyNumberFormat="1" applyFont="1" applyBorder="1" applyAlignment="1">
      <alignment horizontal="center"/>
    </xf>
    <xf numFmtId="0" fontId="9" fillId="6" borderId="5" xfId="0" applyFont="1" applyFill="1" applyBorder="1" applyAlignment="1">
      <alignment horizontal="center"/>
    </xf>
    <xf numFmtId="0" fontId="29" fillId="20" borderId="57" xfId="0" applyFont="1" applyFill="1" applyBorder="1" applyAlignment="1">
      <alignment horizontal="center"/>
    </xf>
    <xf numFmtId="0" fontId="31" fillId="0" borderId="50" xfId="0" applyFont="1" applyBorder="1" applyAlignment="1">
      <alignment horizontal="center" vertical="top"/>
    </xf>
    <xf numFmtId="0" fontId="31" fillId="0" borderId="0" xfId="0" applyFont="1" applyBorder="1" applyAlignment="1">
      <alignment horizontal="center" vertical="top"/>
    </xf>
    <xf numFmtId="0" fontId="31" fillId="0" borderId="51" xfId="0" applyFont="1" applyBorder="1" applyAlignment="1">
      <alignment horizontal="center" vertical="top"/>
    </xf>
    <xf numFmtId="0" fontId="31" fillId="0" borderId="64" xfId="0" applyFont="1" applyBorder="1" applyAlignment="1">
      <alignment horizontal="center" vertical="top"/>
    </xf>
    <xf numFmtId="0" fontId="31" fillId="0" borderId="60" xfId="0" applyFont="1" applyBorder="1" applyAlignment="1">
      <alignment horizontal="center" vertical="top"/>
    </xf>
    <xf numFmtId="0" fontId="31" fillId="0" borderId="59" xfId="0" applyFont="1" applyBorder="1" applyAlignment="1">
      <alignment horizontal="center" vertical="top"/>
    </xf>
    <xf numFmtId="0" fontId="56" fillId="34" borderId="57" xfId="0" applyFont="1" applyFill="1" applyBorder="1" applyAlignment="1">
      <alignment horizontal="center" vertical="center"/>
    </xf>
    <xf numFmtId="0" fontId="1" fillId="0" borderId="62" xfId="0" applyFont="1" applyBorder="1" applyAlignment="1">
      <alignment horizontal="left" vertical="top" wrapText="1"/>
    </xf>
    <xf numFmtId="0" fontId="1" fillId="0" borderId="63" xfId="0" applyFont="1" applyBorder="1" applyAlignment="1">
      <alignment horizontal="left" vertical="top" wrapText="1"/>
    </xf>
    <xf numFmtId="0" fontId="1" fillId="0" borderId="0" xfId="0" applyFont="1" applyBorder="1" applyAlignment="1">
      <alignment horizontal="left" vertical="top" wrapText="1"/>
    </xf>
    <xf numFmtId="0" fontId="1" fillId="0" borderId="51" xfId="0" applyFont="1" applyBorder="1" applyAlignment="1">
      <alignment horizontal="left" vertical="top" wrapText="1"/>
    </xf>
    <xf numFmtId="0" fontId="13" fillId="0" borderId="57" xfId="0" applyFont="1" applyBorder="1" applyAlignment="1">
      <alignment horizontal="center"/>
    </xf>
    <xf numFmtId="0" fontId="19" fillId="11" borderId="57" xfId="0" applyFont="1" applyFill="1" applyBorder="1" applyAlignment="1">
      <alignment horizontal="center" vertical="top"/>
    </xf>
    <xf numFmtId="0" fontId="21" fillId="13" borderId="61" xfId="0" applyFont="1" applyFill="1" applyBorder="1" applyAlignment="1">
      <alignment horizontal="center"/>
    </xf>
    <xf numFmtId="0" fontId="14" fillId="9" borderId="48" xfId="0" applyFont="1" applyFill="1" applyBorder="1" applyAlignment="1">
      <alignment horizontal="center" vertical="center"/>
    </xf>
    <xf numFmtId="0" fontId="14" fillId="9" borderId="33" xfId="0" applyFont="1" applyFill="1" applyBorder="1" applyAlignment="1">
      <alignment horizontal="center" vertical="center"/>
    </xf>
    <xf numFmtId="0" fontId="12" fillId="8" borderId="39" xfId="0" applyFont="1" applyFill="1" applyBorder="1" applyAlignment="1">
      <alignment horizontal="center" vertical="center"/>
    </xf>
    <xf numFmtId="0" fontId="12" fillId="8" borderId="36" xfId="0" applyFont="1" applyFill="1" applyBorder="1" applyAlignment="1">
      <alignment horizontal="center" vertical="center"/>
    </xf>
    <xf numFmtId="0" fontId="43" fillId="28" borderId="43" xfId="0" applyFont="1" applyFill="1" applyBorder="1" applyAlignment="1">
      <alignment horizontal="center" vertical="center"/>
    </xf>
    <xf numFmtId="0" fontId="43" fillId="28" borderId="55" xfId="0" applyFont="1" applyFill="1" applyBorder="1" applyAlignment="1">
      <alignment horizontal="center" vertical="center"/>
    </xf>
    <xf numFmtId="0" fontId="4" fillId="0" borderId="2" xfId="0" applyFont="1" applyBorder="1" applyAlignment="1">
      <alignment horizontal="center" vertical="center"/>
    </xf>
    <xf numFmtId="0" fontId="41" fillId="0" borderId="28" xfId="0" applyFont="1" applyBorder="1" applyAlignment="1">
      <alignment horizontal="center"/>
    </xf>
    <xf numFmtId="0" fontId="17" fillId="0" borderId="8" xfId="0" applyFont="1" applyBorder="1" applyAlignment="1">
      <alignment horizontal="center"/>
    </xf>
    <xf numFmtId="0" fontId="24" fillId="16" borderId="13" xfId="0" applyFont="1" applyFill="1" applyBorder="1" applyAlignment="1">
      <alignment horizontal="center" vertical="center"/>
    </xf>
    <xf numFmtId="0" fontId="26" fillId="17" borderId="15" xfId="0" applyFont="1" applyFill="1" applyBorder="1" applyAlignment="1">
      <alignment horizontal="center"/>
    </xf>
    <xf numFmtId="0" fontId="39" fillId="25" borderId="48" xfId="0" applyFont="1" applyFill="1" applyBorder="1" applyAlignment="1">
      <alignment horizontal="center" vertical="center" wrapText="1"/>
    </xf>
    <xf numFmtId="0" fontId="39" fillId="25" borderId="33" xfId="0" applyFont="1" applyFill="1" applyBorder="1" applyAlignment="1">
      <alignment horizontal="center" vertical="center" wrapText="1"/>
    </xf>
    <xf numFmtId="0" fontId="28" fillId="19" borderId="57" xfId="0" applyFont="1" applyFill="1" applyBorder="1" applyAlignment="1">
      <alignment horizontal="center" vertical="center"/>
    </xf>
    <xf numFmtId="0" fontId="62" fillId="19" borderId="57" xfId="0" applyFont="1" applyFill="1" applyBorder="1" applyAlignment="1">
      <alignment horizontal="center" vertical="center"/>
    </xf>
    <xf numFmtId="0" fontId="22" fillId="14" borderId="26" xfId="0" applyFont="1" applyFill="1" applyBorder="1" applyAlignment="1">
      <alignment horizontal="center" vertical="center"/>
    </xf>
    <xf numFmtId="0" fontId="22" fillId="14" borderId="38" xfId="0" applyFont="1" applyFill="1" applyBorder="1" applyAlignment="1">
      <alignment horizontal="center" vertical="center"/>
    </xf>
    <xf numFmtId="0" fontId="1" fillId="37" borderId="57" xfId="0" applyFont="1" applyFill="1" applyBorder="1" applyAlignment="1">
      <alignment horizontal="center" vertical="center"/>
    </xf>
    <xf numFmtId="0" fontId="1" fillId="0" borderId="66" xfId="0" applyFont="1" applyBorder="1" applyAlignment="1">
      <alignment horizontal="center" vertical="center"/>
    </xf>
    <xf numFmtId="0" fontId="0" fillId="0" borderId="68" xfId="0" applyBorder="1" applyAlignment="1">
      <alignment wrapText="1"/>
    </xf>
    <xf numFmtId="0" fontId="0" fillId="0" borderId="69" xfId="0" applyBorder="1" applyAlignment="1">
      <alignment wrapText="1"/>
    </xf>
    <xf numFmtId="0" fontId="1" fillId="37" borderId="57" xfId="0" applyFont="1" applyFill="1" applyBorder="1" applyAlignment="1">
      <alignment horizontal="left" vertical="center"/>
    </xf>
    <xf numFmtId="0" fontId="1" fillId="0" borderId="40" xfId="0" applyFont="1" applyBorder="1" applyAlignment="1">
      <alignment horizontal="center" vertical="center"/>
    </xf>
    <xf numFmtId="0" fontId="3" fillId="37" borderId="43" xfId="0" applyFont="1" applyFill="1" applyBorder="1" applyAlignment="1">
      <alignment horizontal="center" vertical="center" wrapText="1"/>
    </xf>
    <xf numFmtId="0" fontId="0" fillId="0" borderId="33" xfId="0" applyBorder="1" applyAlignment="1">
      <alignment wrapText="1"/>
    </xf>
    <xf numFmtId="0" fontId="3" fillId="37" borderId="58" xfId="0" applyFont="1" applyFill="1" applyBorder="1" applyAlignment="1">
      <alignment horizontal="center" vertical="center" wrapText="1"/>
    </xf>
    <xf numFmtId="0" fontId="3" fillId="37" borderId="48" xfId="0" applyFont="1" applyFill="1" applyBorder="1" applyAlignment="1">
      <alignment horizontal="center" vertical="center" wrapText="1"/>
    </xf>
    <xf numFmtId="0" fontId="3" fillId="37" borderId="57" xfId="0" applyFont="1" applyFill="1" applyBorder="1" applyAlignment="1">
      <alignment horizontal="center" vertical="center"/>
    </xf>
    <xf numFmtId="0" fontId="1" fillId="37" borderId="26" xfId="0" applyFont="1" applyFill="1" applyBorder="1" applyAlignment="1">
      <alignment horizontal="center" vertical="center"/>
    </xf>
    <xf numFmtId="1" fontId="3" fillId="0" borderId="48" xfId="0" applyNumberFormat="1" applyFont="1" applyBorder="1" applyAlignment="1">
      <alignment horizontal="center" vertical="center"/>
    </xf>
    <xf numFmtId="0" fontId="3" fillId="37" borderId="57" xfId="0" applyFont="1" applyFill="1" applyBorder="1" applyAlignment="1">
      <alignment horizontal="center" vertical="top"/>
    </xf>
    <xf numFmtId="0" fontId="3" fillId="0" borderId="50" xfId="0" applyFont="1" applyBorder="1" applyAlignment="1">
      <alignment horizontal="center" vertical="top"/>
    </xf>
    <xf numFmtId="0" fontId="3" fillId="0" borderId="0" xfId="0" applyFont="1" applyBorder="1" applyAlignment="1">
      <alignment horizontal="center" vertical="top"/>
    </xf>
    <xf numFmtId="0" fontId="3" fillId="0" borderId="51" xfId="0" applyFont="1" applyBorder="1" applyAlignment="1">
      <alignment horizontal="center" vertical="top"/>
    </xf>
    <xf numFmtId="0" fontId="3" fillId="0" borderId="32" xfId="0" applyFont="1" applyBorder="1" applyAlignment="1">
      <alignment horizontal="center" vertical="center"/>
    </xf>
    <xf numFmtId="0" fontId="5" fillId="0" borderId="43" xfId="0" applyFont="1" applyBorder="1" applyAlignment="1">
      <alignment horizontal="center"/>
    </xf>
    <xf numFmtId="0" fontId="3" fillId="37" borderId="57" xfId="0" applyFont="1" applyFill="1" applyBorder="1" applyAlignment="1">
      <alignment horizontal="center"/>
    </xf>
    <xf numFmtId="0" fontId="3" fillId="0" borderId="54" xfId="0" applyFont="1" applyBorder="1" applyAlignment="1">
      <alignment horizontal="center" vertical="top"/>
    </xf>
    <xf numFmtId="0" fontId="3" fillId="0" borderId="26" xfId="0" applyFont="1" applyBorder="1" applyAlignment="1">
      <alignment horizontal="center" vertical="top"/>
    </xf>
    <xf numFmtId="0" fontId="3" fillId="0" borderId="56" xfId="0" applyFont="1" applyBorder="1" applyAlignment="1">
      <alignment horizontal="center" vertical="top"/>
    </xf>
    <xf numFmtId="0" fontId="5" fillId="37" borderId="48" xfId="0" applyFont="1" applyFill="1" applyBorder="1" applyAlignment="1">
      <alignment horizontal="center" vertical="center"/>
    </xf>
    <xf numFmtId="0" fontId="3" fillId="37" borderId="49" xfId="0" applyFont="1" applyFill="1" applyBorder="1" applyAlignment="1">
      <alignment horizontal="center" vertical="center"/>
    </xf>
    <xf numFmtId="0" fontId="5" fillId="37" borderId="48" xfId="0" applyFont="1" applyFill="1" applyBorder="1" applyAlignment="1">
      <alignment horizontal="center"/>
    </xf>
    <xf numFmtId="0" fontId="5" fillId="0" borderId="48" xfId="0" applyFont="1" applyBorder="1" applyAlignment="1">
      <alignment horizontal="center" vertical="center"/>
    </xf>
    <xf numFmtId="0" fontId="3" fillId="0" borderId="49" xfId="0" applyFont="1" applyBorder="1" applyAlignment="1">
      <alignment horizontal="center" vertical="center"/>
    </xf>
    <xf numFmtId="0" fontId="5" fillId="0" borderId="48" xfId="0" applyFont="1" applyBorder="1" applyAlignment="1">
      <alignment horizontal="center"/>
    </xf>
    <xf numFmtId="0" fontId="3" fillId="37" borderId="61" xfId="0" applyFont="1" applyFill="1" applyBorder="1" applyAlignment="1">
      <alignment horizontal="center"/>
    </xf>
    <xf numFmtId="0" fontId="3" fillId="0" borderId="64" xfId="0" applyFont="1" applyBorder="1" applyAlignment="1">
      <alignment horizontal="center" vertical="top"/>
    </xf>
    <xf numFmtId="0" fontId="3" fillId="0" borderId="60" xfId="0" applyFont="1" applyBorder="1" applyAlignment="1">
      <alignment horizontal="center" vertical="top"/>
    </xf>
    <xf numFmtId="0" fontId="3" fillId="0" borderId="59" xfId="0" applyFont="1" applyBorder="1" applyAlignment="1">
      <alignment horizontal="center" vertical="top"/>
    </xf>
    <xf numFmtId="1" fontId="5" fillId="0" borderId="48" xfId="0" applyNumberFormat="1" applyFont="1" applyBorder="1" applyAlignment="1">
      <alignment horizontal="center"/>
    </xf>
    <xf numFmtId="0" fontId="5" fillId="37" borderId="39" xfId="0" applyFont="1" applyFill="1" applyBorder="1" applyAlignment="1">
      <alignment horizontal="center"/>
    </xf>
    <xf numFmtId="1" fontId="3" fillId="0" borderId="48" xfId="0" applyNumberFormat="1" applyFont="1" applyBorder="1" applyAlignment="1">
      <alignment horizontal="center"/>
    </xf>
    <xf numFmtId="1" fontId="5" fillId="0" borderId="57" xfId="0" applyNumberFormat="1" applyFont="1" applyBorder="1" applyAlignment="1">
      <alignment horizontal="center"/>
    </xf>
    <xf numFmtId="0" fontId="3" fillId="0" borderId="49" xfId="0" applyFont="1" applyBorder="1" applyAlignment="1">
      <alignment horizontal="center"/>
    </xf>
    <xf numFmtId="0" fontId="5" fillId="0" borderId="57" xfId="0" applyFont="1" applyBorder="1" applyAlignment="1">
      <alignment horizontal="center"/>
    </xf>
    <xf numFmtId="0" fontId="3" fillId="37" borderId="33" xfId="0" applyFont="1" applyFill="1" applyBorder="1" applyAlignment="1">
      <alignment horizontal="center" vertical="center" wrapText="1"/>
    </xf>
    <xf numFmtId="0" fontId="1" fillId="37" borderId="38" xfId="0" applyFont="1" applyFill="1" applyBorder="1" applyAlignment="1">
      <alignment horizontal="center" vertical="center"/>
    </xf>
    <xf numFmtId="0" fontId="3" fillId="37" borderId="49" xfId="0" applyFont="1" applyFill="1" applyBorder="1" applyAlignment="1">
      <alignment horizontal="center"/>
    </xf>
    <xf numFmtId="0" fontId="5" fillId="37" borderId="57" xfId="0" applyFont="1" applyFill="1" applyBorder="1" applyAlignment="1">
      <alignment horizontal="center"/>
    </xf>
    <xf numFmtId="0" fontId="3" fillId="37" borderId="48" xfId="0" applyFont="1" applyFill="1" applyBorder="1" applyAlignment="1">
      <alignment horizontal="center" vertical="center"/>
    </xf>
    <xf numFmtId="0" fontId="3" fillId="37" borderId="33" xfId="0" applyFont="1" applyFill="1" applyBorder="1" applyAlignment="1">
      <alignment horizontal="center" vertical="center"/>
    </xf>
    <xf numFmtId="0" fontId="3" fillId="37" borderId="39" xfId="0" applyFont="1" applyFill="1" applyBorder="1" applyAlignment="1">
      <alignment horizontal="center" vertical="center"/>
    </xf>
    <xf numFmtId="0" fontId="3" fillId="37" borderId="36" xfId="0" applyFont="1" applyFill="1" applyBorder="1" applyAlignment="1">
      <alignment horizontal="center" vertical="center"/>
    </xf>
    <xf numFmtId="0" fontId="3" fillId="0" borderId="48" xfId="0" applyFont="1" applyBorder="1" applyAlignment="1">
      <alignment horizontal="center" vertical="center"/>
    </xf>
    <xf numFmtId="0" fontId="3" fillId="0" borderId="48" xfId="0" applyFont="1" applyBorder="1" applyAlignment="1">
      <alignment horizontal="center"/>
    </xf>
    <xf numFmtId="0" fontId="3" fillId="37" borderId="43" xfId="0" applyFont="1" applyFill="1" applyBorder="1" applyAlignment="1">
      <alignment horizontal="center" vertical="center"/>
    </xf>
    <xf numFmtId="0" fontId="3" fillId="37" borderId="55" xfId="0" applyFont="1" applyFill="1" applyBorder="1" applyAlignment="1">
      <alignment horizontal="center" vertical="center"/>
    </xf>
    <xf numFmtId="0" fontId="3" fillId="37" borderId="48" xfId="0" applyFont="1" applyFill="1" applyBorder="1" applyAlignment="1">
      <alignment horizontal="center"/>
    </xf>
    <xf numFmtId="0" fontId="1" fillId="37" borderId="66" xfId="0" applyFont="1" applyFill="1" applyBorder="1" applyAlignment="1">
      <alignment horizontal="center" vertical="center"/>
    </xf>
    <xf numFmtId="0" fontId="1" fillId="0" borderId="68" xfId="0" applyFont="1" applyBorder="1" applyAlignment="1">
      <alignment horizontal="center" vertical="center"/>
    </xf>
    <xf numFmtId="0" fontId="1" fillId="0" borderId="69" xfId="0" applyFont="1" applyBorder="1" applyAlignment="1">
      <alignment horizontal="center" vertical="center"/>
    </xf>
    <xf numFmtId="0" fontId="1" fillId="37" borderId="66" xfId="0" applyFont="1" applyFill="1" applyBorder="1" applyAlignment="1">
      <alignment horizontal="left" vertical="center"/>
    </xf>
    <xf numFmtId="0" fontId="1" fillId="0" borderId="77" xfId="0" applyFont="1" applyBorder="1" applyAlignment="1">
      <alignment horizontal="center" vertical="center"/>
    </xf>
    <xf numFmtId="0" fontId="3" fillId="37" borderId="74" xfId="0" applyFont="1" applyFill="1" applyBorder="1" applyAlignment="1">
      <alignment horizontal="center" vertical="center" wrapText="1"/>
    </xf>
    <xf numFmtId="0" fontId="0" fillId="0" borderId="75" xfId="0" applyBorder="1" applyAlignment="1">
      <alignment wrapText="1"/>
    </xf>
    <xf numFmtId="0" fontId="3" fillId="37" borderId="76" xfId="0" applyFont="1" applyFill="1" applyBorder="1" applyAlignment="1">
      <alignment horizontal="center" vertical="center" wrapText="1"/>
    </xf>
    <xf numFmtId="0" fontId="0" fillId="0" borderId="70" xfId="0" applyBorder="1" applyAlignment="1">
      <alignment wrapText="1"/>
    </xf>
    <xf numFmtId="0" fontId="3" fillId="37" borderId="66" xfId="0" applyFont="1" applyFill="1" applyBorder="1" applyAlignment="1">
      <alignment horizontal="center" vertical="center"/>
    </xf>
    <xf numFmtId="0" fontId="3" fillId="37" borderId="69" xfId="0" applyFont="1" applyFill="1" applyBorder="1" applyAlignment="1">
      <alignment horizontal="center" vertical="center"/>
    </xf>
    <xf numFmtId="0" fontId="3" fillId="37" borderId="66" xfId="0" applyFont="1" applyFill="1" applyBorder="1" applyAlignment="1">
      <alignment horizontal="center" vertical="top"/>
    </xf>
    <xf numFmtId="0" fontId="3" fillId="37" borderId="68" xfId="0" applyFont="1" applyFill="1" applyBorder="1" applyAlignment="1">
      <alignment horizontal="center" vertical="top"/>
    </xf>
    <xf numFmtId="0" fontId="3" fillId="37" borderId="69" xfId="0" applyFont="1" applyFill="1" applyBorder="1" applyAlignment="1">
      <alignment horizontal="center" vertical="top"/>
    </xf>
    <xf numFmtId="0" fontId="5" fillId="0" borderId="74" xfId="0" applyFont="1" applyBorder="1" applyAlignment="1">
      <alignment horizontal="center" vertical="center"/>
    </xf>
    <xf numFmtId="0" fontId="3" fillId="0" borderId="74" xfId="0" applyFont="1" applyBorder="1" applyAlignment="1">
      <alignment horizontal="center" vertical="center"/>
    </xf>
    <xf numFmtId="0" fontId="5" fillId="0" borderId="74" xfId="0" applyFont="1" applyBorder="1" applyAlignment="1">
      <alignment horizontal="center"/>
    </xf>
    <xf numFmtId="0" fontId="3" fillId="37" borderId="66" xfId="0" applyFont="1" applyFill="1" applyBorder="1" applyAlignment="1">
      <alignment horizontal="center"/>
    </xf>
    <xf numFmtId="0" fontId="3" fillId="37" borderId="68" xfId="0" applyFont="1" applyFill="1" applyBorder="1" applyAlignment="1">
      <alignment horizontal="center"/>
    </xf>
    <xf numFmtId="0" fontId="3" fillId="37" borderId="69" xfId="0" applyFont="1" applyFill="1" applyBorder="1" applyAlignment="1">
      <alignment horizontal="center"/>
    </xf>
    <xf numFmtId="0" fontId="1" fillId="37" borderId="78" xfId="0" applyFont="1" applyFill="1" applyBorder="1" applyAlignment="1">
      <alignment horizontal="center" vertical="center"/>
    </xf>
    <xf numFmtId="0" fontId="1" fillId="37" borderId="62" xfId="0" applyFont="1" applyFill="1" applyBorder="1" applyAlignment="1">
      <alignment horizontal="center" vertical="center"/>
    </xf>
    <xf numFmtId="0" fontId="1" fillId="37" borderId="63" xfId="0" applyFont="1" applyFill="1" applyBorder="1" applyAlignment="1">
      <alignment horizontal="center" vertical="center"/>
    </xf>
    <xf numFmtId="0" fontId="1" fillId="37" borderId="64" xfId="0" applyFont="1" applyFill="1" applyBorder="1" applyAlignment="1">
      <alignment horizontal="center" vertical="center"/>
    </xf>
    <xf numFmtId="0" fontId="1" fillId="37" borderId="60" xfId="0" applyFont="1" applyFill="1" applyBorder="1" applyAlignment="1">
      <alignment horizontal="center" vertical="center"/>
    </xf>
    <xf numFmtId="0" fontId="1" fillId="37" borderId="59" xfId="0" applyFont="1" applyFill="1" applyBorder="1" applyAlignment="1">
      <alignment horizontal="center" vertical="center"/>
    </xf>
    <xf numFmtId="0" fontId="5" fillId="37" borderId="58" xfId="0" applyFont="1" applyFill="1" applyBorder="1" applyAlignment="1">
      <alignment horizontal="center"/>
    </xf>
    <xf numFmtId="0" fontId="0" fillId="0" borderId="72" xfId="0" applyBorder="1" applyAlignment="1">
      <alignment wrapText="1"/>
    </xf>
    <xf numFmtId="0" fontId="3" fillId="0" borderId="62" xfId="0" applyFont="1" applyBorder="1" applyAlignment="1">
      <alignment horizontal="left" vertical="top" wrapText="1"/>
    </xf>
    <xf numFmtId="0" fontId="3" fillId="0" borderId="63" xfId="0" applyFont="1" applyBorder="1" applyAlignment="1">
      <alignment horizontal="left" vertical="top" wrapText="1"/>
    </xf>
    <xf numFmtId="0" fontId="3" fillId="0" borderId="0" xfId="0" applyFont="1" applyBorder="1" applyAlignment="1">
      <alignment horizontal="left" vertical="top" wrapText="1"/>
    </xf>
    <xf numFmtId="0" fontId="3" fillId="0" borderId="51" xfId="0" applyFont="1" applyBorder="1" applyAlignment="1">
      <alignment horizontal="left" vertical="top" wrapText="1"/>
    </xf>
    <xf numFmtId="1" fontId="5" fillId="0" borderId="66" xfId="0" applyNumberFormat="1" applyFont="1" applyBorder="1" applyAlignment="1">
      <alignment horizontal="center"/>
    </xf>
    <xf numFmtId="0" fontId="5" fillId="0" borderId="66" xfId="0" applyFont="1" applyBorder="1" applyAlignment="1">
      <alignment horizontal="center"/>
    </xf>
    <xf numFmtId="0" fontId="1" fillId="37" borderId="56" xfId="0" applyFont="1" applyFill="1" applyBorder="1" applyAlignment="1">
      <alignment horizontal="center" vertical="center"/>
    </xf>
    <xf numFmtId="0" fontId="1" fillId="37" borderId="79" xfId="0" applyFont="1" applyFill="1" applyBorder="1" applyAlignment="1">
      <alignment horizontal="center" vertical="center"/>
    </xf>
    <xf numFmtId="0" fontId="3" fillId="37" borderId="61" xfId="0" applyFont="1" applyFill="1" applyBorder="1" applyAlignment="1">
      <alignment horizontal="center" vertical="center"/>
    </xf>
    <xf numFmtId="0" fontId="0" fillId="0" borderId="65" xfId="0" applyBorder="1" applyAlignment="1">
      <alignment wrapText="1"/>
    </xf>
    <xf numFmtId="0" fontId="5" fillId="37" borderId="66" xfId="0" applyFont="1" applyFill="1" applyBorder="1" applyAlignment="1">
      <alignment horizontal="center"/>
    </xf>
    <xf numFmtId="0" fontId="3" fillId="37" borderId="65" xfId="0" applyFont="1" applyFill="1" applyBorder="1" applyAlignment="1">
      <alignment horizontal="center" vertical="center"/>
    </xf>
    <xf numFmtId="0" fontId="1" fillId="37" borderId="0" xfId="0" applyFont="1" applyFill="1" applyBorder="1" applyAlignment="1">
      <alignment horizontal="center" vertical="center"/>
    </xf>
    <xf numFmtId="0" fontId="0" fillId="0" borderId="0" xfId="0" applyBorder="1" applyAlignment="1">
      <alignment wrapText="1"/>
    </xf>
    <xf numFmtId="9" fontId="3" fillId="0" borderId="50" xfId="0" applyNumberFormat="1" applyFont="1" applyBorder="1" applyAlignment="1">
      <alignment horizontal="center" vertical="top"/>
    </xf>
    <xf numFmtId="0" fontId="56" fillId="34" borderId="78" xfId="0" applyFont="1" applyFill="1" applyBorder="1" applyAlignment="1">
      <alignment horizontal="center" vertical="center"/>
    </xf>
    <xf numFmtId="0" fontId="56" fillId="34" borderId="62" xfId="0" applyFont="1" applyFill="1" applyBorder="1" applyAlignment="1">
      <alignment horizontal="center" vertical="center"/>
    </xf>
    <xf numFmtId="0" fontId="56" fillId="34" borderId="63" xfId="0" applyFont="1" applyFill="1" applyBorder="1" applyAlignment="1">
      <alignment horizontal="center" vertical="center"/>
    </xf>
    <xf numFmtId="0" fontId="56" fillId="34" borderId="64" xfId="0" applyFont="1" applyFill="1" applyBorder="1" applyAlignment="1">
      <alignment horizontal="center" vertical="center"/>
    </xf>
    <xf numFmtId="0" fontId="56" fillId="34" borderId="60" xfId="0" applyFont="1" applyFill="1" applyBorder="1" applyAlignment="1">
      <alignment horizontal="center" vertical="center"/>
    </xf>
    <xf numFmtId="0" fontId="5" fillId="0" borderId="7" xfId="0" applyFont="1" applyBorder="1" applyAlignment="1">
      <alignment horizontal="center"/>
    </xf>
    <xf numFmtId="0" fontId="3" fillId="0" borderId="21" xfId="0" applyFont="1" applyBorder="1" applyAlignment="1">
      <alignment horizontal="center" vertical="center"/>
    </xf>
    <xf numFmtId="0" fontId="3" fillId="0" borderId="8" xfId="0" applyFont="1" applyBorder="1" applyAlignment="1">
      <alignment horizontal="center"/>
    </xf>
    <xf numFmtId="0" fontId="41" fillId="0" borderId="48" xfId="0" applyFont="1" applyBorder="1" applyAlignment="1">
      <alignment horizontal="center"/>
    </xf>
    <xf numFmtId="0" fontId="41" fillId="0" borderId="70" xfId="0" applyFont="1" applyBorder="1" applyAlignment="1">
      <alignment horizontal="center"/>
    </xf>
    <xf numFmtId="0" fontId="13" fillId="0" borderId="66" xfId="0" applyFont="1" applyBorder="1" applyAlignment="1">
      <alignment horizontal="center"/>
    </xf>
    <xf numFmtId="0" fontId="13" fillId="0" borderId="69" xfId="0" applyFont="1" applyBorder="1" applyAlignment="1">
      <alignment horizontal="center"/>
    </xf>
    <xf numFmtId="0" fontId="5" fillId="0" borderId="69" xfId="0" applyFont="1" applyBorder="1" applyAlignment="1">
      <alignment horizontal="center"/>
    </xf>
    <xf numFmtId="0" fontId="3" fillId="0" borderId="70" xfId="0" applyFont="1" applyBorder="1" applyAlignment="1">
      <alignment horizontal="center"/>
    </xf>
    <xf numFmtId="0" fontId="17" fillId="0" borderId="48" xfId="0" applyFont="1" applyBorder="1" applyAlignment="1">
      <alignment horizontal="center"/>
    </xf>
    <xf numFmtId="0" fontId="17" fillId="0" borderId="70" xfId="0" applyFont="1" applyBorder="1" applyAlignment="1">
      <alignment horizontal="center"/>
    </xf>
    <xf numFmtId="0" fontId="3" fillId="0" borderId="33" xfId="0" applyFont="1" applyBorder="1" applyAlignment="1">
      <alignment horizontal="center" vertical="center"/>
    </xf>
    <xf numFmtId="0" fontId="33" fillId="0" borderId="48" xfId="0" applyFont="1" applyBorder="1" applyAlignment="1">
      <alignment horizontal="center" vertical="center"/>
    </xf>
    <xf numFmtId="0" fontId="33" fillId="0" borderId="33" xfId="0" applyFont="1" applyBorder="1" applyAlignment="1">
      <alignment horizontal="center" vertical="center"/>
    </xf>
    <xf numFmtId="0" fontId="13" fillId="0" borderId="48" xfId="0" applyFont="1" applyBorder="1" applyAlignment="1">
      <alignment horizontal="center"/>
    </xf>
    <xf numFmtId="0" fontId="13" fillId="0" borderId="33" xfId="0" applyFont="1" applyBorder="1" applyAlignment="1">
      <alignment horizontal="center"/>
    </xf>
    <xf numFmtId="0" fontId="5" fillId="0" borderId="33" xfId="0" applyFont="1" applyBorder="1" applyAlignment="1">
      <alignment horizontal="center"/>
    </xf>
    <xf numFmtId="1" fontId="3" fillId="0" borderId="34" xfId="0" applyNumberFormat="1" applyFont="1" applyBorder="1" applyAlignment="1">
      <alignment horizontal="center" vertical="center"/>
    </xf>
    <xf numFmtId="0" fontId="29" fillId="20" borderId="48" xfId="0" applyFont="1" applyFill="1" applyBorder="1" applyAlignment="1">
      <alignment horizontal="center"/>
    </xf>
    <xf numFmtId="0" fontId="29" fillId="20" borderId="33" xfId="0" applyFont="1" applyFill="1" applyBorder="1" applyAlignment="1">
      <alignment horizontal="center"/>
    </xf>
    <xf numFmtId="0" fontId="24" fillId="16" borderId="48" xfId="0" applyFont="1" applyFill="1" applyBorder="1" applyAlignment="1">
      <alignment horizontal="center" vertical="center"/>
    </xf>
    <xf numFmtId="0" fontId="24" fillId="16" borderId="33" xfId="0" applyFont="1" applyFill="1" applyBorder="1" applyAlignment="1">
      <alignment horizontal="center" vertical="center"/>
    </xf>
    <xf numFmtId="0" fontId="26" fillId="17" borderId="48" xfId="0" applyFont="1" applyFill="1" applyBorder="1" applyAlignment="1">
      <alignment horizontal="center"/>
    </xf>
    <xf numFmtId="0" fontId="26" fillId="17" borderId="70" xfId="0" applyFont="1" applyFill="1" applyBorder="1" applyAlignment="1">
      <alignment horizontal="center"/>
    </xf>
    <xf numFmtId="0" fontId="29" fillId="20" borderId="66" xfId="0" applyFont="1" applyFill="1" applyBorder="1" applyAlignment="1">
      <alignment horizontal="center"/>
    </xf>
    <xf numFmtId="0" fontId="29" fillId="20" borderId="69" xfId="0" applyFont="1" applyFill="1" applyBorder="1" applyAlignment="1">
      <alignment horizontal="center"/>
    </xf>
    <xf numFmtId="0" fontId="7" fillId="4" borderId="65" xfId="0" applyFont="1" applyFill="1" applyBorder="1" applyAlignment="1">
      <alignment horizontal="center" vertical="center"/>
    </xf>
    <xf numFmtId="0" fontId="20" fillId="12" borderId="0" xfId="0" applyFont="1" applyFill="1" applyBorder="1" applyAlignment="1">
      <alignment horizontal="center" vertical="center"/>
    </xf>
    <xf numFmtId="0" fontId="21" fillId="13" borderId="66" xfId="0" applyFont="1" applyFill="1" applyBorder="1" applyAlignment="1">
      <alignment horizontal="center"/>
    </xf>
    <xf numFmtId="0" fontId="21" fillId="13" borderId="68" xfId="0" applyFont="1" applyFill="1" applyBorder="1" applyAlignment="1">
      <alignment horizontal="center"/>
    </xf>
    <xf numFmtId="0" fontId="21" fillId="13" borderId="69" xfId="0" applyFont="1" applyFill="1" applyBorder="1" applyAlignment="1">
      <alignment horizontal="center"/>
    </xf>
    <xf numFmtId="0" fontId="1" fillId="39" borderId="57" xfId="0" applyFont="1" applyFill="1" applyBorder="1" applyAlignment="1">
      <alignment horizontal="center" vertical="center"/>
    </xf>
    <xf numFmtId="0" fontId="0" fillId="39" borderId="57" xfId="0" applyFill="1" applyBorder="1" applyAlignment="1">
      <alignment wrapText="1"/>
    </xf>
    <xf numFmtId="0" fontId="68" fillId="38" borderId="78" xfId="0" applyFont="1" applyFill="1" applyBorder="1" applyAlignment="1">
      <alignment horizontal="center" vertical="center" wrapText="1"/>
    </xf>
    <xf numFmtId="0" fontId="68" fillId="38" borderId="62" xfId="0" applyFont="1" applyFill="1" applyBorder="1" applyAlignment="1">
      <alignment horizontal="center" vertical="center" wrapText="1"/>
    </xf>
    <xf numFmtId="0" fontId="68" fillId="38" borderId="63" xfId="0" applyFont="1" applyFill="1" applyBorder="1" applyAlignment="1">
      <alignment horizontal="center" vertical="center" wrapText="1"/>
    </xf>
    <xf numFmtId="0" fontId="68" fillId="38" borderId="64" xfId="0" applyFont="1" applyFill="1" applyBorder="1" applyAlignment="1">
      <alignment horizontal="center" vertical="center" wrapText="1"/>
    </xf>
    <xf numFmtId="0" fontId="68" fillId="38" borderId="60" xfId="0" applyFont="1" applyFill="1" applyBorder="1" applyAlignment="1">
      <alignment horizontal="center" vertical="center" wrapText="1"/>
    </xf>
    <xf numFmtId="0" fontId="68" fillId="38" borderId="59" xfId="0" applyFont="1" applyFill="1" applyBorder="1" applyAlignment="1">
      <alignment horizontal="center" vertical="center" wrapText="1"/>
    </xf>
    <xf numFmtId="0" fontId="67" fillId="0" borderId="78" xfId="0" applyFont="1" applyBorder="1" applyAlignment="1">
      <alignment horizontal="left" vertical="top" wrapText="1"/>
    </xf>
    <xf numFmtId="0" fontId="0" fillId="0" borderId="62" xfId="0" applyBorder="1" applyAlignment="1">
      <alignment horizontal="left" vertical="top" wrapText="1"/>
    </xf>
    <xf numFmtId="0" fontId="0" fillId="0" borderId="50" xfId="0" applyBorder="1" applyAlignment="1">
      <alignment horizontal="left" vertical="top" wrapText="1"/>
    </xf>
    <xf numFmtId="0" fontId="0" fillId="0" borderId="0" xfId="0" applyBorder="1" applyAlignment="1">
      <alignment horizontal="left" vertical="top" wrapText="1"/>
    </xf>
    <xf numFmtId="0" fontId="0" fillId="0" borderId="68" xfId="0" applyBorder="1" applyAlignment="1">
      <alignment horizontal="center" wrapText="1"/>
    </xf>
    <xf numFmtId="0" fontId="3" fillId="35" borderId="43" xfId="0" applyFont="1" applyFill="1" applyBorder="1" applyAlignment="1">
      <alignment horizontal="center" vertical="center" wrapText="1"/>
    </xf>
    <xf numFmtId="0" fontId="5" fillId="37" borderId="69" xfId="0" applyFont="1" applyFill="1" applyBorder="1" applyAlignment="1">
      <alignment horizontal="center"/>
    </xf>
    <xf numFmtId="0" fontId="5" fillId="0" borderId="33" xfId="0" applyFont="1" applyBorder="1" applyAlignment="1">
      <alignment horizontal="center" vertical="center"/>
    </xf>
    <xf numFmtId="0" fontId="1" fillId="37" borderId="69" xfId="0" applyFont="1" applyFill="1" applyBorder="1" applyAlignment="1">
      <alignment horizontal="center" vertical="center"/>
    </xf>
    <xf numFmtId="0" fontId="1" fillId="37" borderId="69" xfId="0" applyFont="1" applyFill="1" applyBorder="1" applyAlignment="1">
      <alignment horizontal="left" vertical="center"/>
    </xf>
    <xf numFmtId="0" fontId="3" fillId="37" borderId="75" xfId="0" applyFont="1" applyFill="1" applyBorder="1" applyAlignment="1">
      <alignment horizontal="center" vertical="center" wrapText="1"/>
    </xf>
    <xf numFmtId="0" fontId="3" fillId="37" borderId="55" xfId="0" applyFont="1" applyFill="1" applyBorder="1" applyAlignment="1">
      <alignment horizontal="center" vertical="center" wrapText="1"/>
    </xf>
    <xf numFmtId="0" fontId="3" fillId="37" borderId="59" xfId="0" applyFont="1" applyFill="1" applyBorder="1" applyAlignment="1">
      <alignment horizontal="center" vertical="center" wrapText="1"/>
    </xf>
    <xf numFmtId="0" fontId="3" fillId="37" borderId="70" xfId="0" applyFont="1" applyFill="1" applyBorder="1" applyAlignment="1">
      <alignment horizontal="center" vertical="center" wrapText="1"/>
    </xf>
    <xf numFmtId="0" fontId="1" fillId="37" borderId="36" xfId="0" applyFont="1" applyFill="1" applyBorder="1" applyAlignment="1">
      <alignment horizontal="center" vertical="center"/>
    </xf>
    <xf numFmtId="1" fontId="3" fillId="0" borderId="33" xfId="0" applyNumberFormat="1" applyFont="1" applyBorder="1" applyAlignment="1">
      <alignment horizontal="center" vertical="center"/>
    </xf>
    <xf numFmtId="0" fontId="5" fillId="0" borderId="75" xfId="0" applyFont="1" applyBorder="1" applyAlignment="1">
      <alignment horizontal="center" vertical="center"/>
    </xf>
    <xf numFmtId="0" fontId="3" fillId="0" borderId="75" xfId="0" applyFont="1" applyBorder="1" applyAlignment="1">
      <alignment horizontal="center" vertical="center"/>
    </xf>
    <xf numFmtId="0" fontId="5" fillId="0" borderId="75" xfId="0" applyFont="1" applyBorder="1" applyAlignment="1">
      <alignment horizontal="center"/>
    </xf>
    <xf numFmtId="0" fontId="5" fillId="37" borderId="33" xfId="0" applyFont="1" applyFill="1" applyBorder="1" applyAlignment="1">
      <alignment horizontal="center" vertical="center"/>
    </xf>
    <xf numFmtId="0" fontId="5" fillId="37" borderId="33" xfId="0" applyFont="1" applyFill="1" applyBorder="1" applyAlignment="1">
      <alignment horizontal="center"/>
    </xf>
    <xf numFmtId="1" fontId="5" fillId="0" borderId="33" xfId="0" applyNumberFormat="1" applyFont="1" applyBorder="1" applyAlignment="1">
      <alignment horizontal="center"/>
    </xf>
    <xf numFmtId="0" fontId="5" fillId="37" borderId="70" xfId="0" applyFont="1" applyFill="1" applyBorder="1" applyAlignment="1">
      <alignment horizontal="center"/>
    </xf>
    <xf numFmtId="0" fontId="5" fillId="37" borderId="72" xfId="0" applyFont="1" applyFill="1" applyBorder="1" applyAlignment="1">
      <alignment horizontal="center"/>
    </xf>
    <xf numFmtId="1" fontId="3" fillId="0" borderId="33" xfId="0" applyNumberFormat="1" applyFont="1" applyBorder="1" applyAlignment="1">
      <alignment horizontal="center"/>
    </xf>
    <xf numFmtId="1" fontId="3" fillId="0" borderId="70" xfId="0" applyNumberFormat="1" applyFont="1" applyBorder="1" applyAlignment="1">
      <alignment horizontal="center"/>
    </xf>
    <xf numFmtId="1" fontId="5" fillId="0" borderId="69" xfId="0" applyNumberFormat="1" applyFont="1" applyBorder="1" applyAlignment="1">
      <alignment horizontal="center"/>
    </xf>
    <xf numFmtId="0" fontId="3" fillId="37" borderId="70" xfId="0" applyFont="1" applyFill="1" applyBorder="1" applyAlignment="1">
      <alignment horizontal="center"/>
    </xf>
    <xf numFmtId="1" fontId="5" fillId="0" borderId="6" xfId="0" applyNumberFormat="1" applyFont="1" applyBorder="1" applyAlignment="1">
      <alignment horizontal="center"/>
    </xf>
    <xf numFmtId="0" fontId="1" fillId="0" borderId="66" xfId="0" applyFont="1" applyFill="1" applyBorder="1" applyAlignment="1">
      <alignment horizontal="center" vertical="center"/>
    </xf>
    <xf numFmtId="0" fontId="1" fillId="0" borderId="68" xfId="0" applyFont="1" applyFill="1" applyBorder="1" applyAlignment="1">
      <alignment horizontal="center" vertical="center"/>
    </xf>
    <xf numFmtId="0" fontId="1" fillId="0" borderId="69" xfId="0" applyFont="1" applyFill="1" applyBorder="1" applyAlignment="1">
      <alignment horizontal="center" vertical="center"/>
    </xf>
    <xf numFmtId="0" fontId="5" fillId="37" borderId="43" xfId="0" applyFont="1" applyFill="1" applyBorder="1" applyAlignment="1">
      <alignment horizontal="center" vertical="center"/>
    </xf>
    <xf numFmtId="0" fontId="3" fillId="37" borderId="32" xfId="0" applyFont="1" applyFill="1" applyBorder="1" applyAlignment="1">
      <alignment horizontal="center" vertical="center"/>
    </xf>
    <xf numFmtId="0" fontId="0" fillId="0" borderId="57" xfId="0" applyBorder="1" applyAlignment="1">
      <alignment horizontal="center" wrapText="1"/>
    </xf>
    <xf numFmtId="0" fontId="64" fillId="0" borderId="57" xfId="0" applyFont="1" applyBorder="1" applyAlignment="1">
      <alignment horizontal="center" wrapText="1"/>
    </xf>
    <xf numFmtId="0" fontId="5" fillId="37" borderId="39" xfId="0" applyFont="1" applyFill="1" applyBorder="1" applyAlignment="1">
      <alignment horizontal="center" vertical="center"/>
    </xf>
    <xf numFmtId="0" fontId="3" fillId="37" borderId="17" xfId="0" applyFont="1" applyFill="1" applyBorder="1" applyAlignment="1">
      <alignment horizontal="center" vertical="center"/>
    </xf>
    <xf numFmtId="0" fontId="1" fillId="0" borderId="60" xfId="0" applyFont="1" applyBorder="1" applyAlignment="1">
      <alignment horizontal="left" vertical="top" wrapText="1"/>
    </xf>
    <xf numFmtId="1" fontId="48" fillId="0" borderId="39" xfId="0" applyNumberFormat="1" applyFont="1" applyBorder="1" applyAlignment="1">
      <alignment horizontal="center" vertical="center"/>
    </xf>
    <xf numFmtId="0" fontId="37" fillId="23" borderId="43" xfId="0" applyFont="1" applyFill="1" applyBorder="1" applyAlignment="1">
      <alignment horizontal="center" vertical="center"/>
    </xf>
    <xf numFmtId="0" fontId="36" fillId="22" borderId="32" xfId="0" applyFont="1" applyFill="1" applyBorder="1" applyAlignment="1">
      <alignment horizontal="center" vertical="center"/>
    </xf>
    <xf numFmtId="0" fontId="29" fillId="20" borderId="43" xfId="0" applyFont="1" applyFill="1" applyBorder="1" applyAlignment="1">
      <alignment horizontal="center"/>
    </xf>
    <xf numFmtId="0" fontId="56" fillId="34" borderId="66" xfId="0" applyFont="1" applyFill="1" applyBorder="1" applyAlignment="1">
      <alignment horizontal="center" vertical="center"/>
    </xf>
    <xf numFmtId="1" fontId="3" fillId="0" borderId="71" xfId="0" applyNumberFormat="1" applyFont="1" applyBorder="1" applyAlignment="1">
      <alignment horizontal="center"/>
    </xf>
    <xf numFmtId="1" fontId="3" fillId="0" borderId="72" xfId="0" applyNumberFormat="1" applyFont="1" applyBorder="1" applyAlignment="1">
      <alignment horizontal="center"/>
    </xf>
    <xf numFmtId="1" fontId="3" fillId="0" borderId="58" xfId="0" applyNumberFormat="1" applyFont="1" applyBorder="1" applyAlignment="1">
      <alignment horizontal="center"/>
    </xf>
    <xf numFmtId="1" fontId="3" fillId="0" borderId="73" xfId="0" applyNumberFormat="1" applyFont="1" applyBorder="1" applyAlignment="1">
      <alignment horizontal="center"/>
    </xf>
    <xf numFmtId="0" fontId="0" fillId="0" borderId="66" xfId="0" applyBorder="1" applyAlignment="1">
      <alignment horizontal="center" wrapText="1"/>
    </xf>
    <xf numFmtId="0" fontId="0" fillId="0" borderId="69" xfId="0" applyBorder="1" applyAlignment="1">
      <alignment horizontal="center" wrapText="1"/>
    </xf>
    <xf numFmtId="1" fontId="0" fillId="0" borderId="57" xfId="0" applyNumberFormat="1" applyBorder="1" applyAlignment="1">
      <alignment horizontal="center" wrapText="1"/>
    </xf>
    <xf numFmtId="1" fontId="48" fillId="0" borderId="43" xfId="0" applyNumberFormat="1" applyFont="1" applyBorder="1" applyAlignment="1">
      <alignment horizontal="center" vertical="center"/>
    </xf>
    <xf numFmtId="0" fontId="5" fillId="0" borderId="44" xfId="0" applyFont="1" applyBorder="1" applyAlignment="1">
      <alignment horizontal="center" vertical="center"/>
    </xf>
    <xf numFmtId="0" fontId="0" fillId="0" borderId="29" xfId="0" applyBorder="1" applyAlignment="1">
      <alignment wrapText="1"/>
    </xf>
    <xf numFmtId="0" fontId="3" fillId="0" borderId="67" xfId="0" applyFont="1" applyBorder="1" applyAlignment="1">
      <alignment horizontal="center" vertical="center"/>
    </xf>
    <xf numFmtId="0" fontId="9" fillId="6" borderId="74" xfId="0" applyFont="1" applyFill="1" applyBorder="1" applyAlignment="1">
      <alignment horizontal="center"/>
    </xf>
    <xf numFmtId="0" fontId="9" fillId="6" borderId="82" xfId="0" applyFont="1" applyFill="1" applyBorder="1" applyAlignment="1">
      <alignment horizontal="center"/>
    </xf>
    <xf numFmtId="0" fontId="29" fillId="20" borderId="81" xfId="0" applyFont="1" applyFill="1" applyBorder="1" applyAlignment="1">
      <alignment horizontal="center"/>
    </xf>
    <xf numFmtId="1" fontId="48" fillId="0" borderId="48" xfId="0" applyNumberFormat="1" applyFont="1" applyBorder="1" applyAlignment="1">
      <alignment horizontal="center" vertical="center"/>
    </xf>
    <xf numFmtId="1" fontId="48" fillId="0" borderId="33" xfId="0" applyNumberFormat="1" applyFont="1" applyBorder="1" applyAlignment="1">
      <alignment horizontal="center" vertical="center"/>
    </xf>
    <xf numFmtId="0" fontId="1" fillId="0" borderId="78" xfId="0" applyFont="1" applyBorder="1" applyAlignment="1">
      <alignment horizontal="left" vertical="top" wrapText="1"/>
    </xf>
    <xf numFmtId="0" fontId="1" fillId="0" borderId="50" xfId="0" applyFont="1" applyBorder="1" applyAlignment="1">
      <alignment horizontal="left" vertical="top" wrapText="1"/>
    </xf>
    <xf numFmtId="0" fontId="1" fillId="0" borderId="64" xfId="0" applyFont="1" applyBorder="1" applyAlignment="1">
      <alignment horizontal="left" vertical="top" wrapText="1"/>
    </xf>
    <xf numFmtId="0" fontId="0" fillId="0" borderId="38" xfId="0" applyBorder="1" applyAlignment="1">
      <alignment wrapText="1"/>
    </xf>
    <xf numFmtId="0" fontId="1" fillId="0" borderId="0" xfId="0" applyFont="1" applyBorder="1" applyAlignment="1">
      <alignment vertical="top" wrapText="1"/>
    </xf>
    <xf numFmtId="1" fontId="11" fillId="0" borderId="66" xfId="0" applyNumberFormat="1" applyFont="1" applyBorder="1" applyAlignment="1">
      <alignment horizontal="center"/>
    </xf>
    <xf numFmtId="1" fontId="11" fillId="0" borderId="69" xfId="0" applyNumberFormat="1" applyFont="1" applyBorder="1" applyAlignment="1">
      <alignment horizontal="center"/>
    </xf>
    <xf numFmtId="0" fontId="5" fillId="0" borderId="18" xfId="0" applyFont="1" applyFill="1" applyBorder="1" applyAlignment="1">
      <alignment horizontal="center"/>
    </xf>
    <xf numFmtId="0" fontId="0" fillId="0" borderId="9" xfId="0" applyFill="1" applyBorder="1" applyAlignment="1">
      <alignment wrapText="1"/>
    </xf>
    <xf numFmtId="0" fontId="3" fillId="0" borderId="24" xfId="0" applyFont="1" applyFill="1" applyBorder="1" applyAlignment="1">
      <alignment horizontal="center" vertical="center"/>
    </xf>
    <xf numFmtId="0" fontId="3" fillId="0" borderId="5" xfId="0" applyFont="1" applyFill="1" applyBorder="1" applyAlignment="1">
      <alignment horizontal="center"/>
    </xf>
    <xf numFmtId="0" fontId="0" fillId="0" borderId="40" xfId="0" applyFill="1" applyBorder="1" applyAlignment="1">
      <alignment wrapText="1"/>
    </xf>
    <xf numFmtId="0" fontId="1" fillId="0" borderId="57" xfId="0" applyFont="1" applyFill="1" applyBorder="1" applyAlignment="1">
      <alignment horizontal="center" vertical="center"/>
    </xf>
    <xf numFmtId="0" fontId="0" fillId="0" borderId="57"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calcChain" Target="calcChain.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13" Type="http://schemas.openxmlformats.org/officeDocument/2006/relationships/worksheet" Target="worksheets/sheet113.xml"/><Relationship Id="rId118" Type="http://schemas.openxmlformats.org/officeDocument/2006/relationships/worksheet" Target="worksheets/sheet118.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worksheet" Target="worksheets/sheet124.xml"/><Relationship Id="rId129" Type="http://schemas.openxmlformats.org/officeDocument/2006/relationships/worksheet" Target="worksheets/sheet12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3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47625</xdr:colOff>
      <xdr:row>43</xdr:row>
      <xdr:rowOff>95250</xdr:rowOff>
    </xdr:to>
    <xdr:sp macro="" textlink="">
      <xdr:nvSpPr>
        <xdr:cNvPr id="1025" name="Rectangle 1" hidden="1"/>
        <xdr:cNvSpPr>
          <a:spLocks noSelect="1" noChangeArrowheads="1"/>
        </xdr:cNvSpPr>
      </xdr:nvSpPr>
      <xdr:spPr bwMode="auto">
        <a:xfrm>
          <a:off x="0" y="0"/>
          <a:ext cx="10858500" cy="9372600"/>
        </a:xfrm>
        <a:prstGeom prst="rect">
          <a:avLst/>
        </a:pr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6.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6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7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8.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7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7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0.bin"/></Relationships>
</file>

<file path=xl/worksheets/_rels/sheet7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1.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8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9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5.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zoomScale="115" zoomScaleNormal="115" workbookViewId="0">
      <selection activeCell="A5" sqref="A5"/>
    </sheetView>
  </sheetViews>
  <sheetFormatPr defaultColWidth="11.85546875" defaultRowHeight="18" customHeight="1" x14ac:dyDescent="0.2"/>
  <cols>
    <col min="1" max="1" width="9.140625" customWidth="1"/>
    <col min="2" max="2" width="6.28515625" customWidth="1"/>
    <col min="3" max="3" width="9.28515625" customWidth="1"/>
    <col min="4" max="4" width="6.85546875" customWidth="1"/>
    <col min="5" max="5" width="8" customWidth="1"/>
    <col min="6" max="6" width="6.85546875" customWidth="1"/>
    <col min="7" max="7" width="7.85546875" customWidth="1"/>
    <col min="8" max="8" width="13.42578125" customWidth="1"/>
    <col min="9" max="9" width="6.5703125" customWidth="1"/>
    <col min="10" max="10" width="6.42578125" customWidth="1"/>
    <col min="11" max="12" width="4.42578125" customWidth="1"/>
    <col min="13" max="16" width="5" customWidth="1"/>
    <col min="17" max="17" width="4.85546875" customWidth="1"/>
    <col min="18" max="18" width="5" customWidth="1"/>
    <col min="19" max="19" width="8.28515625" customWidth="1"/>
    <col min="20" max="20" width="6.42578125" customWidth="1"/>
    <col min="21" max="21" width="8.42578125" customWidth="1"/>
    <col min="22" max="22" width="9.42578125" customWidth="1"/>
    <col min="23" max="23" width="10.140625" style="25" customWidth="1"/>
    <col min="24" max="24" width="6.42578125" customWidth="1"/>
    <col min="25" max="25" width="4.28515625" customWidth="1"/>
    <col min="26" max="26" width="3.7109375" customWidth="1"/>
    <col min="27" max="27" width="5.7109375" customWidth="1"/>
    <col min="30" max="30" width="12.5703125" customWidth="1"/>
  </cols>
  <sheetData>
    <row r="1" spans="1:30" ht="12.75" x14ac:dyDescent="0.2">
      <c r="A1" s="58" t="s">
        <v>0</v>
      </c>
      <c r="B1" s="59">
        <v>2014</v>
      </c>
      <c r="C1" s="58" t="s">
        <v>1</v>
      </c>
      <c r="D1" s="59">
        <v>1</v>
      </c>
      <c r="E1" s="58" t="s">
        <v>2</v>
      </c>
      <c r="F1" s="55">
        <v>1</v>
      </c>
      <c r="G1" s="56" t="s">
        <v>3</v>
      </c>
      <c r="H1" s="55" t="s">
        <v>4</v>
      </c>
      <c r="I1" s="260" t="s">
        <v>5</v>
      </c>
      <c r="J1" s="261"/>
      <c r="K1" s="262" t="s">
        <v>96</v>
      </c>
      <c r="L1" s="261"/>
      <c r="M1" s="261"/>
      <c r="N1" s="261"/>
      <c r="O1" s="261"/>
      <c r="P1" s="263" t="s">
        <v>6</v>
      </c>
      <c r="Q1" s="261"/>
      <c r="R1" s="264" t="s">
        <v>7</v>
      </c>
      <c r="S1" s="265"/>
      <c r="T1" s="16"/>
      <c r="U1" s="16"/>
      <c r="V1" s="16"/>
      <c r="W1" s="16"/>
      <c r="X1" s="16"/>
      <c r="Y1" s="16"/>
      <c r="Z1" s="34"/>
    </row>
    <row r="2" spans="1:30" ht="27.75" customHeight="1" x14ac:dyDescent="0.2">
      <c r="A2" s="57" t="s">
        <v>8</v>
      </c>
      <c r="B2" s="54" t="s">
        <v>9</v>
      </c>
      <c r="C2" s="54" t="s">
        <v>10</v>
      </c>
      <c r="D2" s="54" t="s">
        <v>11</v>
      </c>
      <c r="E2" s="54" t="s">
        <v>12</v>
      </c>
      <c r="F2" s="54" t="s">
        <v>13</v>
      </c>
      <c r="G2" s="54" t="s">
        <v>14</v>
      </c>
      <c r="H2" s="54" t="s">
        <v>15</v>
      </c>
      <c r="I2" s="13" t="s">
        <v>16</v>
      </c>
      <c r="J2" s="54" t="s">
        <v>17</v>
      </c>
      <c r="K2" s="54" t="s">
        <v>18</v>
      </c>
      <c r="L2" s="266"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32" t="s">
        <v>90</v>
      </c>
      <c r="AD2" s="31" t="s">
        <v>95</v>
      </c>
    </row>
    <row r="3" spans="1:30" ht="15.75" customHeight="1" x14ac:dyDescent="0.2">
      <c r="A3" s="18" t="s">
        <v>29</v>
      </c>
      <c r="B3" s="18" t="s">
        <v>29</v>
      </c>
      <c r="C3" s="28" t="s">
        <v>94</v>
      </c>
      <c r="D3" s="18" t="s">
        <v>29</v>
      </c>
      <c r="E3" s="18" t="s">
        <v>29</v>
      </c>
      <c r="F3" s="18" t="s">
        <v>29</v>
      </c>
      <c r="G3" s="28" t="s">
        <v>97</v>
      </c>
      <c r="H3" s="18" t="s">
        <v>29</v>
      </c>
      <c r="I3" s="18" t="s">
        <v>29</v>
      </c>
      <c r="J3" s="18" t="s">
        <v>29</v>
      </c>
      <c r="K3" s="18" t="s">
        <v>29</v>
      </c>
      <c r="L3" s="41" t="s">
        <v>29</v>
      </c>
      <c r="M3" s="41" t="s">
        <v>29</v>
      </c>
      <c r="N3" s="18" t="s">
        <v>29</v>
      </c>
      <c r="O3" s="18" t="s">
        <v>29</v>
      </c>
      <c r="P3" s="20" t="s">
        <v>29</v>
      </c>
      <c r="Q3" s="20" t="s">
        <v>29</v>
      </c>
      <c r="R3" s="20" t="s">
        <v>29</v>
      </c>
      <c r="S3" s="20" t="s">
        <v>29</v>
      </c>
      <c r="T3" s="20" t="s">
        <v>29</v>
      </c>
      <c r="U3" s="29" t="s">
        <v>98</v>
      </c>
      <c r="V3" s="28" t="s">
        <v>101</v>
      </c>
      <c r="W3" s="28" t="s">
        <v>102</v>
      </c>
      <c r="X3" s="20" t="s">
        <v>29</v>
      </c>
      <c r="Y3" s="33" t="s">
        <v>29</v>
      </c>
      <c r="Z3" s="33" t="s">
        <v>29</v>
      </c>
    </row>
    <row r="4" spans="1:30"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5" t="s">
        <v>26</v>
      </c>
      <c r="V4" s="27" t="s">
        <v>92</v>
      </c>
      <c r="W4" s="27" t="s">
        <v>93</v>
      </c>
      <c r="X4" s="5" t="s">
        <v>27</v>
      </c>
      <c r="Y4" s="271" t="s">
        <v>28</v>
      </c>
      <c r="Z4" s="272"/>
      <c r="AA4" s="31" t="s">
        <v>89</v>
      </c>
      <c r="AB4" s="31" t="s">
        <v>91</v>
      </c>
      <c r="AC4" s="32" t="s">
        <v>90</v>
      </c>
      <c r="AD4" s="31" t="s">
        <v>95</v>
      </c>
    </row>
    <row r="5" spans="1:30" ht="15.75" customHeight="1" x14ac:dyDescent="0.2">
      <c r="A5" s="18" t="s">
        <v>29</v>
      </c>
      <c r="B5" s="18" t="s">
        <v>29</v>
      </c>
      <c r="C5" s="18" t="s">
        <v>29</v>
      </c>
      <c r="D5" s="18" t="s">
        <v>29</v>
      </c>
      <c r="E5" s="18" t="s">
        <v>29</v>
      </c>
      <c r="F5" s="18" t="s">
        <v>29</v>
      </c>
      <c r="G5" s="18" t="s">
        <v>29</v>
      </c>
      <c r="H5" s="18" t="s">
        <v>29</v>
      </c>
      <c r="I5" s="37" t="s">
        <v>29</v>
      </c>
      <c r="J5" s="37" t="s">
        <v>29</v>
      </c>
      <c r="K5" s="37" t="s">
        <v>29</v>
      </c>
      <c r="L5" s="42" t="s">
        <v>29</v>
      </c>
      <c r="M5" s="42" t="s">
        <v>29</v>
      </c>
      <c r="N5" s="37" t="s">
        <v>29</v>
      </c>
      <c r="O5" s="37" t="s">
        <v>29</v>
      </c>
      <c r="P5" s="38" t="s">
        <v>29</v>
      </c>
      <c r="Q5" s="38" t="s">
        <v>29</v>
      </c>
      <c r="R5" s="20" t="s">
        <v>29</v>
      </c>
      <c r="S5" s="20" t="s">
        <v>29</v>
      </c>
      <c r="T5" s="20" t="s">
        <v>29</v>
      </c>
      <c r="U5" s="18" t="s">
        <v>29</v>
      </c>
      <c r="V5" s="18" t="s">
        <v>29</v>
      </c>
      <c r="W5" s="18" t="s">
        <v>29</v>
      </c>
      <c r="X5" s="20" t="s">
        <v>29</v>
      </c>
      <c r="Y5" s="20" t="s">
        <v>29</v>
      </c>
      <c r="Z5" s="20" t="s">
        <v>29</v>
      </c>
    </row>
    <row r="6" spans="1:30" ht="16.5" customHeight="1" x14ac:dyDescent="0.2">
      <c r="A6" s="12" t="s">
        <v>33</v>
      </c>
      <c r="B6" s="5" t="s">
        <v>9</v>
      </c>
      <c r="C6" s="9" t="s">
        <v>34</v>
      </c>
      <c r="D6" s="9" t="s">
        <v>35</v>
      </c>
      <c r="E6" s="9" t="s">
        <v>36</v>
      </c>
      <c r="F6" s="9" t="s">
        <v>37</v>
      </c>
      <c r="G6" s="9" t="s">
        <v>38</v>
      </c>
      <c r="H6" s="36" t="s">
        <v>39</v>
      </c>
      <c r="I6" s="40" t="s">
        <v>9</v>
      </c>
      <c r="J6" s="280" t="s">
        <v>40</v>
      </c>
      <c r="K6" s="280"/>
      <c r="L6" s="280" t="s">
        <v>41</v>
      </c>
      <c r="M6" s="280"/>
      <c r="N6" s="280" t="s">
        <v>42</v>
      </c>
      <c r="O6" s="280"/>
      <c r="P6" s="280" t="s">
        <v>43</v>
      </c>
      <c r="Q6" s="280"/>
      <c r="R6" s="35"/>
      <c r="S6" s="273" t="s">
        <v>44</v>
      </c>
      <c r="T6" s="274"/>
      <c r="U6" s="274"/>
      <c r="V6" s="274"/>
      <c r="W6" s="275"/>
      <c r="X6" s="274"/>
      <c r="Y6" s="274"/>
      <c r="Z6" s="268"/>
    </row>
    <row r="7" spans="1:30" ht="15.75" customHeight="1" x14ac:dyDescent="0.2">
      <c r="A7" s="1" t="s">
        <v>45</v>
      </c>
      <c r="B7" s="20"/>
      <c r="C7" s="19"/>
      <c r="D7" s="19"/>
      <c r="E7" s="19"/>
      <c r="F7" s="19"/>
      <c r="G7" s="15" t="e">
        <f>AVERAGE(C7:F7)</f>
        <v>#DIV/0!</v>
      </c>
      <c r="H7" s="6" t="s">
        <v>46</v>
      </c>
      <c r="I7" s="39"/>
      <c r="J7" s="276" t="s">
        <v>29</v>
      </c>
      <c r="K7" s="267"/>
      <c r="L7" s="277" t="s">
        <v>29</v>
      </c>
      <c r="M7" s="267"/>
      <c r="N7" s="277" t="s">
        <v>29</v>
      </c>
      <c r="O7" s="267"/>
      <c r="P7" s="278" t="s">
        <v>29</v>
      </c>
      <c r="Q7" s="267"/>
      <c r="R7" s="23" t="s">
        <v>47</v>
      </c>
      <c r="S7" s="24"/>
      <c r="T7" s="43" t="s">
        <v>29</v>
      </c>
      <c r="U7" s="279" t="s">
        <v>48</v>
      </c>
      <c r="V7" s="279"/>
      <c r="W7" s="279"/>
      <c r="X7" s="281" t="s">
        <v>29</v>
      </c>
      <c r="Y7" s="282"/>
      <c r="Z7" s="283"/>
    </row>
    <row r="8" spans="1:30" ht="15.75" customHeight="1" x14ac:dyDescent="0.2">
      <c r="A8" s="3" t="s">
        <v>49</v>
      </c>
      <c r="B8" s="20" t="s">
        <v>29</v>
      </c>
      <c r="C8" s="20" t="s">
        <v>29</v>
      </c>
      <c r="D8" s="20" t="s">
        <v>29</v>
      </c>
      <c r="E8" s="20" t="s">
        <v>29</v>
      </c>
      <c r="F8" s="20" t="s">
        <v>29</v>
      </c>
      <c r="G8" s="9"/>
      <c r="H8" s="6" t="s">
        <v>50</v>
      </c>
      <c r="I8" s="17">
        <v>40756</v>
      </c>
      <c r="J8" s="287">
        <f>IF(((I8-C16)&gt;0),(I8-C16),"/")</f>
        <v>40756</v>
      </c>
      <c r="K8" s="268"/>
      <c r="L8" s="287">
        <f>IF(((I8-D16)&gt;0),(I8-D16),"/")</f>
        <v>40756</v>
      </c>
      <c r="M8" s="268"/>
      <c r="N8" s="287">
        <f>IF(((I8-E16)&gt;0),(I8-E16),"/")</f>
        <v>40756</v>
      </c>
      <c r="O8" s="268"/>
      <c r="P8" s="287">
        <f>IF(((I8-F16)&gt;0),(I8-F16),"/")</f>
        <v>40756</v>
      </c>
      <c r="Q8" s="268"/>
      <c r="R8" s="22" t="s">
        <v>51</v>
      </c>
      <c r="S8" s="11"/>
      <c r="T8" s="43" t="s">
        <v>29</v>
      </c>
      <c r="U8" s="310" t="s">
        <v>52</v>
      </c>
      <c r="V8" s="310"/>
      <c r="W8" s="310"/>
      <c r="X8" s="298" t="s">
        <v>29</v>
      </c>
      <c r="Y8" s="299"/>
      <c r="Z8" s="300"/>
    </row>
    <row r="9" spans="1:30" ht="15.75" customHeight="1" x14ac:dyDescent="0.2">
      <c r="A9" s="3" t="s">
        <v>49</v>
      </c>
      <c r="B9" s="20" t="s">
        <v>29</v>
      </c>
      <c r="C9" s="20" t="s">
        <v>29</v>
      </c>
      <c r="D9" s="20" t="s">
        <v>29</v>
      </c>
      <c r="E9" s="20" t="s">
        <v>29</v>
      </c>
      <c r="F9" s="20" t="s">
        <v>29</v>
      </c>
      <c r="G9" s="9"/>
      <c r="H9" s="6" t="s">
        <v>53</v>
      </c>
      <c r="I9" s="8"/>
      <c r="J9" s="289" t="s">
        <v>29</v>
      </c>
      <c r="K9" s="268"/>
      <c r="L9" s="290" t="s">
        <v>29</v>
      </c>
      <c r="M9" s="268"/>
      <c r="N9" s="290" t="s">
        <v>29</v>
      </c>
      <c r="O9" s="268"/>
      <c r="P9" s="291" t="s">
        <v>29</v>
      </c>
      <c r="Q9" s="268"/>
      <c r="R9" s="22" t="s">
        <v>54</v>
      </c>
      <c r="S9" s="11"/>
      <c r="T9" s="43" t="s">
        <v>29</v>
      </c>
      <c r="U9" s="310" t="s">
        <v>55</v>
      </c>
      <c r="V9" s="310"/>
      <c r="W9" s="310"/>
      <c r="X9" s="298" t="s">
        <v>29</v>
      </c>
      <c r="Y9" s="299"/>
      <c r="Z9" s="300"/>
    </row>
    <row r="10" spans="1:30" ht="15" customHeight="1" x14ac:dyDescent="0.2">
      <c r="A10" s="3" t="s">
        <v>49</v>
      </c>
      <c r="B10" s="20" t="s">
        <v>29</v>
      </c>
      <c r="C10" s="20" t="s">
        <v>29</v>
      </c>
      <c r="D10" s="20" t="s">
        <v>29</v>
      </c>
      <c r="E10" s="20" t="s">
        <v>29</v>
      </c>
      <c r="F10" s="20" t="s">
        <v>29</v>
      </c>
      <c r="G10" s="9"/>
      <c r="H10" s="6" t="s">
        <v>56</v>
      </c>
      <c r="I10" s="10"/>
      <c r="J10" s="284" t="s">
        <v>29</v>
      </c>
      <c r="K10" s="268"/>
      <c r="L10" s="285" t="s">
        <v>29</v>
      </c>
      <c r="M10" s="268"/>
      <c r="N10" s="285" t="s">
        <v>29</v>
      </c>
      <c r="O10" s="268"/>
      <c r="P10" s="286" t="s">
        <v>29</v>
      </c>
      <c r="Q10" s="268"/>
      <c r="R10" s="22" t="s">
        <v>57</v>
      </c>
      <c r="S10" s="11"/>
      <c r="T10" s="43" t="s">
        <v>29</v>
      </c>
      <c r="U10" s="310" t="s">
        <v>58</v>
      </c>
      <c r="V10" s="310"/>
      <c r="W10" s="310"/>
      <c r="X10" s="298" t="s">
        <v>29</v>
      </c>
      <c r="Y10" s="299"/>
      <c r="Z10" s="300"/>
    </row>
    <row r="11" spans="1:30" ht="15" customHeight="1" x14ac:dyDescent="0.2">
      <c r="A11" s="3" t="s">
        <v>49</v>
      </c>
      <c r="B11" s="20" t="s">
        <v>29</v>
      </c>
      <c r="C11" s="20" t="s">
        <v>29</v>
      </c>
      <c r="D11" s="20" t="s">
        <v>29</v>
      </c>
      <c r="E11" s="20" t="s">
        <v>29</v>
      </c>
      <c r="F11" s="20" t="s">
        <v>29</v>
      </c>
      <c r="G11" s="9"/>
      <c r="H11" s="6" t="s">
        <v>59</v>
      </c>
      <c r="I11" s="17">
        <v>40767</v>
      </c>
      <c r="J11" s="287">
        <f>I11-C16</f>
        <v>40767</v>
      </c>
      <c r="K11" s="268"/>
      <c r="L11" s="287">
        <f>I11-D16</f>
        <v>40767</v>
      </c>
      <c r="M11" s="268"/>
      <c r="N11" s="287">
        <f>I11-E16</f>
        <v>40767</v>
      </c>
      <c r="O11" s="268"/>
      <c r="P11" s="288">
        <f>I11-F16</f>
        <v>40767</v>
      </c>
      <c r="Q11" s="268"/>
      <c r="R11" s="22" t="s">
        <v>60</v>
      </c>
      <c r="S11" s="11"/>
      <c r="T11" s="43" t="s">
        <v>29</v>
      </c>
      <c r="U11" s="310" t="s">
        <v>61</v>
      </c>
      <c r="V11" s="310"/>
      <c r="W11" s="310"/>
      <c r="X11" s="298" t="s">
        <v>29</v>
      </c>
      <c r="Y11" s="299"/>
      <c r="Z11" s="300"/>
    </row>
    <row r="12" spans="1:30" ht="15.75" customHeight="1" x14ac:dyDescent="0.2">
      <c r="A12" s="3" t="s">
        <v>49</v>
      </c>
      <c r="B12" s="20" t="s">
        <v>29</v>
      </c>
      <c r="C12" s="20" t="s">
        <v>29</v>
      </c>
      <c r="D12" s="20" t="s">
        <v>29</v>
      </c>
      <c r="E12" s="20" t="s">
        <v>29</v>
      </c>
      <c r="F12" s="20" t="s">
        <v>29</v>
      </c>
      <c r="G12" s="9"/>
      <c r="H12" s="6" t="s">
        <v>62</v>
      </c>
      <c r="I12" s="8"/>
      <c r="J12" s="289" t="s">
        <v>29</v>
      </c>
      <c r="K12" s="268"/>
      <c r="L12" s="290" t="s">
        <v>29</v>
      </c>
      <c r="M12" s="268"/>
      <c r="N12" s="290" t="s">
        <v>29</v>
      </c>
      <c r="O12" s="268"/>
      <c r="P12" s="291" t="s">
        <v>29</v>
      </c>
      <c r="Q12" s="268"/>
      <c r="R12" s="22" t="s">
        <v>63</v>
      </c>
      <c r="S12" s="11"/>
      <c r="T12" s="45" t="s">
        <v>29</v>
      </c>
      <c r="U12" s="311" t="s">
        <v>64</v>
      </c>
      <c r="V12" s="311"/>
      <c r="W12" s="311"/>
      <c r="X12" s="301" t="s">
        <v>29</v>
      </c>
      <c r="Y12" s="302"/>
      <c r="Z12" s="303"/>
    </row>
    <row r="13" spans="1:30" ht="15.75" customHeight="1" x14ac:dyDescent="0.2">
      <c r="A13" s="3" t="s">
        <v>49</v>
      </c>
      <c r="B13" s="20" t="s">
        <v>29</v>
      </c>
      <c r="C13" s="20" t="s">
        <v>29</v>
      </c>
      <c r="D13" s="20" t="s">
        <v>29</v>
      </c>
      <c r="E13" s="20" t="s">
        <v>29</v>
      </c>
      <c r="F13" s="20" t="s">
        <v>29</v>
      </c>
      <c r="G13" s="9"/>
      <c r="H13" s="6" t="s">
        <v>65</v>
      </c>
      <c r="I13" s="10"/>
      <c r="J13" s="284" t="s">
        <v>29</v>
      </c>
      <c r="K13" s="268"/>
      <c r="L13" s="285" t="s">
        <v>29</v>
      </c>
      <c r="M13" s="268"/>
      <c r="N13" s="285" t="s">
        <v>29</v>
      </c>
      <c r="O13" s="268"/>
      <c r="P13" s="286" t="s">
        <v>29</v>
      </c>
      <c r="Q13" s="272"/>
      <c r="R13" s="304" t="s">
        <v>66</v>
      </c>
      <c r="S13" s="304"/>
      <c r="T13" s="304"/>
      <c r="U13" s="304"/>
      <c r="V13" s="304"/>
      <c r="W13" s="304"/>
      <c r="X13" s="304"/>
      <c r="Y13" s="304"/>
      <c r="Z13" s="304"/>
    </row>
    <row r="14" spans="1:30" ht="15.75" customHeight="1" x14ac:dyDescent="0.2">
      <c r="A14" s="3" t="s">
        <v>49</v>
      </c>
      <c r="B14" s="20" t="s">
        <v>29</v>
      </c>
      <c r="C14" s="20" t="s">
        <v>29</v>
      </c>
      <c r="D14" s="20" t="s">
        <v>29</v>
      </c>
      <c r="E14" s="20" t="s">
        <v>29</v>
      </c>
      <c r="F14" s="20" t="s">
        <v>29</v>
      </c>
      <c r="G14" s="9"/>
      <c r="H14" s="6" t="s">
        <v>67</v>
      </c>
      <c r="I14" s="10"/>
      <c r="J14" s="284" t="s">
        <v>29</v>
      </c>
      <c r="K14" s="268"/>
      <c r="L14" s="285" t="s">
        <v>29</v>
      </c>
      <c r="M14" s="268"/>
      <c r="N14" s="285" t="s">
        <v>29</v>
      </c>
      <c r="O14" s="268"/>
      <c r="P14" s="286" t="s">
        <v>29</v>
      </c>
      <c r="Q14" s="272"/>
      <c r="R14" s="304"/>
      <c r="S14" s="304"/>
      <c r="T14" s="304"/>
      <c r="U14" s="304"/>
      <c r="V14" s="304"/>
      <c r="W14" s="304"/>
      <c r="X14" s="304"/>
      <c r="Y14" s="304"/>
      <c r="Z14" s="304"/>
    </row>
    <row r="15" spans="1:30" ht="15.75" customHeight="1" x14ac:dyDescent="0.2">
      <c r="A15" s="3" t="s">
        <v>49</v>
      </c>
      <c r="B15" s="20" t="s">
        <v>29</v>
      </c>
      <c r="C15" s="20" t="s">
        <v>29</v>
      </c>
      <c r="D15" s="20" t="s">
        <v>29</v>
      </c>
      <c r="E15" s="20" t="s">
        <v>29</v>
      </c>
      <c r="F15" s="20" t="s">
        <v>29</v>
      </c>
      <c r="G15" s="9"/>
      <c r="H15" s="6" t="s">
        <v>68</v>
      </c>
      <c r="I15" s="10"/>
      <c r="J15" s="284" t="s">
        <v>29</v>
      </c>
      <c r="K15" s="268"/>
      <c r="L15" s="285" t="s">
        <v>29</v>
      </c>
      <c r="M15" s="268"/>
      <c r="N15" s="285" t="s">
        <v>29</v>
      </c>
      <c r="O15" s="268"/>
      <c r="P15" s="292" t="s">
        <v>29</v>
      </c>
      <c r="Q15" s="293"/>
      <c r="R15" s="305" t="s">
        <v>100</v>
      </c>
      <c r="S15" s="305"/>
      <c r="T15" s="305"/>
      <c r="U15" s="305"/>
      <c r="V15" s="305"/>
      <c r="W15" s="305"/>
      <c r="X15" s="305"/>
      <c r="Y15" s="305"/>
      <c r="Z15" s="306"/>
    </row>
    <row r="16" spans="1:30" ht="15.75" customHeight="1" x14ac:dyDescent="0.2">
      <c r="A16" s="14" t="s">
        <v>69</v>
      </c>
      <c r="B16" s="20"/>
      <c r="C16" s="19"/>
      <c r="D16" s="19"/>
      <c r="E16" s="19"/>
      <c r="F16" s="19"/>
      <c r="G16" s="15" t="e">
        <f>AVERAGE(C16:F16)</f>
        <v>#DIV/0!</v>
      </c>
      <c r="H16" s="6" t="s">
        <v>70</v>
      </c>
      <c r="I16" s="17">
        <v>40770</v>
      </c>
      <c r="J16" s="294">
        <f>I16-C16</f>
        <v>40770</v>
      </c>
      <c r="K16" s="268"/>
      <c r="L16" s="294">
        <f>I16-D16</f>
        <v>40770</v>
      </c>
      <c r="M16" s="268"/>
      <c r="N16" s="294">
        <f>I16-E16</f>
        <v>40770</v>
      </c>
      <c r="O16" s="272"/>
      <c r="P16" s="295">
        <f>I16-F16</f>
        <v>40770</v>
      </c>
      <c r="Q16" s="261"/>
      <c r="R16" s="307"/>
      <c r="S16" s="307"/>
      <c r="T16" s="307"/>
      <c r="U16" s="307"/>
      <c r="V16" s="307"/>
      <c r="W16" s="307"/>
      <c r="X16" s="307"/>
      <c r="Y16" s="307"/>
      <c r="Z16" s="308"/>
    </row>
    <row r="17" spans="1:26" ht="15.75" customHeight="1" x14ac:dyDescent="0.2">
      <c r="A17" s="323" t="s">
        <v>71</v>
      </c>
      <c r="B17" s="324"/>
      <c r="C17" s="50">
        <f>C16-C7</f>
        <v>0</v>
      </c>
      <c r="D17" s="50">
        <f>D16-D7</f>
        <v>0</v>
      </c>
      <c r="E17" s="50">
        <f>E16-E7</f>
        <v>0</v>
      </c>
      <c r="F17" s="50">
        <f>F16-F7</f>
        <v>0</v>
      </c>
      <c r="G17" s="51">
        <f>AVERAGE(C17:E17)</f>
        <v>0</v>
      </c>
      <c r="H17" s="6" t="s">
        <v>72</v>
      </c>
      <c r="I17" s="8"/>
      <c r="J17" s="291" t="s">
        <v>29</v>
      </c>
      <c r="K17" s="268"/>
      <c r="L17" s="290" t="s">
        <v>29</v>
      </c>
      <c r="M17" s="268"/>
      <c r="N17" s="320" t="s">
        <v>29</v>
      </c>
      <c r="O17" s="272"/>
      <c r="P17" s="309" t="s">
        <v>29</v>
      </c>
      <c r="Q17" s="261"/>
      <c r="R17" s="307"/>
      <c r="S17" s="307"/>
      <c r="T17" s="307"/>
      <c r="U17" s="307"/>
      <c r="V17" s="307"/>
      <c r="W17" s="307"/>
      <c r="X17" s="307"/>
      <c r="Y17" s="307"/>
      <c r="Z17" s="308"/>
    </row>
    <row r="18" spans="1:26" ht="15.75" customHeight="1" x14ac:dyDescent="0.2">
      <c r="A18" s="327" t="s">
        <v>73</v>
      </c>
      <c r="B18" s="327"/>
      <c r="C18" s="325" t="s">
        <v>74</v>
      </c>
      <c r="D18" s="325" t="s">
        <v>75</v>
      </c>
      <c r="E18" s="325" t="s">
        <v>76</v>
      </c>
      <c r="F18" s="325" t="s">
        <v>77</v>
      </c>
      <c r="G18" s="326" t="s">
        <v>38</v>
      </c>
      <c r="H18" s="49" t="s">
        <v>78</v>
      </c>
      <c r="I18" s="10"/>
      <c r="J18" s="286" t="s">
        <v>29</v>
      </c>
      <c r="K18" s="268"/>
      <c r="L18" s="285" t="s">
        <v>29</v>
      </c>
      <c r="M18" s="268"/>
      <c r="N18" s="296" t="s">
        <v>29</v>
      </c>
      <c r="O18" s="272"/>
      <c r="P18" s="297" t="s">
        <v>29</v>
      </c>
      <c r="Q18" s="261"/>
      <c r="R18" s="307"/>
      <c r="S18" s="307"/>
      <c r="T18" s="307"/>
      <c r="U18" s="307"/>
      <c r="V18" s="307"/>
      <c r="W18" s="307"/>
      <c r="X18" s="307"/>
      <c r="Y18" s="307"/>
      <c r="Z18" s="308"/>
    </row>
    <row r="19" spans="1:26" ht="15" customHeight="1" x14ac:dyDescent="0.2">
      <c r="A19" s="328"/>
      <c r="B19" s="328"/>
      <c r="C19" s="261"/>
      <c r="D19" s="261"/>
      <c r="E19" s="261"/>
      <c r="F19" s="261"/>
      <c r="G19" s="261"/>
      <c r="H19" s="49" t="s">
        <v>67</v>
      </c>
      <c r="I19" s="10"/>
      <c r="J19" s="286" t="s">
        <v>29</v>
      </c>
      <c r="K19" s="268"/>
      <c r="L19" s="285" t="s">
        <v>29</v>
      </c>
      <c r="M19" s="268"/>
      <c r="N19" s="296" t="s">
        <v>29</v>
      </c>
      <c r="O19" s="272"/>
      <c r="P19" s="297" t="s">
        <v>29</v>
      </c>
      <c r="Q19" s="261"/>
      <c r="R19" s="307"/>
      <c r="S19" s="307"/>
      <c r="T19" s="307"/>
      <c r="U19" s="307"/>
      <c r="V19" s="307"/>
      <c r="W19" s="307"/>
      <c r="X19" s="307"/>
      <c r="Y19" s="307"/>
      <c r="Z19" s="308"/>
    </row>
    <row r="20" spans="1:26" ht="15.75" customHeight="1" x14ac:dyDescent="0.2">
      <c r="A20" s="312" t="s">
        <v>79</v>
      </c>
      <c r="B20" s="313"/>
      <c r="C20" s="52" t="s">
        <v>29</v>
      </c>
      <c r="D20" s="52" t="s">
        <v>29</v>
      </c>
      <c r="E20" s="52" t="s">
        <v>29</v>
      </c>
      <c r="F20" s="52" t="s">
        <v>29</v>
      </c>
      <c r="G20" s="52" t="s">
        <v>29</v>
      </c>
      <c r="H20" s="6" t="s">
        <v>68</v>
      </c>
      <c r="I20" s="10"/>
      <c r="J20" s="286" t="s">
        <v>29</v>
      </c>
      <c r="K20" s="268"/>
      <c r="L20" s="285" t="s">
        <v>29</v>
      </c>
      <c r="M20" s="268"/>
      <c r="N20" s="296" t="s">
        <v>29</v>
      </c>
      <c r="O20" s="272"/>
      <c r="P20" s="297" t="s">
        <v>29</v>
      </c>
      <c r="Q20" s="261"/>
      <c r="R20" s="307"/>
      <c r="S20" s="307"/>
      <c r="T20" s="307"/>
      <c r="U20" s="307"/>
      <c r="V20" s="307"/>
      <c r="W20" s="307"/>
      <c r="X20" s="307"/>
      <c r="Y20" s="307"/>
      <c r="Z20" s="308"/>
    </row>
    <row r="21" spans="1:26" ht="15.75" customHeight="1" x14ac:dyDescent="0.2">
      <c r="A21" s="312" t="s">
        <v>46</v>
      </c>
      <c r="B21" s="313"/>
      <c r="C21" s="18" t="s">
        <v>29</v>
      </c>
      <c r="D21" s="18" t="s">
        <v>29</v>
      </c>
      <c r="E21" s="18" t="s">
        <v>29</v>
      </c>
      <c r="F21" s="18" t="s">
        <v>29</v>
      </c>
      <c r="G21" s="18" t="s">
        <v>29</v>
      </c>
      <c r="H21" s="47" t="s">
        <v>80</v>
      </c>
      <c r="I21" s="17">
        <v>40775</v>
      </c>
      <c r="J21" s="294">
        <f>I21-C16</f>
        <v>40775</v>
      </c>
      <c r="K21" s="268"/>
      <c r="L21" s="294">
        <f>I21-D16</f>
        <v>40775</v>
      </c>
      <c r="M21" s="268"/>
      <c r="N21" s="294">
        <f>I21-E16</f>
        <v>40775</v>
      </c>
      <c r="O21" s="272"/>
      <c r="P21" s="295">
        <f>I21-F16</f>
        <v>40775</v>
      </c>
      <c r="Q21" s="261"/>
      <c r="R21" s="307"/>
      <c r="S21" s="307"/>
      <c r="T21" s="307"/>
      <c r="U21" s="307"/>
      <c r="V21" s="307"/>
      <c r="W21" s="307"/>
      <c r="X21" s="307"/>
      <c r="Y21" s="307"/>
      <c r="Z21" s="308"/>
    </row>
    <row r="22" spans="1:26" ht="15.75" customHeight="1" x14ac:dyDescent="0.2">
      <c r="A22" s="312" t="s">
        <v>81</v>
      </c>
      <c r="B22" s="313"/>
      <c r="C22" s="18" t="s">
        <v>29</v>
      </c>
      <c r="D22" s="18" t="s">
        <v>29</v>
      </c>
      <c r="E22" s="18" t="s">
        <v>29</v>
      </c>
      <c r="F22" s="18" t="s">
        <v>29</v>
      </c>
      <c r="G22" s="43" t="s">
        <v>29</v>
      </c>
      <c r="H22" s="48" t="s">
        <v>82</v>
      </c>
      <c r="I22" s="8"/>
      <c r="J22" s="291" t="s">
        <v>29</v>
      </c>
      <c r="K22" s="268"/>
      <c r="L22" s="290" t="s">
        <v>29</v>
      </c>
      <c r="M22" s="268"/>
      <c r="N22" s="320" t="s">
        <v>29</v>
      </c>
      <c r="O22" s="272"/>
      <c r="P22" s="309" t="s">
        <v>29</v>
      </c>
      <c r="Q22" s="261"/>
      <c r="R22" s="307"/>
      <c r="S22" s="307"/>
      <c r="T22" s="307"/>
      <c r="U22" s="307"/>
      <c r="V22" s="307"/>
      <c r="W22" s="307"/>
      <c r="X22" s="307"/>
      <c r="Y22" s="307"/>
      <c r="Z22" s="308"/>
    </row>
    <row r="23" spans="1:26" ht="15.75" customHeight="1" x14ac:dyDescent="0.2">
      <c r="A23" s="312" t="s">
        <v>12</v>
      </c>
      <c r="B23" s="313"/>
      <c r="C23" s="18" t="s">
        <v>29</v>
      </c>
      <c r="D23" s="18" t="s">
        <v>29</v>
      </c>
      <c r="E23" s="18" t="s">
        <v>29</v>
      </c>
      <c r="F23" s="18" t="s">
        <v>29</v>
      </c>
      <c r="G23" s="43" t="s">
        <v>29</v>
      </c>
      <c r="H23" s="48" t="s">
        <v>83</v>
      </c>
      <c r="I23" s="8"/>
      <c r="J23" s="291" t="s">
        <v>29</v>
      </c>
      <c r="K23" s="268"/>
      <c r="L23" s="290" t="s">
        <v>29</v>
      </c>
      <c r="M23" s="268"/>
      <c r="N23" s="320" t="s">
        <v>29</v>
      </c>
      <c r="O23" s="272"/>
      <c r="P23" s="309" t="s">
        <v>29</v>
      </c>
      <c r="Q23" s="261"/>
      <c r="R23" s="307"/>
      <c r="S23" s="307"/>
      <c r="T23" s="307"/>
      <c r="U23" s="307"/>
      <c r="V23" s="307"/>
      <c r="W23" s="307"/>
      <c r="X23" s="307"/>
      <c r="Y23" s="307"/>
      <c r="Z23" s="308"/>
    </row>
    <row r="24" spans="1:26" ht="15.75" customHeight="1" x14ac:dyDescent="0.2">
      <c r="A24" s="312" t="s">
        <v>84</v>
      </c>
      <c r="B24" s="313"/>
      <c r="C24" s="18" t="s">
        <v>29</v>
      </c>
      <c r="D24" s="18" t="s">
        <v>29</v>
      </c>
      <c r="E24" s="18" t="s">
        <v>29</v>
      </c>
      <c r="F24" s="18" t="s">
        <v>29</v>
      </c>
      <c r="G24" s="43" t="s">
        <v>29</v>
      </c>
      <c r="H24" s="48" t="s">
        <v>67</v>
      </c>
      <c r="I24" s="10"/>
      <c r="J24" s="286" t="s">
        <v>29</v>
      </c>
      <c r="K24" s="268"/>
      <c r="L24" s="321" t="s">
        <v>29</v>
      </c>
      <c r="M24" s="268"/>
      <c r="N24" s="322" t="s">
        <v>29</v>
      </c>
      <c r="O24" s="272"/>
      <c r="P24" s="297" t="s">
        <v>29</v>
      </c>
      <c r="Q24" s="261"/>
      <c r="R24" s="307"/>
      <c r="S24" s="307"/>
      <c r="T24" s="307"/>
      <c r="U24" s="307"/>
      <c r="V24" s="307"/>
      <c r="W24" s="307"/>
      <c r="X24" s="307"/>
      <c r="Y24" s="307"/>
      <c r="Z24" s="308"/>
    </row>
    <row r="25" spans="1:26" ht="15.75" customHeight="1" x14ac:dyDescent="0.2">
      <c r="A25" s="312" t="s">
        <v>11</v>
      </c>
      <c r="B25" s="313"/>
      <c r="C25" s="18" t="s">
        <v>29</v>
      </c>
      <c r="D25" s="18" t="s">
        <v>29</v>
      </c>
      <c r="E25" s="18" t="s">
        <v>29</v>
      </c>
      <c r="F25" s="18" t="s">
        <v>29</v>
      </c>
      <c r="G25" s="43" t="s">
        <v>29</v>
      </c>
      <c r="H25" s="48" t="s">
        <v>68</v>
      </c>
      <c r="I25" s="10"/>
      <c r="J25" s="286" t="s">
        <v>29</v>
      </c>
      <c r="K25" s="268"/>
      <c r="L25" s="321" t="s">
        <v>29</v>
      </c>
      <c r="M25" s="268"/>
      <c r="N25" s="322" t="s">
        <v>29</v>
      </c>
      <c r="O25" s="272"/>
      <c r="P25" s="297" t="s">
        <v>29</v>
      </c>
      <c r="Q25" s="261"/>
      <c r="R25" s="307"/>
      <c r="S25" s="307"/>
      <c r="T25" s="307"/>
      <c r="U25" s="307"/>
      <c r="V25" s="307"/>
      <c r="W25" s="307"/>
      <c r="X25" s="307"/>
      <c r="Y25" s="307"/>
      <c r="Z25" s="308"/>
    </row>
    <row r="26" spans="1:26" ht="15.75" customHeight="1" x14ac:dyDescent="0.2">
      <c r="A26" s="314" t="s">
        <v>85</v>
      </c>
      <c r="B26" s="315"/>
      <c r="C26" s="18" t="s">
        <v>29</v>
      </c>
      <c r="D26" s="18" t="s">
        <v>29</v>
      </c>
      <c r="E26" s="18" t="s">
        <v>29</v>
      </c>
      <c r="F26" s="18" t="s">
        <v>29</v>
      </c>
      <c r="G26" s="43" t="s">
        <v>29</v>
      </c>
      <c r="H26" s="48" t="s">
        <v>86</v>
      </c>
      <c r="I26" s="8"/>
      <c r="J26" s="291" t="s">
        <v>29</v>
      </c>
      <c r="K26" s="268"/>
      <c r="L26" s="318" t="s">
        <v>29</v>
      </c>
      <c r="M26" s="268"/>
      <c r="N26" s="319" t="s">
        <v>29</v>
      </c>
      <c r="O26" s="272"/>
      <c r="P26" s="309" t="s">
        <v>29</v>
      </c>
      <c r="Q26" s="261"/>
      <c r="R26" s="307"/>
      <c r="S26" s="307"/>
      <c r="T26" s="307"/>
      <c r="U26" s="307"/>
      <c r="V26" s="307"/>
      <c r="W26" s="307"/>
      <c r="X26" s="307"/>
      <c r="Y26" s="307"/>
      <c r="Z26" s="308"/>
    </row>
    <row r="27" spans="1:26" ht="15.75" customHeight="1" x14ac:dyDescent="0.2">
      <c r="A27" s="316" t="s">
        <v>87</v>
      </c>
      <c r="B27" s="317"/>
      <c r="C27" s="18" t="s">
        <v>29</v>
      </c>
      <c r="D27" s="18" t="s">
        <v>29</v>
      </c>
      <c r="E27" s="18" t="s">
        <v>29</v>
      </c>
      <c r="F27" s="18" t="s">
        <v>29</v>
      </c>
      <c r="G27" s="43" t="s">
        <v>29</v>
      </c>
      <c r="H27" s="48" t="s">
        <v>88</v>
      </c>
      <c r="I27" s="8"/>
      <c r="J27" s="291" t="s">
        <v>29</v>
      </c>
      <c r="K27" s="268"/>
      <c r="L27" s="290" t="s">
        <v>29</v>
      </c>
      <c r="M27" s="268"/>
      <c r="N27" s="320" t="s">
        <v>29</v>
      </c>
      <c r="O27" s="272"/>
      <c r="P27" s="309" t="s">
        <v>29</v>
      </c>
      <c r="Q27" s="261"/>
      <c r="R27" s="307"/>
      <c r="S27" s="307"/>
      <c r="T27" s="307"/>
      <c r="U27" s="307"/>
      <c r="V27" s="307"/>
      <c r="W27" s="307"/>
      <c r="X27" s="307"/>
      <c r="Y27" s="307"/>
      <c r="Z27" s="308"/>
    </row>
    <row r="28" spans="1:26" ht="15.75" customHeight="1" x14ac:dyDescent="0.2">
      <c r="A28" s="2"/>
      <c r="B28" s="7"/>
      <c r="C28" s="4"/>
      <c r="D28" s="4"/>
      <c r="E28" s="4"/>
      <c r="F28" s="4"/>
      <c r="G28" s="4"/>
      <c r="H28" s="46"/>
      <c r="I28" s="4"/>
      <c r="J28" s="4"/>
      <c r="K28" s="4"/>
      <c r="L28" s="4"/>
      <c r="M28" s="4"/>
      <c r="N28" s="4"/>
      <c r="O28" s="4"/>
      <c r="P28" s="46"/>
      <c r="Q28" s="46"/>
      <c r="R28" s="53"/>
      <c r="S28" s="30"/>
      <c r="T28" s="4"/>
      <c r="U28" s="4"/>
      <c r="V28" s="4"/>
      <c r="W28" s="26"/>
      <c r="X28" s="4"/>
      <c r="Y28" s="4"/>
      <c r="Z28" s="4"/>
    </row>
  </sheetData>
  <mergeCells count="128">
    <mergeCell ref="A20:B20"/>
    <mergeCell ref="A21:B21"/>
    <mergeCell ref="A22:B22"/>
    <mergeCell ref="A23:B23"/>
    <mergeCell ref="A17:B17"/>
    <mergeCell ref="J17:K17"/>
    <mergeCell ref="L17:M17"/>
    <mergeCell ref="N17:O17"/>
    <mergeCell ref="C18:C19"/>
    <mergeCell ref="D18:D19"/>
    <mergeCell ref="E18:E19"/>
    <mergeCell ref="F18:F19"/>
    <mergeCell ref="G18:G19"/>
    <mergeCell ref="J18:K18"/>
    <mergeCell ref="L18:M18"/>
    <mergeCell ref="N18:O18"/>
    <mergeCell ref="J19:K19"/>
    <mergeCell ref="L19:M19"/>
    <mergeCell ref="N19:O19"/>
    <mergeCell ref="A18:B19"/>
    <mergeCell ref="J22:K22"/>
    <mergeCell ref="L22:M22"/>
    <mergeCell ref="N22:O22"/>
    <mergeCell ref="A24:B24"/>
    <mergeCell ref="A25:B25"/>
    <mergeCell ref="A26:B26"/>
    <mergeCell ref="A27:B27"/>
    <mergeCell ref="J26:K26"/>
    <mergeCell ref="J21:K21"/>
    <mergeCell ref="L26:M26"/>
    <mergeCell ref="N26:O26"/>
    <mergeCell ref="P26:Q26"/>
    <mergeCell ref="J27:K27"/>
    <mergeCell ref="L27:M27"/>
    <mergeCell ref="N27:O27"/>
    <mergeCell ref="P27:Q27"/>
    <mergeCell ref="J24:K24"/>
    <mergeCell ref="L24:M24"/>
    <mergeCell ref="N24:O24"/>
    <mergeCell ref="J25:K25"/>
    <mergeCell ref="L25:M25"/>
    <mergeCell ref="N25:O25"/>
    <mergeCell ref="J23:K23"/>
    <mergeCell ref="L23:M23"/>
    <mergeCell ref="N23:O23"/>
    <mergeCell ref="L21:M21"/>
    <mergeCell ref="N21:O21"/>
    <mergeCell ref="X8:Z8"/>
    <mergeCell ref="X9:Z9"/>
    <mergeCell ref="X10:Z10"/>
    <mergeCell ref="X11:Z11"/>
    <mergeCell ref="X12:Z12"/>
    <mergeCell ref="R13:Z14"/>
    <mergeCell ref="R15:Z27"/>
    <mergeCell ref="P23:Q23"/>
    <mergeCell ref="P24:Q24"/>
    <mergeCell ref="P25:Q25"/>
    <mergeCell ref="P17:Q17"/>
    <mergeCell ref="P18:Q18"/>
    <mergeCell ref="P19:Q19"/>
    <mergeCell ref="U8:W8"/>
    <mergeCell ref="U9:W9"/>
    <mergeCell ref="U10:W10"/>
    <mergeCell ref="U11:W11"/>
    <mergeCell ref="U12:W12"/>
    <mergeCell ref="P21:Q21"/>
    <mergeCell ref="P22:Q22"/>
    <mergeCell ref="J15:K15"/>
    <mergeCell ref="L15:M15"/>
    <mergeCell ref="N15:O15"/>
    <mergeCell ref="P15:Q15"/>
    <mergeCell ref="J16:K16"/>
    <mergeCell ref="L16:M16"/>
    <mergeCell ref="N16:O16"/>
    <mergeCell ref="P16:Q16"/>
    <mergeCell ref="J20:K20"/>
    <mergeCell ref="L20:M20"/>
    <mergeCell ref="N20:O20"/>
    <mergeCell ref="P20:Q20"/>
    <mergeCell ref="J12:K12"/>
    <mergeCell ref="L12:M12"/>
    <mergeCell ref="N12:O12"/>
    <mergeCell ref="P12:Q12"/>
    <mergeCell ref="J13:K13"/>
    <mergeCell ref="L13:M13"/>
    <mergeCell ref="N13:O13"/>
    <mergeCell ref="P13:Q13"/>
    <mergeCell ref="J14:K14"/>
    <mergeCell ref="L14:M14"/>
    <mergeCell ref="N14:O14"/>
    <mergeCell ref="P14:Q14"/>
    <mergeCell ref="J10:K10"/>
    <mergeCell ref="L10:M10"/>
    <mergeCell ref="N10:O10"/>
    <mergeCell ref="P10:Q10"/>
    <mergeCell ref="J11:K11"/>
    <mergeCell ref="L11:M11"/>
    <mergeCell ref="N11:O11"/>
    <mergeCell ref="P11:Q11"/>
    <mergeCell ref="J8:K8"/>
    <mergeCell ref="L8:M8"/>
    <mergeCell ref="N8:O8"/>
    <mergeCell ref="P8:Q8"/>
    <mergeCell ref="J9:K9"/>
    <mergeCell ref="L9:M9"/>
    <mergeCell ref="N9:O9"/>
    <mergeCell ref="P9:Q9"/>
    <mergeCell ref="S6:Z6"/>
    <mergeCell ref="J7:K7"/>
    <mergeCell ref="L7:M7"/>
    <mergeCell ref="N7:O7"/>
    <mergeCell ref="P7:Q7"/>
    <mergeCell ref="U7:W7"/>
    <mergeCell ref="J6:K6"/>
    <mergeCell ref="L6:M6"/>
    <mergeCell ref="N6:O6"/>
    <mergeCell ref="P6:Q6"/>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3"/>
  <sheetViews>
    <sheetView workbookViewId="0">
      <selection activeCell="AB20" sqref="AB20"/>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1</v>
      </c>
      <c r="G1" s="226" t="s">
        <v>3</v>
      </c>
      <c r="H1" s="216" t="s">
        <v>4</v>
      </c>
      <c r="I1" s="329" t="s">
        <v>5</v>
      </c>
      <c r="J1" s="261"/>
      <c r="K1" s="330"/>
      <c r="L1" s="331"/>
      <c r="M1" s="331"/>
      <c r="N1" s="331"/>
      <c r="O1" s="332"/>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177</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row r="29" spans="1:29" ht="18" customHeight="1" x14ac:dyDescent="0.2">
      <c r="J29" s="25">
        <v>18</v>
      </c>
      <c r="L29" s="25">
        <v>18</v>
      </c>
    </row>
    <row r="36" spans="10:10" ht="18" customHeight="1" x14ac:dyDescent="0.2">
      <c r="J36" s="25">
        <v>23</v>
      </c>
    </row>
    <row r="43" spans="10:10" ht="18" customHeight="1" x14ac:dyDescent="0.2">
      <c r="J43" s="25">
        <v>29</v>
      </c>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3"/>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2</v>
      </c>
      <c r="G1" s="226" t="s">
        <v>3</v>
      </c>
      <c r="H1" s="216" t="s">
        <v>4</v>
      </c>
      <c r="I1" s="381" t="s">
        <v>5</v>
      </c>
      <c r="J1" s="332"/>
      <c r="K1" s="330"/>
      <c r="L1" s="331"/>
      <c r="M1" s="331"/>
      <c r="N1" s="331"/>
      <c r="O1" s="332"/>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291</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row r="29" spans="1:29" ht="18" customHeight="1" x14ac:dyDescent="0.2">
      <c r="J29" s="25">
        <v>18</v>
      </c>
      <c r="L29" s="25">
        <v>18</v>
      </c>
    </row>
    <row r="36" spans="10:10" ht="18" customHeight="1" x14ac:dyDescent="0.2">
      <c r="J36" s="25">
        <v>23</v>
      </c>
    </row>
    <row r="43" spans="10:10" ht="18" customHeight="1" x14ac:dyDescent="0.2">
      <c r="J43" s="25">
        <v>29</v>
      </c>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43"/>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3</v>
      </c>
      <c r="G1" s="226" t="s">
        <v>3</v>
      </c>
      <c r="H1" s="216" t="s">
        <v>4</v>
      </c>
      <c r="I1" s="329" t="s">
        <v>5</v>
      </c>
      <c r="J1" s="261"/>
      <c r="K1" s="330"/>
      <c r="L1" s="331"/>
      <c r="M1" s="331"/>
      <c r="N1" s="331"/>
      <c r="O1" s="332"/>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103</v>
      </c>
      <c r="B3" s="144">
        <v>41799</v>
      </c>
      <c r="C3" s="71" t="s">
        <v>29</v>
      </c>
      <c r="D3" s="71" t="s">
        <v>29</v>
      </c>
      <c r="E3" s="71" t="s">
        <v>29</v>
      </c>
      <c r="F3" s="71" t="s">
        <v>280</v>
      </c>
      <c r="G3" s="71" t="s">
        <v>225</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D3" s="69" t="s">
        <v>205</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103</v>
      </c>
      <c r="B5" s="144">
        <v>41805</v>
      </c>
      <c r="C5" s="71" t="s">
        <v>29</v>
      </c>
      <c r="D5" s="71" t="s">
        <v>29</v>
      </c>
      <c r="E5" s="71" t="s">
        <v>29</v>
      </c>
      <c r="F5" s="71" t="s">
        <v>236</v>
      </c>
      <c r="G5" s="71" t="s">
        <v>227</v>
      </c>
      <c r="H5" s="71" t="s">
        <v>228</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c r="AD5" s="69" t="s">
        <v>205</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v>41797</v>
      </c>
      <c r="D7" s="155">
        <v>41799</v>
      </c>
      <c r="E7" s="155">
        <v>41802</v>
      </c>
      <c r="F7" s="155">
        <v>41805</v>
      </c>
      <c r="G7" s="156">
        <f>AVERAGE(C7:F7)</f>
        <v>41800.75</v>
      </c>
      <c r="H7" s="157" t="s">
        <v>46</v>
      </c>
      <c r="I7" s="158"/>
      <c r="J7" s="276" t="s">
        <v>360</v>
      </c>
      <c r="K7" s="267"/>
      <c r="L7" s="346" t="s">
        <v>355</v>
      </c>
      <c r="M7" s="267"/>
      <c r="N7" s="346" t="s">
        <v>356</v>
      </c>
      <c r="O7" s="267"/>
      <c r="P7" s="347" t="s">
        <v>357</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41844</v>
      </c>
      <c r="J8" s="341">
        <f>IF(((I8-C16)&gt;0),(I8-C16),"/")</f>
        <v>41844</v>
      </c>
      <c r="K8" s="336"/>
      <c r="L8" s="341">
        <f>IF(((I8-D16)&gt;0),(I8-D16),"/")</f>
        <v>41844</v>
      </c>
      <c r="M8" s="336"/>
      <c r="N8" s="341">
        <f>IF(((I8-E16)&gt;0),(I8-E16),"/")</f>
        <v>41844</v>
      </c>
      <c r="O8" s="336"/>
      <c r="P8" s="341">
        <f>IF(((I8-F16)&gt;0),(I8-F16),"/")</f>
        <v>41844</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66">
        <v>41844</v>
      </c>
      <c r="J9" s="355">
        <v>251</v>
      </c>
      <c r="K9" s="336"/>
      <c r="L9" s="356">
        <v>236</v>
      </c>
      <c r="M9" s="336"/>
      <c r="N9" s="356">
        <v>171</v>
      </c>
      <c r="O9" s="336"/>
      <c r="P9" s="357">
        <v>45</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367</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-41797</v>
      </c>
      <c r="D17" s="172">
        <f>D16-D7</f>
        <v>-41799</v>
      </c>
      <c r="E17" s="172">
        <f>E16-E7</f>
        <v>-41802</v>
      </c>
      <c r="F17" s="172">
        <f>F16-F7</f>
        <v>-41805</v>
      </c>
      <c r="G17" s="173">
        <f>AVERAGE(C17:E17)</f>
        <v>-41799.333333333336</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row r="29" spans="1:29" ht="18" customHeight="1" x14ac:dyDescent="0.2">
      <c r="J29" s="25">
        <v>18</v>
      </c>
      <c r="L29" s="25">
        <v>18</v>
      </c>
    </row>
    <row r="36" spans="10:10" ht="18" customHeight="1" x14ac:dyDescent="0.2">
      <c r="J36" s="25">
        <v>23</v>
      </c>
    </row>
    <row r="43" spans="10:10" ht="18" customHeight="1" x14ac:dyDescent="0.2">
      <c r="J43" s="25">
        <v>29</v>
      </c>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3"/>
  <sheetViews>
    <sheetView workbookViewId="0">
      <selection activeCell="H29" sqref="H29:N39"/>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4</v>
      </c>
      <c r="G1" s="226" t="s">
        <v>3</v>
      </c>
      <c r="H1" s="216" t="s">
        <v>4</v>
      </c>
      <c r="I1" s="329" t="s">
        <v>5</v>
      </c>
      <c r="J1" s="261"/>
      <c r="K1" s="330"/>
      <c r="L1" s="331"/>
      <c r="M1" s="331"/>
      <c r="N1" s="331"/>
      <c r="O1" s="332"/>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233</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row r="43" spans="10:10" ht="18" customHeight="1" x14ac:dyDescent="0.2">
      <c r="J43" s="25">
        <v>29</v>
      </c>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9"/>
  <sheetViews>
    <sheetView workbookViewId="0">
      <selection activeCell="N24" sqref="N24:O24"/>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10.85546875" style="25" bestFit="1"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6.7109375" style="25" customWidth="1"/>
    <col min="28" max="29" width="11.85546875" style="25"/>
    <col min="30" max="30" width="12.5703125" style="25" customWidth="1"/>
    <col min="31" max="16384" width="11.85546875" style="25"/>
  </cols>
  <sheetData>
    <row r="1" spans="1:33" ht="12.75" x14ac:dyDescent="0.2">
      <c r="A1" s="132" t="s">
        <v>0</v>
      </c>
      <c r="B1" s="216">
        <v>2014</v>
      </c>
      <c r="C1" s="132" t="s">
        <v>1</v>
      </c>
      <c r="D1" s="216"/>
      <c r="E1" s="132" t="s">
        <v>2</v>
      </c>
      <c r="F1" s="216">
        <v>5</v>
      </c>
      <c r="G1" s="226" t="s">
        <v>3</v>
      </c>
      <c r="H1" s="216" t="s">
        <v>4</v>
      </c>
      <c r="I1" s="329" t="s">
        <v>5</v>
      </c>
      <c r="J1" s="261"/>
      <c r="K1" s="330" t="s">
        <v>309</v>
      </c>
      <c r="L1" s="382"/>
      <c r="M1" s="382"/>
      <c r="N1" s="382"/>
      <c r="O1" s="383"/>
      <c r="P1" s="333" t="s">
        <v>6</v>
      </c>
      <c r="Q1" s="261"/>
      <c r="R1" s="334"/>
      <c r="S1" s="272"/>
      <c r="T1" s="135"/>
      <c r="U1" s="135"/>
      <c r="V1" s="135"/>
      <c r="W1" s="135"/>
      <c r="X1" s="135"/>
      <c r="Y1" s="135"/>
      <c r="Z1" s="136"/>
    </row>
    <row r="2" spans="1:33"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c r="AE2" s="95" t="s">
        <v>346</v>
      </c>
      <c r="AF2" s="95" t="s">
        <v>347</v>
      </c>
      <c r="AG2" s="95" t="s">
        <v>348</v>
      </c>
    </row>
    <row r="3" spans="1:33" ht="15.75" customHeight="1" x14ac:dyDescent="0.2">
      <c r="A3" s="71" t="s">
        <v>103</v>
      </c>
      <c r="B3" s="144">
        <v>41780</v>
      </c>
      <c r="C3" s="71" t="s">
        <v>105</v>
      </c>
      <c r="D3" s="71" t="s">
        <v>29</v>
      </c>
      <c r="E3" s="194">
        <v>220612971</v>
      </c>
      <c r="F3" s="71" t="s">
        <v>129</v>
      </c>
      <c r="G3" s="71" t="s">
        <v>215</v>
      </c>
      <c r="H3" s="71" t="s">
        <v>29</v>
      </c>
      <c r="I3" s="71" t="s">
        <v>29</v>
      </c>
      <c r="J3" s="71">
        <v>639</v>
      </c>
      <c r="K3" s="71">
        <v>4</v>
      </c>
      <c r="L3" s="141" t="s">
        <v>29</v>
      </c>
      <c r="M3" s="141" t="s">
        <v>29</v>
      </c>
      <c r="N3" s="71">
        <v>325</v>
      </c>
      <c r="O3" s="71">
        <v>148</v>
      </c>
      <c r="P3" s="142" t="s">
        <v>29</v>
      </c>
      <c r="Q3" s="142" t="s">
        <v>29</v>
      </c>
      <c r="R3" s="142" t="s">
        <v>29</v>
      </c>
      <c r="S3" s="142" t="s">
        <v>29</v>
      </c>
      <c r="T3" s="142" t="s">
        <v>29</v>
      </c>
      <c r="U3" s="71" t="s">
        <v>4</v>
      </c>
      <c r="V3" s="71" t="s">
        <v>127</v>
      </c>
      <c r="W3" s="71" t="s">
        <v>128</v>
      </c>
      <c r="X3" s="142" t="s">
        <v>29</v>
      </c>
      <c r="Y3" s="143" t="s">
        <v>29</v>
      </c>
      <c r="Z3" s="143" t="s">
        <v>29</v>
      </c>
      <c r="AA3" s="69" t="s">
        <v>112</v>
      </c>
      <c r="AB3" s="69" t="s">
        <v>205</v>
      </c>
      <c r="AC3" s="96"/>
      <c r="AD3" s="69"/>
      <c r="AE3" s="69" t="s">
        <v>216</v>
      </c>
      <c r="AF3" s="96">
        <v>50</v>
      </c>
      <c r="AG3" s="96">
        <v>4.9000000000000004</v>
      </c>
    </row>
    <row r="4" spans="1:33" ht="15.75" customHeight="1" x14ac:dyDescent="0.2">
      <c r="A4" s="71"/>
      <c r="B4" s="144">
        <v>41798</v>
      </c>
      <c r="C4" s="71"/>
      <c r="D4" s="71"/>
      <c r="E4" s="250"/>
      <c r="F4" s="71" t="s">
        <v>129</v>
      </c>
      <c r="G4" s="71" t="s">
        <v>225</v>
      </c>
      <c r="H4" s="71"/>
      <c r="I4" s="71"/>
      <c r="J4" s="71"/>
      <c r="K4" s="71"/>
      <c r="L4" s="192"/>
      <c r="M4" s="193"/>
      <c r="N4" s="71"/>
      <c r="O4" s="71"/>
      <c r="P4" s="142"/>
      <c r="Q4" s="222"/>
      <c r="R4" s="232"/>
      <c r="S4" s="142"/>
      <c r="T4" s="142"/>
      <c r="U4" s="71"/>
      <c r="V4" s="71"/>
      <c r="W4" s="71"/>
      <c r="X4" s="142"/>
      <c r="Y4" s="195"/>
      <c r="Z4" s="196"/>
      <c r="AA4" s="69"/>
      <c r="AB4" s="96"/>
      <c r="AC4" s="96"/>
      <c r="AD4" s="69" t="s">
        <v>205</v>
      </c>
      <c r="AE4" s="96"/>
      <c r="AF4" s="96"/>
      <c r="AG4" s="96"/>
    </row>
    <row r="5" spans="1:33" ht="27.75" customHeight="1" x14ac:dyDescent="0.2">
      <c r="A5" s="68" t="s">
        <v>30</v>
      </c>
      <c r="B5" s="139" t="s">
        <v>9</v>
      </c>
      <c r="C5" s="139" t="s">
        <v>10</v>
      </c>
      <c r="D5" s="139" t="s">
        <v>11</v>
      </c>
      <c r="E5" s="139" t="s">
        <v>12</v>
      </c>
      <c r="F5" s="139" t="s">
        <v>13</v>
      </c>
      <c r="G5" s="139" t="s">
        <v>14</v>
      </c>
      <c r="H5" s="139" t="s">
        <v>15</v>
      </c>
      <c r="I5" s="139" t="s">
        <v>16</v>
      </c>
      <c r="J5" s="139" t="s">
        <v>31</v>
      </c>
      <c r="K5" s="139" t="s">
        <v>32</v>
      </c>
      <c r="L5" s="338" t="s">
        <v>19</v>
      </c>
      <c r="M5" s="336"/>
      <c r="N5" s="139" t="s">
        <v>20</v>
      </c>
      <c r="O5" s="139" t="s">
        <v>21</v>
      </c>
      <c r="P5" s="139" t="s">
        <v>22</v>
      </c>
      <c r="Q5" s="338" t="s">
        <v>23</v>
      </c>
      <c r="R5" s="336"/>
      <c r="S5" s="139" t="s">
        <v>24</v>
      </c>
      <c r="T5" s="139" t="s">
        <v>25</v>
      </c>
      <c r="U5" s="139" t="s">
        <v>26</v>
      </c>
      <c r="V5" s="139" t="s">
        <v>92</v>
      </c>
      <c r="W5" s="139" t="s">
        <v>93</v>
      </c>
      <c r="X5" s="139" t="s">
        <v>27</v>
      </c>
      <c r="Y5" s="338" t="s">
        <v>28</v>
      </c>
      <c r="Z5" s="272"/>
      <c r="AA5" s="31" t="s">
        <v>89</v>
      </c>
      <c r="AB5" s="31" t="s">
        <v>91</v>
      </c>
      <c r="AC5" s="32" t="s">
        <v>90</v>
      </c>
      <c r="AD5" s="31" t="s">
        <v>95</v>
      </c>
    </row>
    <row r="6" spans="1:33" ht="15.75" customHeight="1" x14ac:dyDescent="0.2">
      <c r="A6" s="71" t="s">
        <v>29</v>
      </c>
      <c r="B6" s="71" t="s">
        <v>29</v>
      </c>
      <c r="C6" s="71" t="s">
        <v>29</v>
      </c>
      <c r="D6" s="71" t="s">
        <v>29</v>
      </c>
      <c r="E6" s="71" t="s">
        <v>235</v>
      </c>
      <c r="F6" s="71" t="s">
        <v>235</v>
      </c>
      <c r="G6" s="71" t="s">
        <v>225</v>
      </c>
      <c r="H6" s="71" t="s">
        <v>29</v>
      </c>
      <c r="I6" s="80" t="s">
        <v>29</v>
      </c>
      <c r="J6" s="80" t="s">
        <v>29</v>
      </c>
      <c r="K6" s="80" t="s">
        <v>29</v>
      </c>
      <c r="L6" s="91" t="s">
        <v>29</v>
      </c>
      <c r="M6" s="91" t="s">
        <v>29</v>
      </c>
      <c r="N6" s="80" t="s">
        <v>29</v>
      </c>
      <c r="O6" s="80" t="s">
        <v>29</v>
      </c>
      <c r="P6" s="145" t="s">
        <v>29</v>
      </c>
      <c r="Q6" s="145" t="s">
        <v>29</v>
      </c>
      <c r="R6" s="142" t="s">
        <v>29</v>
      </c>
      <c r="S6" s="142" t="s">
        <v>29</v>
      </c>
      <c r="T6" s="142" t="s">
        <v>29</v>
      </c>
      <c r="U6" s="71" t="s">
        <v>29</v>
      </c>
      <c r="V6" s="71" t="s">
        <v>29</v>
      </c>
      <c r="W6" s="71" t="s">
        <v>29</v>
      </c>
      <c r="X6" s="142" t="s">
        <v>29</v>
      </c>
      <c r="Y6" s="142" t="s">
        <v>29</v>
      </c>
      <c r="Z6" s="142" t="s">
        <v>29</v>
      </c>
      <c r="AD6" s="69" t="s">
        <v>205</v>
      </c>
    </row>
    <row r="7" spans="1:33" ht="16.5" customHeight="1" x14ac:dyDescent="0.2">
      <c r="A7" s="149" t="s">
        <v>33</v>
      </c>
      <c r="B7" s="139" t="s">
        <v>9</v>
      </c>
      <c r="C7" s="228" t="s">
        <v>34</v>
      </c>
      <c r="D7" s="228" t="s">
        <v>35</v>
      </c>
      <c r="E7" s="228" t="s">
        <v>36</v>
      </c>
      <c r="F7" s="228" t="s">
        <v>37</v>
      </c>
      <c r="G7" s="228" t="s">
        <v>38</v>
      </c>
      <c r="H7" s="190" t="s">
        <v>39</v>
      </c>
      <c r="I7" s="227" t="s">
        <v>9</v>
      </c>
      <c r="J7" s="339" t="s">
        <v>40</v>
      </c>
      <c r="K7" s="339"/>
      <c r="L7" s="339" t="s">
        <v>41</v>
      </c>
      <c r="M7" s="339"/>
      <c r="N7" s="339" t="s">
        <v>42</v>
      </c>
      <c r="O7" s="339"/>
      <c r="P7" s="339" t="s">
        <v>43</v>
      </c>
      <c r="Q7" s="339"/>
      <c r="R7" s="35"/>
      <c r="S7" s="340" t="s">
        <v>44</v>
      </c>
      <c r="T7" s="275"/>
      <c r="U7" s="275"/>
      <c r="V7" s="275"/>
      <c r="W7" s="275"/>
      <c r="X7" s="275"/>
      <c r="Y7" s="275"/>
      <c r="Z7" s="336"/>
    </row>
    <row r="8" spans="1:33" ht="15.75" customHeight="1" x14ac:dyDescent="0.2">
      <c r="A8" s="154" t="s">
        <v>45</v>
      </c>
      <c r="B8" s="142"/>
      <c r="C8" s="155">
        <v>41796</v>
      </c>
      <c r="D8" s="155">
        <v>41798</v>
      </c>
      <c r="E8" s="155">
        <v>41800</v>
      </c>
      <c r="F8" s="155"/>
      <c r="G8" s="156">
        <f>AVERAGE(C8:F8)</f>
        <v>41798</v>
      </c>
      <c r="H8" s="157" t="s">
        <v>46</v>
      </c>
      <c r="I8" s="158"/>
      <c r="J8" s="276" t="s">
        <v>29</v>
      </c>
      <c r="K8" s="267"/>
      <c r="L8" s="346" t="s">
        <v>29</v>
      </c>
      <c r="M8" s="267"/>
      <c r="N8" s="346" t="s">
        <v>29</v>
      </c>
      <c r="O8" s="267"/>
      <c r="P8" s="347" t="s">
        <v>29</v>
      </c>
      <c r="Q8" s="267"/>
      <c r="R8" s="159" t="s">
        <v>47</v>
      </c>
      <c r="S8" s="160"/>
      <c r="T8" s="224" t="s">
        <v>29</v>
      </c>
      <c r="U8" s="348" t="s">
        <v>48</v>
      </c>
      <c r="V8" s="348"/>
      <c r="W8" s="348"/>
      <c r="X8" s="349" t="s">
        <v>29</v>
      </c>
      <c r="Y8" s="350"/>
      <c r="Z8" s="351"/>
    </row>
    <row r="9" spans="1:33" ht="15.75" customHeight="1" x14ac:dyDescent="0.2">
      <c r="A9" s="161" t="s">
        <v>49</v>
      </c>
      <c r="B9" s="142" t="s">
        <v>29</v>
      </c>
      <c r="C9" s="142" t="s">
        <v>29</v>
      </c>
      <c r="D9" s="142" t="s">
        <v>29</v>
      </c>
      <c r="E9" s="142" t="s">
        <v>29</v>
      </c>
      <c r="F9" s="142" t="s">
        <v>29</v>
      </c>
      <c r="G9" s="228"/>
      <c r="H9" s="157" t="s">
        <v>50</v>
      </c>
      <c r="I9" s="163">
        <v>40756</v>
      </c>
      <c r="J9" s="341">
        <f>IF(((I9-C17)&gt;0),(I9-C17),"/")</f>
        <v>40756</v>
      </c>
      <c r="K9" s="336"/>
      <c r="L9" s="341">
        <f>IF(((I9-D17)&gt;0),(I9-D17),"/")</f>
        <v>40756</v>
      </c>
      <c r="M9" s="336"/>
      <c r="N9" s="341">
        <f>IF(((I9-E17)&gt;0),(I9-E17),"/")</f>
        <v>40756</v>
      </c>
      <c r="O9" s="336"/>
      <c r="P9" s="341">
        <f>IF(((I9-F17)&gt;0),(I9-F17),"/")</f>
        <v>40756</v>
      </c>
      <c r="Q9" s="336"/>
      <c r="R9" s="164" t="s">
        <v>51</v>
      </c>
      <c r="S9" s="165"/>
      <c r="T9" s="224" t="s">
        <v>29</v>
      </c>
      <c r="U9" s="342" t="s">
        <v>52</v>
      </c>
      <c r="V9" s="342"/>
      <c r="W9" s="342"/>
      <c r="X9" s="343" t="s">
        <v>29</v>
      </c>
      <c r="Y9" s="344"/>
      <c r="Z9" s="345"/>
    </row>
    <row r="10" spans="1:33" ht="15.75" customHeight="1" x14ac:dyDescent="0.2">
      <c r="A10" s="161" t="s">
        <v>49</v>
      </c>
      <c r="B10" s="142" t="s">
        <v>29</v>
      </c>
      <c r="C10" s="142" t="s">
        <v>29</v>
      </c>
      <c r="D10" s="142" t="s">
        <v>29</v>
      </c>
      <c r="E10" s="142" t="s">
        <v>29</v>
      </c>
      <c r="F10" s="142" t="s">
        <v>29</v>
      </c>
      <c r="G10" s="228"/>
      <c r="H10" s="157" t="s">
        <v>53</v>
      </c>
      <c r="I10" s="179"/>
      <c r="J10" s="355" t="s">
        <v>29</v>
      </c>
      <c r="K10" s="336"/>
      <c r="L10" s="356" t="s">
        <v>29</v>
      </c>
      <c r="M10" s="336"/>
      <c r="N10" s="356" t="s">
        <v>29</v>
      </c>
      <c r="O10" s="336"/>
      <c r="P10" s="357" t="s">
        <v>29</v>
      </c>
      <c r="Q10" s="336"/>
      <c r="R10" s="164" t="s">
        <v>54</v>
      </c>
      <c r="S10" s="165"/>
      <c r="T10" s="224" t="s">
        <v>29</v>
      </c>
      <c r="U10" s="342" t="s">
        <v>55</v>
      </c>
      <c r="V10" s="342"/>
      <c r="W10" s="342"/>
      <c r="X10" s="343" t="s">
        <v>29</v>
      </c>
      <c r="Y10" s="344"/>
      <c r="Z10" s="345"/>
    </row>
    <row r="11" spans="1:33" ht="15" customHeight="1" x14ac:dyDescent="0.2">
      <c r="A11" s="161" t="s">
        <v>49</v>
      </c>
      <c r="B11" s="142" t="s">
        <v>29</v>
      </c>
      <c r="C11" s="142" t="s">
        <v>29</v>
      </c>
      <c r="D11" s="142" t="s">
        <v>29</v>
      </c>
      <c r="E11" s="142" t="s">
        <v>29</v>
      </c>
      <c r="F11" s="142" t="s">
        <v>29</v>
      </c>
      <c r="G11" s="228"/>
      <c r="H11" s="157" t="s">
        <v>56</v>
      </c>
      <c r="I11" s="167"/>
      <c r="J11" s="352" t="s">
        <v>29</v>
      </c>
      <c r="K11" s="336"/>
      <c r="L11" s="353" t="s">
        <v>29</v>
      </c>
      <c r="M11" s="336"/>
      <c r="N11" s="353" t="s">
        <v>29</v>
      </c>
      <c r="O11" s="336"/>
      <c r="P11" s="354" t="s">
        <v>29</v>
      </c>
      <c r="Q11" s="336"/>
      <c r="R11" s="164" t="s">
        <v>57</v>
      </c>
      <c r="S11" s="165"/>
      <c r="T11" s="224" t="s">
        <v>29</v>
      </c>
      <c r="U11" s="342" t="s">
        <v>58</v>
      </c>
      <c r="V11" s="342"/>
      <c r="W11" s="342"/>
      <c r="X11" s="343" t="s">
        <v>29</v>
      </c>
      <c r="Y11" s="344"/>
      <c r="Z11" s="345"/>
    </row>
    <row r="12" spans="1:33" ht="15" customHeight="1" x14ac:dyDescent="0.2">
      <c r="A12" s="161" t="s">
        <v>49</v>
      </c>
      <c r="B12" s="142" t="s">
        <v>29</v>
      </c>
      <c r="C12" s="142" t="s">
        <v>29</v>
      </c>
      <c r="D12" s="142" t="s">
        <v>29</v>
      </c>
      <c r="E12" s="142" t="s">
        <v>29</v>
      </c>
      <c r="F12" s="142" t="s">
        <v>29</v>
      </c>
      <c r="G12" s="228"/>
      <c r="H12" s="157" t="s">
        <v>59</v>
      </c>
      <c r="I12" s="163">
        <v>40767</v>
      </c>
      <c r="J12" s="341">
        <f>I12-C17</f>
        <v>40767</v>
      </c>
      <c r="K12" s="336"/>
      <c r="L12" s="341">
        <f>I12-D17</f>
        <v>40767</v>
      </c>
      <c r="M12" s="336"/>
      <c r="N12" s="341">
        <f>I12-E17</f>
        <v>40767</v>
      </c>
      <c r="O12" s="336"/>
      <c r="P12" s="362">
        <f>I12-F17</f>
        <v>40767</v>
      </c>
      <c r="Q12" s="336"/>
      <c r="R12" s="164" t="s">
        <v>60</v>
      </c>
      <c r="S12" s="165"/>
      <c r="T12" s="224" t="s">
        <v>29</v>
      </c>
      <c r="U12" s="342" t="s">
        <v>61</v>
      </c>
      <c r="V12" s="342"/>
      <c r="W12" s="342"/>
      <c r="X12" s="343" t="s">
        <v>29</v>
      </c>
      <c r="Y12" s="344"/>
      <c r="Z12" s="345"/>
    </row>
    <row r="13" spans="1:33" ht="15.75" customHeight="1" x14ac:dyDescent="0.2">
      <c r="A13" s="161" t="s">
        <v>49</v>
      </c>
      <c r="B13" s="142" t="s">
        <v>29</v>
      </c>
      <c r="C13" s="142" t="s">
        <v>29</v>
      </c>
      <c r="D13" s="142" t="s">
        <v>29</v>
      </c>
      <c r="E13" s="142" t="s">
        <v>29</v>
      </c>
      <c r="F13" s="142" t="s">
        <v>29</v>
      </c>
      <c r="G13" s="228"/>
      <c r="H13" s="157" t="s">
        <v>62</v>
      </c>
      <c r="I13" s="179"/>
      <c r="J13" s="355" t="s">
        <v>29</v>
      </c>
      <c r="K13" s="336"/>
      <c r="L13" s="356" t="s">
        <v>29</v>
      </c>
      <c r="M13" s="336"/>
      <c r="N13" s="356" t="s">
        <v>29</v>
      </c>
      <c r="O13" s="336"/>
      <c r="P13" s="357" t="s">
        <v>29</v>
      </c>
      <c r="Q13" s="336"/>
      <c r="R13" s="164" t="s">
        <v>63</v>
      </c>
      <c r="S13" s="165"/>
      <c r="T13" s="168" t="s">
        <v>29</v>
      </c>
      <c r="U13" s="358" t="s">
        <v>64</v>
      </c>
      <c r="V13" s="358"/>
      <c r="W13" s="358"/>
      <c r="X13" s="359" t="s">
        <v>29</v>
      </c>
      <c r="Y13" s="360"/>
      <c r="Z13" s="361"/>
    </row>
    <row r="14" spans="1:33" ht="15.75" customHeight="1" x14ac:dyDescent="0.2">
      <c r="A14" s="161" t="s">
        <v>49</v>
      </c>
      <c r="B14" s="142" t="s">
        <v>29</v>
      </c>
      <c r="C14" s="142" t="s">
        <v>29</v>
      </c>
      <c r="D14" s="142" t="s">
        <v>29</v>
      </c>
      <c r="E14" s="142" t="s">
        <v>29</v>
      </c>
      <c r="F14" s="142" t="s">
        <v>29</v>
      </c>
      <c r="G14" s="228"/>
      <c r="H14" s="157" t="s">
        <v>65</v>
      </c>
      <c r="I14" s="167"/>
      <c r="J14" s="352" t="s">
        <v>29</v>
      </c>
      <c r="K14" s="336"/>
      <c r="L14" s="353" t="s">
        <v>29</v>
      </c>
      <c r="M14" s="336"/>
      <c r="N14" s="353" t="s">
        <v>29</v>
      </c>
      <c r="O14" s="336"/>
      <c r="P14" s="354" t="s">
        <v>29</v>
      </c>
      <c r="Q14" s="272"/>
      <c r="R14" s="329" t="s">
        <v>66</v>
      </c>
      <c r="S14" s="329"/>
      <c r="T14" s="329"/>
      <c r="U14" s="329"/>
      <c r="V14" s="329"/>
      <c r="W14" s="329"/>
      <c r="X14" s="329"/>
      <c r="Y14" s="329"/>
      <c r="Z14" s="329"/>
    </row>
    <row r="15" spans="1:33" ht="15.75" customHeight="1" x14ac:dyDescent="0.2">
      <c r="A15" s="161" t="s">
        <v>49</v>
      </c>
      <c r="B15" s="142" t="s">
        <v>29</v>
      </c>
      <c r="C15" s="142" t="s">
        <v>29</v>
      </c>
      <c r="D15" s="142" t="s">
        <v>29</v>
      </c>
      <c r="E15" s="142" t="s">
        <v>29</v>
      </c>
      <c r="F15" s="142" t="s">
        <v>29</v>
      </c>
      <c r="G15" s="228"/>
      <c r="H15" s="157" t="s">
        <v>67</v>
      </c>
      <c r="I15" s="167"/>
      <c r="J15" s="352" t="s">
        <v>29</v>
      </c>
      <c r="K15" s="336"/>
      <c r="L15" s="353" t="s">
        <v>29</v>
      </c>
      <c r="M15" s="336"/>
      <c r="N15" s="353" t="s">
        <v>29</v>
      </c>
      <c r="O15" s="336"/>
      <c r="P15" s="354" t="s">
        <v>29</v>
      </c>
      <c r="Q15" s="272"/>
      <c r="R15" s="329"/>
      <c r="S15" s="329"/>
      <c r="T15" s="329"/>
      <c r="U15" s="329"/>
      <c r="V15" s="329"/>
      <c r="W15" s="329"/>
      <c r="X15" s="329"/>
      <c r="Y15" s="329"/>
      <c r="Z15" s="329"/>
    </row>
    <row r="16" spans="1:33" ht="15.75" customHeight="1" x14ac:dyDescent="0.2">
      <c r="A16" s="161" t="s">
        <v>49</v>
      </c>
      <c r="B16" s="142" t="s">
        <v>29</v>
      </c>
      <c r="C16" s="142" t="s">
        <v>29</v>
      </c>
      <c r="D16" s="142" t="s">
        <v>29</v>
      </c>
      <c r="E16" s="142" t="s">
        <v>29</v>
      </c>
      <c r="F16" s="142" t="s">
        <v>29</v>
      </c>
      <c r="G16" s="228"/>
      <c r="H16" s="157" t="s">
        <v>68</v>
      </c>
      <c r="I16" s="167"/>
      <c r="J16" s="352" t="s">
        <v>29</v>
      </c>
      <c r="K16" s="336"/>
      <c r="L16" s="353" t="s">
        <v>29</v>
      </c>
      <c r="M16" s="336"/>
      <c r="N16" s="353" t="s">
        <v>29</v>
      </c>
      <c r="O16" s="336"/>
      <c r="P16" s="363" t="s">
        <v>29</v>
      </c>
      <c r="Q16" s="293"/>
      <c r="R16" s="305" t="s">
        <v>349</v>
      </c>
      <c r="S16" s="305"/>
      <c r="T16" s="305"/>
      <c r="U16" s="305"/>
      <c r="V16" s="305"/>
      <c r="W16" s="305"/>
      <c r="X16" s="305"/>
      <c r="Y16" s="305"/>
      <c r="Z16" s="306"/>
    </row>
    <row r="17" spans="1:26" ht="15.75" customHeight="1" x14ac:dyDescent="0.2">
      <c r="A17" s="171" t="s">
        <v>69</v>
      </c>
      <c r="B17" s="142"/>
      <c r="C17" s="155"/>
      <c r="D17" s="155"/>
      <c r="E17" s="155"/>
      <c r="F17" s="155"/>
      <c r="G17" s="156" t="e">
        <f>AVERAGE(C17:F17)</f>
        <v>#DIV/0!</v>
      </c>
      <c r="H17" s="157" t="s">
        <v>70</v>
      </c>
      <c r="I17" s="163">
        <v>40770</v>
      </c>
      <c r="J17" s="364">
        <f>I17-C17</f>
        <v>40770</v>
      </c>
      <c r="K17" s="336"/>
      <c r="L17" s="364">
        <f>I17-D17</f>
        <v>40770</v>
      </c>
      <c r="M17" s="336"/>
      <c r="N17" s="364">
        <f>I17-E17</f>
        <v>40770</v>
      </c>
      <c r="O17" s="272"/>
      <c r="P17" s="365">
        <f>I17-F17</f>
        <v>40770</v>
      </c>
      <c r="Q17" s="261"/>
      <c r="R17" s="307"/>
      <c r="S17" s="307"/>
      <c r="T17" s="307"/>
      <c r="U17" s="307"/>
      <c r="V17" s="307"/>
      <c r="W17" s="307"/>
      <c r="X17" s="307"/>
      <c r="Y17" s="307"/>
      <c r="Z17" s="308"/>
    </row>
    <row r="18" spans="1:26" ht="15.75" customHeight="1" x14ac:dyDescent="0.2">
      <c r="A18" s="338" t="s">
        <v>71</v>
      </c>
      <c r="B18" s="368"/>
      <c r="C18" s="172">
        <f>C17-C8</f>
        <v>-41796</v>
      </c>
      <c r="D18" s="172">
        <f>D17-D8</f>
        <v>-41798</v>
      </c>
      <c r="E18" s="172">
        <f>E17-E8</f>
        <v>-41800</v>
      </c>
      <c r="F18" s="172">
        <f>F17-F8</f>
        <v>0</v>
      </c>
      <c r="G18" s="173">
        <f>AVERAGE(C18:E18)</f>
        <v>-41798</v>
      </c>
      <c r="H18" s="157" t="s">
        <v>72</v>
      </c>
      <c r="I18" s="179"/>
      <c r="J18" s="357" t="s">
        <v>29</v>
      </c>
      <c r="K18" s="336"/>
      <c r="L18" s="356" t="s">
        <v>29</v>
      </c>
      <c r="M18" s="336"/>
      <c r="N18" s="366" t="s">
        <v>29</v>
      </c>
      <c r="O18" s="272"/>
      <c r="P18" s="367" t="s">
        <v>29</v>
      </c>
      <c r="Q18" s="261"/>
      <c r="R18" s="307"/>
      <c r="S18" s="307"/>
      <c r="T18" s="307"/>
      <c r="U18" s="307"/>
      <c r="V18" s="307"/>
      <c r="W18" s="307"/>
      <c r="X18" s="307"/>
      <c r="Y18" s="307"/>
      <c r="Z18" s="308"/>
    </row>
    <row r="19" spans="1:26" ht="15.75" customHeight="1" x14ac:dyDescent="0.2">
      <c r="A19" s="340" t="s">
        <v>73</v>
      </c>
      <c r="B19" s="340"/>
      <c r="C19" s="339" t="s">
        <v>40</v>
      </c>
      <c r="D19" s="339" t="s">
        <v>41</v>
      </c>
      <c r="E19" s="339" t="s">
        <v>42</v>
      </c>
      <c r="F19" s="339" t="s">
        <v>43</v>
      </c>
      <c r="G19" s="339" t="s">
        <v>38</v>
      </c>
      <c r="H19" s="167" t="s">
        <v>78</v>
      </c>
      <c r="I19" s="167"/>
      <c r="J19" s="354" t="s">
        <v>29</v>
      </c>
      <c r="K19" s="336"/>
      <c r="L19" s="353" t="s">
        <v>29</v>
      </c>
      <c r="M19" s="336"/>
      <c r="N19" s="370" t="s">
        <v>29</v>
      </c>
      <c r="O19" s="272"/>
      <c r="P19" s="371" t="s">
        <v>29</v>
      </c>
      <c r="Q19" s="261"/>
      <c r="R19" s="307"/>
      <c r="S19" s="307"/>
      <c r="T19" s="307"/>
      <c r="U19" s="307"/>
      <c r="V19" s="307"/>
      <c r="W19" s="307"/>
      <c r="X19" s="307"/>
      <c r="Y19" s="307"/>
      <c r="Z19" s="308"/>
    </row>
    <row r="20" spans="1:26" ht="15" customHeight="1" x14ac:dyDescent="0.2">
      <c r="A20" s="369"/>
      <c r="B20" s="369"/>
      <c r="C20" s="261"/>
      <c r="D20" s="261"/>
      <c r="E20" s="261"/>
      <c r="F20" s="261"/>
      <c r="G20" s="261"/>
      <c r="H20" s="167" t="s">
        <v>67</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79</v>
      </c>
      <c r="B21" s="373"/>
      <c r="C21" s="122" t="s">
        <v>29</v>
      </c>
      <c r="D21" s="122" t="s">
        <v>29</v>
      </c>
      <c r="E21" s="122" t="s">
        <v>29</v>
      </c>
      <c r="F21" s="122" t="s">
        <v>29</v>
      </c>
      <c r="G21" s="122" t="s">
        <v>29</v>
      </c>
      <c r="H21" s="157" t="s">
        <v>68</v>
      </c>
      <c r="I21" s="167"/>
      <c r="J21" s="354" t="s">
        <v>29</v>
      </c>
      <c r="K21" s="336"/>
      <c r="L21" s="353" t="s">
        <v>29</v>
      </c>
      <c r="M21" s="336"/>
      <c r="N21" s="370" t="s">
        <v>29</v>
      </c>
      <c r="O21" s="272"/>
      <c r="P21" s="371" t="s">
        <v>29</v>
      </c>
      <c r="Q21" s="261"/>
      <c r="R21" s="307"/>
      <c r="S21" s="307"/>
      <c r="T21" s="307"/>
      <c r="U21" s="307"/>
      <c r="V21" s="307"/>
      <c r="W21" s="307"/>
      <c r="X21" s="307"/>
      <c r="Y21" s="307"/>
      <c r="Z21" s="308"/>
    </row>
    <row r="22" spans="1:26" ht="15.75" customHeight="1" x14ac:dyDescent="0.2">
      <c r="A22" s="372" t="s">
        <v>46</v>
      </c>
      <c r="B22" s="373"/>
      <c r="C22" s="71" t="s">
        <v>29</v>
      </c>
      <c r="D22" s="71" t="s">
        <v>29</v>
      </c>
      <c r="E22" s="71" t="s">
        <v>29</v>
      </c>
      <c r="F22" s="71" t="s">
        <v>29</v>
      </c>
      <c r="G22" s="71" t="s">
        <v>29</v>
      </c>
      <c r="H22" s="176" t="s">
        <v>80</v>
      </c>
      <c r="I22" s="163">
        <v>40775</v>
      </c>
      <c r="J22" s="364">
        <f>I22-C17</f>
        <v>40775</v>
      </c>
      <c r="K22" s="336"/>
      <c r="L22" s="364">
        <f>I22-D17</f>
        <v>40775</v>
      </c>
      <c r="M22" s="336"/>
      <c r="N22" s="364">
        <f>I22-E17</f>
        <v>40775</v>
      </c>
      <c r="O22" s="272"/>
      <c r="P22" s="365">
        <f>I22-F17</f>
        <v>40775</v>
      </c>
      <c r="Q22" s="261"/>
      <c r="R22" s="307"/>
      <c r="S22" s="307"/>
      <c r="T22" s="307"/>
      <c r="U22" s="307"/>
      <c r="V22" s="307"/>
      <c r="W22" s="307"/>
      <c r="X22" s="307"/>
      <c r="Y22" s="307"/>
      <c r="Z22" s="308"/>
    </row>
    <row r="23" spans="1:26" ht="15.75" customHeight="1" x14ac:dyDescent="0.2">
      <c r="A23" s="372" t="s">
        <v>81</v>
      </c>
      <c r="B23" s="373"/>
      <c r="C23" s="71" t="s">
        <v>29</v>
      </c>
      <c r="D23" s="71" t="s">
        <v>29</v>
      </c>
      <c r="E23" s="71" t="s">
        <v>29</v>
      </c>
      <c r="F23" s="71" t="s">
        <v>29</v>
      </c>
      <c r="G23" s="224" t="s">
        <v>29</v>
      </c>
      <c r="H23" s="178" t="s">
        <v>82</v>
      </c>
      <c r="I23" s="179"/>
      <c r="J23" s="357" t="s">
        <v>29</v>
      </c>
      <c r="K23" s="336"/>
      <c r="L23" s="356" t="s">
        <v>29</v>
      </c>
      <c r="M23" s="336"/>
      <c r="N23" s="366" t="s">
        <v>29</v>
      </c>
      <c r="O23" s="272"/>
      <c r="P23" s="367" t="s">
        <v>29</v>
      </c>
      <c r="Q23" s="261"/>
      <c r="R23" s="307"/>
      <c r="S23" s="307"/>
      <c r="T23" s="307"/>
      <c r="U23" s="307"/>
      <c r="V23" s="307"/>
      <c r="W23" s="307"/>
      <c r="X23" s="307"/>
      <c r="Y23" s="307"/>
      <c r="Z23" s="308"/>
    </row>
    <row r="24" spans="1:26" ht="15.75" customHeight="1" x14ac:dyDescent="0.2">
      <c r="A24" s="372" t="s">
        <v>12</v>
      </c>
      <c r="B24" s="373"/>
      <c r="C24" s="71" t="s">
        <v>29</v>
      </c>
      <c r="D24" s="71" t="s">
        <v>29</v>
      </c>
      <c r="E24" s="71" t="s">
        <v>29</v>
      </c>
      <c r="F24" s="71" t="s">
        <v>29</v>
      </c>
      <c r="G24" s="224" t="s">
        <v>29</v>
      </c>
      <c r="H24" s="178" t="s">
        <v>83</v>
      </c>
      <c r="I24" s="179"/>
      <c r="J24" s="357" t="s">
        <v>29</v>
      </c>
      <c r="K24" s="336"/>
      <c r="L24" s="356" t="s">
        <v>29</v>
      </c>
      <c r="M24" s="336"/>
      <c r="N24" s="366" t="s">
        <v>29</v>
      </c>
      <c r="O24" s="272"/>
      <c r="P24" s="367" t="s">
        <v>29</v>
      </c>
      <c r="Q24" s="261"/>
      <c r="R24" s="307"/>
      <c r="S24" s="307"/>
      <c r="T24" s="307"/>
      <c r="U24" s="307"/>
      <c r="V24" s="307"/>
      <c r="W24" s="307"/>
      <c r="X24" s="307"/>
      <c r="Y24" s="307"/>
      <c r="Z24" s="308"/>
    </row>
    <row r="25" spans="1:26" ht="15.75" customHeight="1" x14ac:dyDescent="0.2">
      <c r="A25" s="372" t="s">
        <v>84</v>
      </c>
      <c r="B25" s="373"/>
      <c r="C25" s="71" t="s">
        <v>29</v>
      </c>
      <c r="D25" s="71" t="s">
        <v>29</v>
      </c>
      <c r="E25" s="71" t="s">
        <v>29</v>
      </c>
      <c r="F25" s="71" t="s">
        <v>29</v>
      </c>
      <c r="G25" s="224" t="s">
        <v>29</v>
      </c>
      <c r="H25" s="178" t="s">
        <v>67</v>
      </c>
      <c r="I25" s="167"/>
      <c r="J25" s="354" t="s">
        <v>29</v>
      </c>
      <c r="K25" s="336"/>
      <c r="L25" s="372" t="s">
        <v>29</v>
      </c>
      <c r="M25" s="336"/>
      <c r="N25" s="380" t="s">
        <v>29</v>
      </c>
      <c r="O25" s="272"/>
      <c r="P25" s="371" t="s">
        <v>29</v>
      </c>
      <c r="Q25" s="261"/>
      <c r="R25" s="307"/>
      <c r="S25" s="307"/>
      <c r="T25" s="307"/>
      <c r="U25" s="307"/>
      <c r="V25" s="307"/>
      <c r="W25" s="307"/>
      <c r="X25" s="307"/>
      <c r="Y25" s="307"/>
      <c r="Z25" s="308"/>
    </row>
    <row r="26" spans="1:26" ht="15.75" customHeight="1" x14ac:dyDescent="0.2">
      <c r="A26" s="372" t="s">
        <v>11</v>
      </c>
      <c r="B26" s="373"/>
      <c r="C26" s="71" t="s">
        <v>29</v>
      </c>
      <c r="D26" s="71" t="s">
        <v>29</v>
      </c>
      <c r="E26" s="71" t="s">
        <v>29</v>
      </c>
      <c r="F26" s="71" t="s">
        <v>29</v>
      </c>
      <c r="G26" s="224" t="s">
        <v>29</v>
      </c>
      <c r="H26" s="178" t="s">
        <v>68</v>
      </c>
      <c r="I26" s="167"/>
      <c r="J26" s="354" t="s">
        <v>29</v>
      </c>
      <c r="K26" s="336"/>
      <c r="L26" s="372" t="s">
        <v>29</v>
      </c>
      <c r="M26" s="336"/>
      <c r="N26" s="380" t="s">
        <v>29</v>
      </c>
      <c r="O26" s="272"/>
      <c r="P26" s="371" t="s">
        <v>29</v>
      </c>
      <c r="Q26" s="261"/>
      <c r="R26" s="307"/>
      <c r="S26" s="307"/>
      <c r="T26" s="307"/>
      <c r="U26" s="307"/>
      <c r="V26" s="307"/>
      <c r="W26" s="307"/>
      <c r="X26" s="307"/>
      <c r="Y26" s="307"/>
      <c r="Z26" s="308"/>
    </row>
    <row r="27" spans="1:26" ht="15.75" customHeight="1" x14ac:dyDescent="0.2">
      <c r="A27" s="374" t="s">
        <v>85</v>
      </c>
      <c r="B27" s="375"/>
      <c r="C27" s="71" t="s">
        <v>29</v>
      </c>
      <c r="D27" s="71" t="s">
        <v>29</v>
      </c>
      <c r="E27" s="71" t="s">
        <v>29</v>
      </c>
      <c r="F27" s="71" t="s">
        <v>29</v>
      </c>
      <c r="G27" s="224" t="s">
        <v>29</v>
      </c>
      <c r="H27" s="178" t="s">
        <v>86</v>
      </c>
      <c r="I27" s="179"/>
      <c r="J27" s="357" t="s">
        <v>29</v>
      </c>
      <c r="K27" s="336"/>
      <c r="L27" s="376" t="s">
        <v>29</v>
      </c>
      <c r="M27" s="336"/>
      <c r="N27" s="377" t="s">
        <v>29</v>
      </c>
      <c r="O27" s="272"/>
      <c r="P27" s="367" t="s">
        <v>29</v>
      </c>
      <c r="Q27" s="261"/>
      <c r="R27" s="307"/>
      <c r="S27" s="307"/>
      <c r="T27" s="307"/>
      <c r="U27" s="307"/>
      <c r="V27" s="307"/>
      <c r="W27" s="307"/>
      <c r="X27" s="307"/>
      <c r="Y27" s="307"/>
      <c r="Z27" s="308"/>
    </row>
    <row r="28" spans="1:26" ht="15.75" customHeight="1" x14ac:dyDescent="0.2">
      <c r="A28" s="378" t="s">
        <v>87</v>
      </c>
      <c r="B28" s="379"/>
      <c r="C28" s="71" t="s">
        <v>29</v>
      </c>
      <c r="D28" s="71" t="s">
        <v>29</v>
      </c>
      <c r="E28" s="71" t="s">
        <v>29</v>
      </c>
      <c r="F28" s="71" t="s">
        <v>29</v>
      </c>
      <c r="G28" s="224" t="s">
        <v>29</v>
      </c>
      <c r="H28" s="178" t="s">
        <v>88</v>
      </c>
      <c r="I28" s="179"/>
      <c r="J28" s="357" t="s">
        <v>29</v>
      </c>
      <c r="K28" s="336"/>
      <c r="L28" s="356" t="s">
        <v>29</v>
      </c>
      <c r="M28" s="336"/>
      <c r="N28" s="366" t="s">
        <v>29</v>
      </c>
      <c r="O28" s="272"/>
      <c r="P28" s="367" t="s">
        <v>29</v>
      </c>
      <c r="Q28" s="261"/>
      <c r="R28" s="307"/>
      <c r="S28" s="307"/>
      <c r="T28" s="307"/>
      <c r="U28" s="307"/>
      <c r="V28" s="307"/>
      <c r="W28" s="307"/>
      <c r="X28" s="307"/>
      <c r="Y28" s="307"/>
      <c r="Z28" s="308"/>
    </row>
    <row r="29" spans="1:26" ht="15.75" customHeight="1" x14ac:dyDescent="0.2">
      <c r="A29" s="218"/>
      <c r="B29" s="7"/>
      <c r="C29" s="4"/>
      <c r="D29" s="4"/>
      <c r="E29" s="4"/>
      <c r="F29" s="4"/>
      <c r="G29" s="4"/>
      <c r="H29" s="46"/>
      <c r="I29" s="4"/>
      <c r="J29" s="4"/>
      <c r="K29" s="4"/>
      <c r="L29" s="4"/>
      <c r="M29" s="4"/>
      <c r="N29" s="4"/>
      <c r="O29" s="4"/>
      <c r="P29" s="46"/>
      <c r="Q29" s="46"/>
      <c r="R29" s="53"/>
      <c r="S29" s="30"/>
      <c r="T29" s="4"/>
      <c r="U29" s="4"/>
      <c r="V29" s="4"/>
      <c r="W29" s="26"/>
      <c r="X29" s="4"/>
      <c r="Y29" s="4"/>
      <c r="Z29" s="4"/>
    </row>
  </sheetData>
  <mergeCells count="128">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8:B28"/>
    <mergeCell ref="J28:K28"/>
    <mergeCell ref="L28:M28"/>
    <mergeCell ref="N28:O28"/>
    <mergeCell ref="P28:Q28"/>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23:B23"/>
    <mergeCell ref="J23:K23"/>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Z28"/>
    <mergeCell ref="J17:K17"/>
    <mergeCell ref="L17:M17"/>
    <mergeCell ref="N17:O17"/>
    <mergeCell ref="P17:Q17"/>
    <mergeCell ref="L23:M23"/>
    <mergeCell ref="N23:O23"/>
    <mergeCell ref="P23:Q23"/>
    <mergeCell ref="J14:K14"/>
    <mergeCell ref="L14:M14"/>
    <mergeCell ref="N14:O14"/>
    <mergeCell ref="P14:Q14"/>
    <mergeCell ref="R14:Z15"/>
    <mergeCell ref="J15:K15"/>
    <mergeCell ref="L15:M15"/>
    <mergeCell ref="N15:O15"/>
    <mergeCell ref="P15:Q15"/>
    <mergeCell ref="J13:K13"/>
    <mergeCell ref="L13:M13"/>
    <mergeCell ref="N13:O13"/>
    <mergeCell ref="P13:Q13"/>
    <mergeCell ref="U13:W13"/>
    <mergeCell ref="X13:Z13"/>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7:K7"/>
    <mergeCell ref="L7:M7"/>
    <mergeCell ref="N7:O7"/>
    <mergeCell ref="P7:Q7"/>
    <mergeCell ref="S7:Z7"/>
    <mergeCell ref="J9:K9"/>
    <mergeCell ref="L9:M9"/>
    <mergeCell ref="N9:O9"/>
    <mergeCell ref="P9:Q9"/>
    <mergeCell ref="U9:W9"/>
    <mergeCell ref="X9:Z9"/>
    <mergeCell ref="J8:K8"/>
    <mergeCell ref="L8:M8"/>
    <mergeCell ref="N8:O8"/>
    <mergeCell ref="P8:Q8"/>
    <mergeCell ref="U8:W8"/>
    <mergeCell ref="X8:Z8"/>
    <mergeCell ref="I1:J1"/>
    <mergeCell ref="K1:O1"/>
    <mergeCell ref="P1:Q1"/>
    <mergeCell ref="R1:S1"/>
    <mergeCell ref="L2:M2"/>
    <mergeCell ref="Q2:R2"/>
    <mergeCell ref="Y2:Z2"/>
    <mergeCell ref="L5:M5"/>
    <mergeCell ref="Q5:R5"/>
    <mergeCell ref="Y5:Z5"/>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J29" sqref="J29:M60"/>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6</v>
      </c>
      <c r="G1" s="226" t="s">
        <v>3</v>
      </c>
      <c r="H1" s="216" t="s">
        <v>4</v>
      </c>
      <c r="I1" s="381" t="s">
        <v>5</v>
      </c>
      <c r="J1" s="332"/>
      <c r="K1" s="330"/>
      <c r="L1" s="331"/>
      <c r="M1" s="331"/>
      <c r="N1" s="331"/>
      <c r="O1" s="332"/>
      <c r="P1" s="384" t="s">
        <v>6</v>
      </c>
      <c r="Q1" s="332"/>
      <c r="R1" s="385"/>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86" t="s">
        <v>19</v>
      </c>
      <c r="M2" s="387"/>
      <c r="N2" s="138" t="s">
        <v>20</v>
      </c>
      <c r="O2" s="138" t="s">
        <v>21</v>
      </c>
      <c r="P2" s="138" t="s">
        <v>22</v>
      </c>
      <c r="Q2" s="335" t="s">
        <v>23</v>
      </c>
      <c r="R2" s="267"/>
      <c r="S2" s="139" t="s">
        <v>24</v>
      </c>
      <c r="T2" s="139" t="s">
        <v>25</v>
      </c>
      <c r="U2" s="140" t="s">
        <v>99</v>
      </c>
      <c r="V2" s="139" t="s">
        <v>92</v>
      </c>
      <c r="W2" s="139" t="s">
        <v>93</v>
      </c>
      <c r="X2" s="139" t="s">
        <v>27</v>
      </c>
      <c r="Y2" s="388"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389"/>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90" t="s">
        <v>40</v>
      </c>
      <c r="K6" s="391"/>
      <c r="L6" s="390" t="s">
        <v>41</v>
      </c>
      <c r="M6" s="391"/>
      <c r="N6" s="390" t="s">
        <v>42</v>
      </c>
      <c r="O6" s="391"/>
      <c r="P6" s="390" t="s">
        <v>43</v>
      </c>
      <c r="Q6" s="391"/>
      <c r="R6" s="35"/>
      <c r="S6" s="340" t="s">
        <v>44</v>
      </c>
      <c r="T6" s="275"/>
      <c r="U6" s="275"/>
      <c r="V6" s="275"/>
      <c r="W6" s="275"/>
      <c r="X6" s="275"/>
      <c r="Y6" s="275"/>
      <c r="Z6" s="293"/>
    </row>
    <row r="7" spans="1:30" ht="15.75" customHeight="1" x14ac:dyDescent="0.2">
      <c r="A7" s="154" t="s">
        <v>45</v>
      </c>
      <c r="B7" s="142"/>
      <c r="C7" s="155"/>
      <c r="D7" s="155"/>
      <c r="E7" s="155"/>
      <c r="F7" s="155"/>
      <c r="G7" s="156" t="e">
        <f>AVERAGE(C7:F7)</f>
        <v>#DIV/0!</v>
      </c>
      <c r="H7" s="157" t="s">
        <v>46</v>
      </c>
      <c r="I7" s="158"/>
      <c r="J7" s="395" t="s">
        <v>29</v>
      </c>
      <c r="K7" s="387"/>
      <c r="L7" s="396" t="s">
        <v>29</v>
      </c>
      <c r="M7" s="387"/>
      <c r="N7" s="396" t="s">
        <v>29</v>
      </c>
      <c r="O7" s="387"/>
      <c r="P7" s="397" t="s">
        <v>29</v>
      </c>
      <c r="Q7" s="387"/>
      <c r="R7" s="159" t="s">
        <v>47</v>
      </c>
      <c r="S7" s="160"/>
      <c r="T7" s="224" t="s">
        <v>29</v>
      </c>
      <c r="U7" s="398" t="s">
        <v>48</v>
      </c>
      <c r="V7" s="399"/>
      <c r="W7" s="400"/>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92" t="s">
        <v>52</v>
      </c>
      <c r="V8" s="393"/>
      <c r="W8" s="394"/>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76" t="s">
        <v>29</v>
      </c>
      <c r="M9" s="336"/>
      <c r="N9" s="376" t="s">
        <v>29</v>
      </c>
      <c r="O9" s="336"/>
      <c r="P9" s="357" t="s">
        <v>29</v>
      </c>
      <c r="Q9" s="336"/>
      <c r="R9" s="164" t="s">
        <v>54</v>
      </c>
      <c r="S9" s="165"/>
      <c r="T9" s="224" t="s">
        <v>29</v>
      </c>
      <c r="U9" s="392" t="s">
        <v>55</v>
      </c>
      <c r="V9" s="393"/>
      <c r="W9" s="394"/>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72" t="s">
        <v>29</v>
      </c>
      <c r="M10" s="336"/>
      <c r="N10" s="372" t="s">
        <v>29</v>
      </c>
      <c r="O10" s="336"/>
      <c r="P10" s="354" t="s">
        <v>29</v>
      </c>
      <c r="Q10" s="336"/>
      <c r="R10" s="164" t="s">
        <v>57</v>
      </c>
      <c r="S10" s="165"/>
      <c r="T10" s="224" t="s">
        <v>29</v>
      </c>
      <c r="U10" s="392" t="s">
        <v>58</v>
      </c>
      <c r="V10" s="393"/>
      <c r="W10" s="394"/>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92" t="s">
        <v>61</v>
      </c>
      <c r="V11" s="393"/>
      <c r="W11" s="394"/>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76" t="s">
        <v>29</v>
      </c>
      <c r="M12" s="336"/>
      <c r="N12" s="376" t="s">
        <v>29</v>
      </c>
      <c r="O12" s="336"/>
      <c r="P12" s="357" t="s">
        <v>29</v>
      </c>
      <c r="Q12" s="336"/>
      <c r="R12" s="164" t="s">
        <v>63</v>
      </c>
      <c r="S12" s="165"/>
      <c r="T12" s="168" t="s">
        <v>29</v>
      </c>
      <c r="U12" s="398" t="s">
        <v>64</v>
      </c>
      <c r="V12" s="399"/>
      <c r="W12" s="400"/>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72" t="s">
        <v>29</v>
      </c>
      <c r="M13" s="336"/>
      <c r="N13" s="372" t="s">
        <v>29</v>
      </c>
      <c r="O13" s="336"/>
      <c r="P13" s="354" t="s">
        <v>29</v>
      </c>
      <c r="Q13" s="389"/>
      <c r="R13" s="401" t="s">
        <v>66</v>
      </c>
      <c r="S13" s="402"/>
      <c r="T13" s="402"/>
      <c r="U13" s="402"/>
      <c r="V13" s="402"/>
      <c r="W13" s="402"/>
      <c r="X13" s="402"/>
      <c r="Y13" s="402"/>
      <c r="Z13" s="403"/>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72" t="s">
        <v>29</v>
      </c>
      <c r="M14" s="336"/>
      <c r="N14" s="372" t="s">
        <v>29</v>
      </c>
      <c r="O14" s="336"/>
      <c r="P14" s="354" t="s">
        <v>29</v>
      </c>
      <c r="Q14" s="389"/>
      <c r="R14" s="404"/>
      <c r="S14" s="405"/>
      <c r="T14" s="405"/>
      <c r="U14" s="405"/>
      <c r="V14" s="405"/>
      <c r="W14" s="405"/>
      <c r="X14" s="405"/>
      <c r="Y14" s="405"/>
      <c r="Z14" s="406"/>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72" t="s">
        <v>29</v>
      </c>
      <c r="M15" s="336"/>
      <c r="N15" s="372" t="s">
        <v>29</v>
      </c>
      <c r="O15" s="336"/>
      <c r="P15" s="407" t="s">
        <v>29</v>
      </c>
      <c r="Q15" s="408"/>
      <c r="R15" s="409" t="s">
        <v>234</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389"/>
      <c r="P16" s="413">
        <f>I16-F16</f>
        <v>40770</v>
      </c>
      <c r="Q16" s="332"/>
      <c r="R16" s="411"/>
      <c r="S16" s="411"/>
      <c r="T16" s="411"/>
      <c r="U16" s="411"/>
      <c r="V16" s="411"/>
      <c r="W16" s="411"/>
      <c r="X16" s="411"/>
      <c r="Y16" s="411"/>
      <c r="Z16" s="412"/>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76" t="s">
        <v>29</v>
      </c>
      <c r="M17" s="336"/>
      <c r="N17" s="377" t="s">
        <v>29</v>
      </c>
      <c r="O17" s="389"/>
      <c r="P17" s="414" t="s">
        <v>29</v>
      </c>
      <c r="Q17" s="332"/>
      <c r="R17" s="411"/>
      <c r="S17" s="411"/>
      <c r="T17" s="411"/>
      <c r="U17" s="411"/>
      <c r="V17" s="411"/>
      <c r="W17" s="411"/>
      <c r="X17" s="411"/>
      <c r="Y17" s="411"/>
      <c r="Z17" s="412"/>
    </row>
    <row r="18" spans="1:29" ht="15.75" customHeight="1" x14ac:dyDescent="0.2">
      <c r="A18" s="340" t="s">
        <v>73</v>
      </c>
      <c r="B18" s="415"/>
      <c r="C18" s="417" t="s">
        <v>40</v>
      </c>
      <c r="D18" s="417" t="s">
        <v>41</v>
      </c>
      <c r="E18" s="417" t="s">
        <v>42</v>
      </c>
      <c r="F18" s="417" t="s">
        <v>43</v>
      </c>
      <c r="G18" s="417" t="s">
        <v>38</v>
      </c>
      <c r="H18" s="167" t="s">
        <v>78</v>
      </c>
      <c r="I18" s="167"/>
      <c r="J18" s="354" t="s">
        <v>29</v>
      </c>
      <c r="K18" s="336"/>
      <c r="L18" s="372" t="s">
        <v>29</v>
      </c>
      <c r="M18" s="336"/>
      <c r="N18" s="380" t="s">
        <v>29</v>
      </c>
      <c r="O18" s="389"/>
      <c r="P18" s="419" t="s">
        <v>29</v>
      </c>
      <c r="Q18" s="332"/>
      <c r="R18" s="411"/>
      <c r="S18" s="411"/>
      <c r="T18" s="411"/>
      <c r="U18" s="411"/>
      <c r="V18" s="411"/>
      <c r="W18" s="411"/>
      <c r="X18" s="411"/>
      <c r="Y18" s="411"/>
      <c r="Z18" s="412"/>
    </row>
    <row r="19" spans="1:29" ht="15" customHeight="1" x14ac:dyDescent="0.2">
      <c r="A19" s="369"/>
      <c r="B19" s="416"/>
      <c r="C19" s="418"/>
      <c r="D19" s="418"/>
      <c r="E19" s="418"/>
      <c r="F19" s="418"/>
      <c r="G19" s="418"/>
      <c r="H19" s="167" t="s">
        <v>67</v>
      </c>
      <c r="I19" s="167"/>
      <c r="J19" s="354" t="s">
        <v>29</v>
      </c>
      <c r="K19" s="336"/>
      <c r="L19" s="372" t="s">
        <v>29</v>
      </c>
      <c r="M19" s="336"/>
      <c r="N19" s="380" t="s">
        <v>29</v>
      </c>
      <c r="O19" s="389"/>
      <c r="P19" s="419" t="s">
        <v>29</v>
      </c>
      <c r="Q19" s="332"/>
      <c r="R19" s="411"/>
      <c r="S19" s="411"/>
      <c r="T19" s="411"/>
      <c r="U19" s="411"/>
      <c r="V19" s="411"/>
      <c r="W19" s="411"/>
      <c r="X19" s="411"/>
      <c r="Y19" s="411"/>
      <c r="Z19" s="412"/>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72" t="s">
        <v>29</v>
      </c>
      <c r="M20" s="336"/>
      <c r="N20" s="380" t="s">
        <v>29</v>
      </c>
      <c r="O20" s="389"/>
      <c r="P20" s="419" t="s">
        <v>29</v>
      </c>
      <c r="Q20" s="332"/>
      <c r="R20" s="411"/>
      <c r="S20" s="411"/>
      <c r="T20" s="411"/>
      <c r="U20" s="411"/>
      <c r="V20" s="411"/>
      <c r="W20" s="411"/>
      <c r="X20" s="411"/>
      <c r="Y20" s="411"/>
      <c r="Z20" s="412"/>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389"/>
      <c r="P21" s="413">
        <f>I21-F16</f>
        <v>40775</v>
      </c>
      <c r="Q21" s="332"/>
      <c r="R21" s="411"/>
      <c r="S21" s="411"/>
      <c r="T21" s="411"/>
      <c r="U21" s="411"/>
      <c r="V21" s="411"/>
      <c r="W21" s="411"/>
      <c r="X21" s="411"/>
      <c r="Y21" s="411"/>
      <c r="Z21" s="412"/>
    </row>
    <row r="22" spans="1:29" ht="15.75" customHeight="1" x14ac:dyDescent="0.2">
      <c r="A22" s="372" t="s">
        <v>81</v>
      </c>
      <c r="B22" s="373"/>
      <c r="C22" s="71" t="s">
        <v>29</v>
      </c>
      <c r="D22" s="71" t="s">
        <v>29</v>
      </c>
      <c r="E22" s="71" t="s">
        <v>29</v>
      </c>
      <c r="F22" s="71" t="s">
        <v>29</v>
      </c>
      <c r="G22" s="224" t="s">
        <v>29</v>
      </c>
      <c r="H22" s="178" t="s">
        <v>82</v>
      </c>
      <c r="I22" s="179"/>
      <c r="J22" s="357" t="s">
        <v>29</v>
      </c>
      <c r="K22" s="336"/>
      <c r="L22" s="376" t="s">
        <v>29</v>
      </c>
      <c r="M22" s="336"/>
      <c r="N22" s="377" t="s">
        <v>29</v>
      </c>
      <c r="O22" s="389"/>
      <c r="P22" s="414" t="s">
        <v>29</v>
      </c>
      <c r="Q22" s="332"/>
      <c r="R22" s="411"/>
      <c r="S22" s="411"/>
      <c r="T22" s="411"/>
      <c r="U22" s="411"/>
      <c r="V22" s="411"/>
      <c r="W22" s="411"/>
      <c r="X22" s="411"/>
      <c r="Y22" s="411"/>
      <c r="Z22" s="412"/>
    </row>
    <row r="23" spans="1:29" ht="15.75" customHeight="1" x14ac:dyDescent="0.2">
      <c r="A23" s="372" t="s">
        <v>12</v>
      </c>
      <c r="B23" s="373"/>
      <c r="C23" s="71" t="s">
        <v>29</v>
      </c>
      <c r="D23" s="71" t="s">
        <v>29</v>
      </c>
      <c r="E23" s="71" t="s">
        <v>29</v>
      </c>
      <c r="F23" s="71" t="s">
        <v>29</v>
      </c>
      <c r="G23" s="224" t="s">
        <v>29</v>
      </c>
      <c r="H23" s="178" t="s">
        <v>83</v>
      </c>
      <c r="I23" s="179"/>
      <c r="J23" s="357" t="s">
        <v>29</v>
      </c>
      <c r="K23" s="336"/>
      <c r="L23" s="376" t="s">
        <v>29</v>
      </c>
      <c r="M23" s="336"/>
      <c r="N23" s="377" t="s">
        <v>29</v>
      </c>
      <c r="O23" s="389"/>
      <c r="P23" s="414" t="s">
        <v>29</v>
      </c>
      <c r="Q23" s="332"/>
      <c r="R23" s="411"/>
      <c r="S23" s="411"/>
      <c r="T23" s="411"/>
      <c r="U23" s="411"/>
      <c r="V23" s="411"/>
      <c r="W23" s="411"/>
      <c r="X23" s="411"/>
      <c r="Y23" s="411"/>
      <c r="Z23" s="412"/>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389"/>
      <c r="P24" s="419" t="s">
        <v>29</v>
      </c>
      <c r="Q24" s="332"/>
      <c r="R24" s="411"/>
      <c r="S24" s="411"/>
      <c r="T24" s="411"/>
      <c r="U24" s="411"/>
      <c r="V24" s="411"/>
      <c r="W24" s="411"/>
      <c r="X24" s="411"/>
      <c r="Y24" s="411"/>
      <c r="Z24" s="412"/>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389"/>
      <c r="P25" s="419" t="s">
        <v>29</v>
      </c>
      <c r="Q25" s="332"/>
      <c r="R25" s="411"/>
      <c r="S25" s="411"/>
      <c r="T25" s="411"/>
      <c r="U25" s="411"/>
      <c r="V25" s="411"/>
      <c r="W25" s="411"/>
      <c r="X25" s="411"/>
      <c r="Y25" s="411"/>
      <c r="Z25" s="412"/>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389"/>
      <c r="P26" s="414" t="s">
        <v>29</v>
      </c>
      <c r="Q26" s="332"/>
      <c r="R26" s="411"/>
      <c r="S26" s="411"/>
      <c r="T26" s="411"/>
      <c r="U26" s="411"/>
      <c r="V26" s="411"/>
      <c r="W26" s="411"/>
      <c r="X26" s="411"/>
      <c r="Y26" s="411"/>
      <c r="Z26" s="412"/>
    </row>
    <row r="27" spans="1:29" ht="15.75" customHeight="1" x14ac:dyDescent="0.2">
      <c r="A27" s="378" t="s">
        <v>87</v>
      </c>
      <c r="B27" s="379"/>
      <c r="C27" s="71" t="s">
        <v>29</v>
      </c>
      <c r="D27" s="71" t="s">
        <v>29</v>
      </c>
      <c r="E27" s="71" t="s">
        <v>29</v>
      </c>
      <c r="F27" s="71" t="s">
        <v>29</v>
      </c>
      <c r="G27" s="224" t="s">
        <v>29</v>
      </c>
      <c r="H27" s="178" t="s">
        <v>88</v>
      </c>
      <c r="I27" s="179"/>
      <c r="J27" s="357" t="s">
        <v>29</v>
      </c>
      <c r="K27" s="336"/>
      <c r="L27" s="376" t="s">
        <v>29</v>
      </c>
      <c r="M27" s="336"/>
      <c r="N27" s="377" t="s">
        <v>29</v>
      </c>
      <c r="O27" s="389"/>
      <c r="P27" s="414" t="s">
        <v>29</v>
      </c>
      <c r="Q27" s="332"/>
      <c r="R27" s="411"/>
      <c r="S27" s="411"/>
      <c r="T27" s="411"/>
      <c r="U27" s="411"/>
      <c r="V27" s="411"/>
      <c r="W27" s="411"/>
      <c r="X27" s="411"/>
      <c r="Y27" s="411"/>
      <c r="Z27" s="412"/>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U31" sqref="U31"/>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07">
        <v>2014</v>
      </c>
      <c r="C1" s="132" t="s">
        <v>1</v>
      </c>
      <c r="D1" s="207"/>
      <c r="E1" s="132" t="s">
        <v>2</v>
      </c>
      <c r="F1" s="207">
        <v>7</v>
      </c>
      <c r="G1" s="211" t="s">
        <v>3</v>
      </c>
      <c r="H1" s="207" t="s">
        <v>4</v>
      </c>
      <c r="I1" s="329" t="s">
        <v>5</v>
      </c>
      <c r="J1" s="261"/>
      <c r="K1" s="330"/>
      <c r="L1" s="331"/>
      <c r="M1" s="331"/>
      <c r="N1" s="331"/>
      <c r="O1" s="332"/>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144">
        <v>41813</v>
      </c>
      <c r="C3" s="71" t="s">
        <v>29</v>
      </c>
      <c r="D3" s="71" t="s">
        <v>29</v>
      </c>
      <c r="E3" s="71" t="s">
        <v>235</v>
      </c>
      <c r="F3" s="71" t="s">
        <v>289</v>
      </c>
      <c r="G3" s="71" t="s">
        <v>227</v>
      </c>
      <c r="H3" s="71" t="s">
        <v>228</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D3" s="69" t="s">
        <v>205</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144">
        <v>41813</v>
      </c>
      <c r="C5" s="71" t="s">
        <v>29</v>
      </c>
      <c r="D5" s="71" t="s">
        <v>29</v>
      </c>
      <c r="E5" s="71" t="s">
        <v>235</v>
      </c>
      <c r="F5" s="71" t="s">
        <v>289</v>
      </c>
      <c r="G5" s="71" t="s">
        <v>227</v>
      </c>
      <c r="H5" s="71" t="s">
        <v>228</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c r="AD5" s="69" t="s">
        <v>205</v>
      </c>
    </row>
    <row r="6" spans="1:30" ht="16.5" customHeight="1" x14ac:dyDescent="0.2">
      <c r="A6" s="149" t="s">
        <v>33</v>
      </c>
      <c r="B6" s="139" t="s">
        <v>9</v>
      </c>
      <c r="C6" s="209" t="s">
        <v>34</v>
      </c>
      <c r="D6" s="209" t="s">
        <v>35</v>
      </c>
      <c r="E6" s="209" t="s">
        <v>36</v>
      </c>
      <c r="F6" s="209" t="s">
        <v>37</v>
      </c>
      <c r="G6" s="209" t="s">
        <v>38</v>
      </c>
      <c r="H6" s="190" t="s">
        <v>39</v>
      </c>
      <c r="I6" s="21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354</v>
      </c>
      <c r="K7" s="267"/>
      <c r="L7" s="346" t="s">
        <v>355</v>
      </c>
      <c r="M7" s="267"/>
      <c r="N7" s="346" t="s">
        <v>356</v>
      </c>
      <c r="O7" s="267"/>
      <c r="P7" s="347" t="s">
        <v>29</v>
      </c>
      <c r="Q7" s="267"/>
      <c r="R7" s="159" t="s">
        <v>47</v>
      </c>
      <c r="S7" s="160"/>
      <c r="T7" s="208"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09"/>
      <c r="H8" s="157" t="s">
        <v>50</v>
      </c>
      <c r="I8" s="166">
        <v>41835</v>
      </c>
      <c r="J8" s="341" t="s">
        <v>408</v>
      </c>
      <c r="K8" s="336"/>
      <c r="L8" s="341" t="s">
        <v>408</v>
      </c>
      <c r="M8" s="336"/>
      <c r="N8" s="341" t="s">
        <v>408</v>
      </c>
      <c r="O8" s="336"/>
      <c r="P8" s="341">
        <f>IF(((I8-F16)&gt;0),(I8-F16),"/")</f>
        <v>41835</v>
      </c>
      <c r="Q8" s="336"/>
      <c r="R8" s="164" t="s">
        <v>51</v>
      </c>
      <c r="S8" s="165"/>
      <c r="T8" s="208"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09"/>
      <c r="H9" s="157" t="s">
        <v>53</v>
      </c>
      <c r="I9" s="166">
        <v>41835</v>
      </c>
      <c r="J9" s="355">
        <v>85</v>
      </c>
      <c r="K9" s="336"/>
      <c r="L9" s="356">
        <v>80</v>
      </c>
      <c r="M9" s="336"/>
      <c r="N9" s="356">
        <v>57</v>
      </c>
      <c r="O9" s="336"/>
      <c r="P9" s="357" t="s">
        <v>29</v>
      </c>
      <c r="Q9" s="336"/>
      <c r="R9" s="164" t="s">
        <v>54</v>
      </c>
      <c r="S9" s="165"/>
      <c r="T9" s="208"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09"/>
      <c r="H10" s="157" t="s">
        <v>56</v>
      </c>
      <c r="I10" s="167"/>
      <c r="J10" s="352" t="s">
        <v>29</v>
      </c>
      <c r="K10" s="336"/>
      <c r="L10" s="353" t="s">
        <v>29</v>
      </c>
      <c r="M10" s="336"/>
      <c r="N10" s="353" t="s">
        <v>29</v>
      </c>
      <c r="O10" s="336"/>
      <c r="P10" s="354" t="s">
        <v>29</v>
      </c>
      <c r="Q10" s="336"/>
      <c r="R10" s="164" t="s">
        <v>57</v>
      </c>
      <c r="S10" s="165"/>
      <c r="T10" s="208"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09"/>
      <c r="H11" s="157" t="s">
        <v>59</v>
      </c>
      <c r="I11" s="163">
        <v>41842</v>
      </c>
      <c r="J11" s="341" t="s">
        <v>408</v>
      </c>
      <c r="K11" s="336"/>
      <c r="L11" s="341" t="s">
        <v>408</v>
      </c>
      <c r="M11" s="336"/>
      <c r="N11" s="341" t="s">
        <v>408</v>
      </c>
      <c r="O11" s="336"/>
      <c r="P11" s="362">
        <f>I11-F16</f>
        <v>41842</v>
      </c>
      <c r="Q11" s="336"/>
      <c r="R11" s="164" t="s">
        <v>60</v>
      </c>
      <c r="S11" s="165"/>
      <c r="T11" s="208"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09"/>
      <c r="H12" s="157" t="s">
        <v>62</v>
      </c>
      <c r="I12" s="166">
        <v>41842</v>
      </c>
      <c r="J12" s="355">
        <v>345</v>
      </c>
      <c r="K12" s="336"/>
      <c r="L12" s="356">
        <v>328</v>
      </c>
      <c r="M12" s="336"/>
      <c r="N12" s="356">
        <v>299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0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0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09"/>
      <c r="H15" s="157" t="s">
        <v>68</v>
      </c>
      <c r="I15" s="167"/>
      <c r="J15" s="352" t="s">
        <v>29</v>
      </c>
      <c r="K15" s="336"/>
      <c r="L15" s="353" t="s">
        <v>29</v>
      </c>
      <c r="M15" s="336"/>
      <c r="N15" s="353" t="s">
        <v>29</v>
      </c>
      <c r="O15" s="336"/>
      <c r="P15" s="363" t="s">
        <v>29</v>
      </c>
      <c r="Q15" s="293"/>
      <c r="R15" s="305" t="s">
        <v>457</v>
      </c>
      <c r="S15" s="305"/>
      <c r="T15" s="305"/>
      <c r="U15" s="305"/>
      <c r="V15" s="305"/>
      <c r="W15" s="305"/>
      <c r="X15" s="305"/>
      <c r="Y15" s="305"/>
      <c r="Z15" s="306"/>
    </row>
    <row r="16" spans="1:30" ht="15.75" customHeight="1" x14ac:dyDescent="0.2">
      <c r="A16" s="171" t="s">
        <v>69</v>
      </c>
      <c r="B16" s="142"/>
      <c r="C16" s="155" t="s">
        <v>408</v>
      </c>
      <c r="D16" s="155" t="s">
        <v>408</v>
      </c>
      <c r="E16" s="155" t="s">
        <v>408</v>
      </c>
      <c r="F16" s="155"/>
      <c r="G16" s="156" t="e">
        <f>AVERAGE(C16:F16)</f>
        <v>#DIV/0!</v>
      </c>
      <c r="H16" s="157" t="s">
        <v>70</v>
      </c>
      <c r="I16" s="163">
        <v>41859</v>
      </c>
      <c r="J16" s="364" t="s">
        <v>408</v>
      </c>
      <c r="K16" s="336"/>
      <c r="L16" s="364" t="s">
        <v>408</v>
      </c>
      <c r="M16" s="336"/>
      <c r="N16" s="364" t="s">
        <v>408</v>
      </c>
      <c r="O16" s="272"/>
      <c r="P16" s="365">
        <f>I16-F16</f>
        <v>41859</v>
      </c>
      <c r="Q16" s="261"/>
      <c r="R16" s="307"/>
      <c r="S16" s="307"/>
      <c r="T16" s="307"/>
      <c r="U16" s="307"/>
      <c r="V16" s="307"/>
      <c r="W16" s="307"/>
      <c r="X16" s="307"/>
      <c r="Y16" s="307"/>
      <c r="Z16" s="308"/>
    </row>
    <row r="17" spans="1:26" ht="15.75" customHeight="1" x14ac:dyDescent="0.2">
      <c r="A17" s="338" t="s">
        <v>71</v>
      </c>
      <c r="B17" s="368"/>
      <c r="C17" s="172" t="e">
        <f>C16-C7</f>
        <v>#VALUE!</v>
      </c>
      <c r="D17" s="172" t="e">
        <f>D16-D7</f>
        <v>#VALUE!</v>
      </c>
      <c r="E17" s="172" t="e">
        <f>E16-E7</f>
        <v>#VALUE!</v>
      </c>
      <c r="F17" s="172">
        <f>F16-F7</f>
        <v>0</v>
      </c>
      <c r="G17" s="173" t="e">
        <f>AVERAGE(C17:E17)</f>
        <v>#VALUE!</v>
      </c>
      <c r="H17" s="157" t="s">
        <v>72</v>
      </c>
      <c r="I17" s="163">
        <v>41859</v>
      </c>
      <c r="J17" s="357">
        <v>581</v>
      </c>
      <c r="K17" s="336"/>
      <c r="L17" s="356">
        <v>565</v>
      </c>
      <c r="M17" s="336"/>
      <c r="N17" s="366">
        <v>571</v>
      </c>
      <c r="O17" s="272"/>
      <c r="P17" s="367" t="s">
        <v>29</v>
      </c>
      <c r="Q17" s="261"/>
      <c r="R17" s="307"/>
      <c r="S17" s="307"/>
      <c r="T17" s="307"/>
      <c r="U17" s="307"/>
      <c r="V17" s="307"/>
      <c r="W17" s="307"/>
      <c r="X17" s="307"/>
      <c r="Y17" s="307"/>
      <c r="Z17" s="308"/>
    </row>
    <row r="18" spans="1:26"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6"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6" ht="15.75" customHeight="1" x14ac:dyDescent="0.2">
      <c r="A20" s="372" t="s">
        <v>79</v>
      </c>
      <c r="B20" s="373"/>
      <c r="C20" s="122" t="s">
        <v>431</v>
      </c>
      <c r="D20" s="122" t="s">
        <v>431</v>
      </c>
      <c r="E20" s="122" t="s">
        <v>431</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46</v>
      </c>
      <c r="B21" s="373"/>
      <c r="C21" s="71" t="s">
        <v>354</v>
      </c>
      <c r="D21" s="71" t="s">
        <v>355</v>
      </c>
      <c r="E21" s="71" t="s">
        <v>356</v>
      </c>
      <c r="F21" s="71" t="s">
        <v>29</v>
      </c>
      <c r="G21" s="71" t="s">
        <v>29</v>
      </c>
      <c r="H21" s="176" t="s">
        <v>80</v>
      </c>
      <c r="I21" s="163">
        <v>40775</v>
      </c>
      <c r="J21" s="357" t="s">
        <v>29</v>
      </c>
      <c r="K21" s="336"/>
      <c r="L21" s="356" t="s">
        <v>29</v>
      </c>
      <c r="M21" s="336"/>
      <c r="N21" s="366" t="s">
        <v>29</v>
      </c>
      <c r="O21" s="272"/>
      <c r="P21" s="367" t="s">
        <v>29</v>
      </c>
      <c r="Q21" s="261"/>
      <c r="R21" s="307"/>
      <c r="S21" s="307"/>
      <c r="T21" s="307"/>
      <c r="U21" s="307"/>
      <c r="V21" s="307"/>
      <c r="W21" s="307"/>
      <c r="X21" s="307"/>
      <c r="Y21" s="307"/>
      <c r="Z21" s="308"/>
    </row>
    <row r="22" spans="1:26" ht="15.75" customHeight="1" x14ac:dyDescent="0.2">
      <c r="A22" s="372" t="s">
        <v>81</v>
      </c>
      <c r="B22" s="373"/>
      <c r="C22" s="177">
        <v>41859</v>
      </c>
      <c r="D22" s="177">
        <v>41859</v>
      </c>
      <c r="E22" s="177">
        <v>41859</v>
      </c>
      <c r="F22" s="71" t="s">
        <v>29</v>
      </c>
      <c r="G22" s="208"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6" ht="15.75" customHeight="1" x14ac:dyDescent="0.2">
      <c r="A23" s="372" t="s">
        <v>12</v>
      </c>
      <c r="B23" s="373"/>
      <c r="C23" s="71">
        <v>220612784</v>
      </c>
      <c r="D23" s="71">
        <v>220612782</v>
      </c>
      <c r="E23" s="71">
        <v>220612783</v>
      </c>
      <c r="F23" s="71" t="s">
        <v>29</v>
      </c>
      <c r="G23" s="208"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6" ht="15.75" customHeight="1" x14ac:dyDescent="0.2">
      <c r="A24" s="372" t="s">
        <v>84</v>
      </c>
      <c r="B24" s="373"/>
      <c r="C24" s="71" t="s">
        <v>29</v>
      </c>
      <c r="D24" s="71" t="s">
        <v>29</v>
      </c>
      <c r="E24" s="71" t="s">
        <v>29</v>
      </c>
      <c r="F24" s="71" t="s">
        <v>29</v>
      </c>
      <c r="G24" s="208"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6" ht="15.75" customHeight="1" x14ac:dyDescent="0.2">
      <c r="A25" s="372" t="s">
        <v>11</v>
      </c>
      <c r="B25" s="373"/>
      <c r="C25" s="71" t="s">
        <v>458</v>
      </c>
      <c r="D25" s="71" t="s">
        <v>447</v>
      </c>
      <c r="E25" s="71" t="s">
        <v>413</v>
      </c>
      <c r="F25" s="71" t="s">
        <v>29</v>
      </c>
      <c r="G25" s="208"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6" ht="15.75" customHeight="1" x14ac:dyDescent="0.2">
      <c r="A26" s="374" t="s">
        <v>85</v>
      </c>
      <c r="B26" s="375"/>
      <c r="C26" s="71" t="s">
        <v>29</v>
      </c>
      <c r="D26" s="71" t="s">
        <v>29</v>
      </c>
      <c r="E26" s="71" t="s">
        <v>29</v>
      </c>
      <c r="F26" s="71" t="s">
        <v>29</v>
      </c>
      <c r="G26" s="208" t="s">
        <v>29</v>
      </c>
      <c r="H26" s="178" t="s">
        <v>86</v>
      </c>
      <c r="I26" s="167"/>
      <c r="J26" s="354" t="s">
        <v>29</v>
      </c>
      <c r="K26" s="336"/>
      <c r="L26" s="372" t="s">
        <v>29</v>
      </c>
      <c r="M26" s="336"/>
      <c r="N26" s="380" t="s">
        <v>29</v>
      </c>
      <c r="O26" s="272"/>
      <c r="P26" s="371" t="s">
        <v>29</v>
      </c>
      <c r="Q26" s="261"/>
      <c r="R26" s="307"/>
      <c r="S26" s="307"/>
      <c r="T26" s="307"/>
      <c r="U26" s="307"/>
      <c r="V26" s="307"/>
      <c r="W26" s="307"/>
      <c r="X26" s="307"/>
      <c r="Y26" s="307"/>
      <c r="Z26" s="308"/>
    </row>
    <row r="27" spans="1:26" ht="15.75" customHeight="1" x14ac:dyDescent="0.2">
      <c r="A27" s="378" t="s">
        <v>87</v>
      </c>
      <c r="B27" s="379"/>
      <c r="C27" s="71" t="s">
        <v>29</v>
      </c>
      <c r="D27" s="71" t="s">
        <v>29</v>
      </c>
      <c r="E27" s="71" t="s">
        <v>29</v>
      </c>
      <c r="F27" s="71" t="s">
        <v>29</v>
      </c>
      <c r="G27" s="208" t="s">
        <v>29</v>
      </c>
      <c r="H27" s="178" t="s">
        <v>88</v>
      </c>
      <c r="I27" s="167"/>
      <c r="J27" s="354" t="s">
        <v>29</v>
      </c>
      <c r="K27" s="336"/>
      <c r="L27" s="372" t="s">
        <v>29</v>
      </c>
      <c r="M27" s="336"/>
      <c r="N27" s="380" t="s">
        <v>29</v>
      </c>
      <c r="O27" s="272"/>
      <c r="P27" s="371" t="s">
        <v>29</v>
      </c>
      <c r="Q27" s="261"/>
      <c r="R27" s="307"/>
      <c r="S27" s="307"/>
      <c r="T27" s="307"/>
      <c r="U27" s="307"/>
      <c r="V27" s="307"/>
      <c r="W27" s="307"/>
      <c r="X27" s="307"/>
      <c r="Y27" s="307"/>
      <c r="Z27" s="308"/>
    </row>
    <row r="28" spans="1:26" ht="15.75" customHeight="1" x14ac:dyDescent="0.2">
      <c r="A28" s="61"/>
      <c r="B28" s="7"/>
      <c r="C28" s="4"/>
      <c r="D28" s="4"/>
      <c r="E28" s="4"/>
      <c r="F28" s="4"/>
      <c r="G28" s="4"/>
      <c r="H28" s="46"/>
      <c r="I28" s="4"/>
      <c r="J28" s="4"/>
      <c r="K28" s="4"/>
      <c r="L28" s="4"/>
      <c r="M28" s="4"/>
      <c r="N28" s="4"/>
      <c r="O28" s="4"/>
      <c r="P28" s="46"/>
      <c r="Q28" s="46"/>
      <c r="R28" s="53"/>
      <c r="S28" s="30"/>
      <c r="T28" s="4"/>
      <c r="U28" s="4"/>
      <c r="V28" s="4"/>
      <c r="W28" s="26"/>
      <c r="X28" s="4"/>
      <c r="Y28" s="4"/>
      <c r="Z28" s="4"/>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8</v>
      </c>
      <c r="G1" s="226" t="s">
        <v>3</v>
      </c>
      <c r="H1" s="216" t="s">
        <v>4</v>
      </c>
      <c r="I1" s="329" t="s">
        <v>5</v>
      </c>
      <c r="J1" s="261"/>
      <c r="K1" s="262" t="s">
        <v>261</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103</v>
      </c>
      <c r="B3" s="144">
        <v>41795</v>
      </c>
      <c r="C3" s="71" t="s">
        <v>29</v>
      </c>
      <c r="D3" s="71" t="s">
        <v>29</v>
      </c>
      <c r="E3" s="71" t="s">
        <v>29</v>
      </c>
      <c r="F3" s="71" t="s">
        <v>229</v>
      </c>
      <c r="G3" s="71" t="s">
        <v>225</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D3" s="69" t="s">
        <v>205</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103</v>
      </c>
      <c r="B5" s="144">
        <v>41795</v>
      </c>
      <c r="C5" s="71" t="s">
        <v>29</v>
      </c>
      <c r="D5" s="71" t="s">
        <v>29</v>
      </c>
      <c r="E5" s="71" t="s">
        <v>29</v>
      </c>
      <c r="F5" s="71" t="s">
        <v>281</v>
      </c>
      <c r="G5" s="71" t="s">
        <v>225</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c r="AD5" s="69" t="s">
        <v>205</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v>41794</v>
      </c>
      <c r="D7" s="155">
        <v>41796</v>
      </c>
      <c r="E7" s="155">
        <v>41798</v>
      </c>
      <c r="F7" s="155">
        <v>41800</v>
      </c>
      <c r="G7" s="156">
        <f>AVERAGE(C7:F7)</f>
        <v>41797</v>
      </c>
      <c r="H7" s="157" t="s">
        <v>46</v>
      </c>
      <c r="I7" s="158"/>
      <c r="J7" s="276" t="s">
        <v>360</v>
      </c>
      <c r="K7" s="267"/>
      <c r="L7" s="346" t="s">
        <v>361</v>
      </c>
      <c r="M7" s="267"/>
      <c r="N7" s="346" t="s">
        <v>364</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41841</v>
      </c>
      <c r="J8" s="341">
        <f>IF(((I8-C16)&gt;0),(I8-C16),"/")</f>
        <v>41841</v>
      </c>
      <c r="K8" s="336"/>
      <c r="L8" s="341">
        <f>IF(((I8-D16)&gt;0),(I8-D16),"/")</f>
        <v>41841</v>
      </c>
      <c r="M8" s="336"/>
      <c r="N8" s="341">
        <f>IF(((I8-E16)&gt;0),(I8-E16),"/")</f>
        <v>41841</v>
      </c>
      <c r="O8" s="336"/>
      <c r="P8" s="341">
        <f>IF(((I8-F16)&gt;0),(I8-F16),"/")</f>
        <v>41841</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66">
        <v>41841</v>
      </c>
      <c r="J9" s="355">
        <v>212</v>
      </c>
      <c r="K9" s="336"/>
      <c r="L9" s="356">
        <v>195</v>
      </c>
      <c r="M9" s="336"/>
      <c r="N9" s="356">
        <v>113</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41848</v>
      </c>
      <c r="J11" s="341">
        <f>I11-C16</f>
        <v>41848</v>
      </c>
      <c r="K11" s="336"/>
      <c r="L11" s="341">
        <f>I11-D16</f>
        <v>41848</v>
      </c>
      <c r="M11" s="336"/>
      <c r="N11" s="341">
        <f>I11-E16</f>
        <v>41848</v>
      </c>
      <c r="O11" s="336"/>
      <c r="P11" s="362">
        <f>I11-F16</f>
        <v>41848</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66">
        <v>41848</v>
      </c>
      <c r="J12" s="355">
        <v>539</v>
      </c>
      <c r="K12" s="336"/>
      <c r="L12" s="356">
        <v>529</v>
      </c>
      <c r="M12" s="336"/>
      <c r="N12" s="356">
        <v>337</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378</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-41794</v>
      </c>
      <c r="D17" s="172">
        <f>D16-D7</f>
        <v>-41796</v>
      </c>
      <c r="E17" s="172">
        <f>E16-E7</f>
        <v>-41798</v>
      </c>
      <c r="F17" s="172">
        <f>F16-F7</f>
        <v>-41800</v>
      </c>
      <c r="G17" s="173">
        <f>AVERAGE(C17:E17)</f>
        <v>-41796</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9</v>
      </c>
      <c r="G1" s="226" t="s">
        <v>3</v>
      </c>
      <c r="H1" s="216" t="s">
        <v>4</v>
      </c>
      <c r="I1" s="329" t="s">
        <v>5</v>
      </c>
      <c r="J1" s="261"/>
      <c r="K1" s="330"/>
      <c r="L1" s="331"/>
      <c r="M1" s="331"/>
      <c r="N1" s="331"/>
      <c r="O1" s="332"/>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284</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10</v>
      </c>
      <c r="G1" s="226" t="s">
        <v>3</v>
      </c>
      <c r="H1" s="216" t="s">
        <v>4</v>
      </c>
      <c r="I1" s="329" t="s">
        <v>5</v>
      </c>
      <c r="J1" s="261"/>
      <c r="K1" s="330"/>
      <c r="L1" s="331"/>
      <c r="M1" s="331"/>
      <c r="N1" s="331"/>
      <c r="O1" s="332"/>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292</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11</v>
      </c>
      <c r="G1" s="226" t="s">
        <v>3</v>
      </c>
      <c r="H1" s="216" t="s">
        <v>4</v>
      </c>
      <c r="I1" s="329" t="s">
        <v>5</v>
      </c>
      <c r="J1" s="261"/>
      <c r="K1" s="330"/>
      <c r="L1" s="331"/>
      <c r="M1" s="331"/>
      <c r="N1" s="331"/>
      <c r="O1" s="332"/>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293</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48"/>
  <sheetViews>
    <sheetView tabSelected="1" topLeftCell="A4"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7.42578125" style="25" customWidth="1"/>
    <col min="28" max="29" width="11.85546875" style="25"/>
    <col min="30" max="30" width="12.5703125" style="25" customWidth="1"/>
    <col min="31" max="16384" width="11.85546875" style="25"/>
  </cols>
  <sheetData>
    <row r="1" spans="1:31" ht="12.75" x14ac:dyDescent="0.2">
      <c r="A1" s="132" t="s">
        <v>0</v>
      </c>
      <c r="B1" s="125">
        <v>2014</v>
      </c>
      <c r="C1" s="132" t="s">
        <v>1</v>
      </c>
      <c r="D1" s="125"/>
      <c r="E1" s="132" t="s">
        <v>2</v>
      </c>
      <c r="F1" s="125">
        <v>12</v>
      </c>
      <c r="G1" s="133" t="s">
        <v>3</v>
      </c>
      <c r="H1" s="125" t="s">
        <v>4</v>
      </c>
      <c r="I1" s="329" t="s">
        <v>5</v>
      </c>
      <c r="J1" s="261"/>
      <c r="K1" s="262" t="s">
        <v>190</v>
      </c>
      <c r="L1" s="261"/>
      <c r="M1" s="261"/>
      <c r="N1" s="261"/>
      <c r="O1" s="261"/>
      <c r="P1" s="333" t="s">
        <v>6</v>
      </c>
      <c r="Q1" s="261"/>
      <c r="R1" s="334"/>
      <c r="S1" s="272"/>
      <c r="T1" s="135"/>
      <c r="U1" s="135"/>
      <c r="V1" s="135"/>
      <c r="W1" s="135"/>
      <c r="X1" s="135"/>
      <c r="Y1" s="135"/>
      <c r="Z1" s="136"/>
    </row>
    <row r="2" spans="1:31"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1"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1"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c r="AE4" s="95" t="s">
        <v>287</v>
      </c>
    </row>
    <row r="5" spans="1:31" ht="15.75" customHeight="1" x14ac:dyDescent="0.2">
      <c r="A5" s="71" t="s">
        <v>103</v>
      </c>
      <c r="B5" s="144">
        <v>41808</v>
      </c>
      <c r="C5" s="71" t="s">
        <v>241</v>
      </c>
      <c r="D5" s="71" t="s">
        <v>29</v>
      </c>
      <c r="E5" s="71" t="s">
        <v>276</v>
      </c>
      <c r="F5" s="71" t="s">
        <v>277</v>
      </c>
      <c r="G5" s="71" t="s">
        <v>264</v>
      </c>
      <c r="H5" s="71" t="s">
        <v>29</v>
      </c>
      <c r="I5" s="80" t="s">
        <v>29</v>
      </c>
      <c r="J5" s="80">
        <v>980</v>
      </c>
      <c r="K5" s="80">
        <v>3</v>
      </c>
      <c r="L5" s="91">
        <v>69.5</v>
      </c>
      <c r="M5" s="91" t="s">
        <v>29</v>
      </c>
      <c r="N5" s="80">
        <v>371</v>
      </c>
      <c r="O5" s="80">
        <v>174</v>
      </c>
      <c r="P5" s="145" t="s">
        <v>29</v>
      </c>
      <c r="Q5" s="145">
        <v>22.5</v>
      </c>
      <c r="R5" s="142" t="s">
        <v>29</v>
      </c>
      <c r="S5" s="142" t="s">
        <v>29</v>
      </c>
      <c r="T5" s="142" t="s">
        <v>29</v>
      </c>
      <c r="U5" s="71" t="s">
        <v>216</v>
      </c>
      <c r="V5" s="71" t="s">
        <v>205</v>
      </c>
      <c r="W5" s="71" t="s">
        <v>205</v>
      </c>
      <c r="X5" s="142" t="s">
        <v>29</v>
      </c>
      <c r="Y5" s="142" t="s">
        <v>29</v>
      </c>
      <c r="Z5" s="142" t="s">
        <v>29</v>
      </c>
      <c r="AA5" s="69" t="s">
        <v>265</v>
      </c>
      <c r="AB5" s="69" t="s">
        <v>205</v>
      </c>
      <c r="AC5" s="66" t="s">
        <v>278</v>
      </c>
      <c r="AE5" s="96">
        <v>71</v>
      </c>
    </row>
    <row r="6" spans="1:31" ht="16.5" customHeight="1" x14ac:dyDescent="0.2">
      <c r="A6" s="149" t="s">
        <v>33</v>
      </c>
      <c r="B6" s="139" t="s">
        <v>9</v>
      </c>
      <c r="C6" s="162" t="s">
        <v>34</v>
      </c>
      <c r="D6" s="162" t="s">
        <v>35</v>
      </c>
      <c r="E6" s="162" t="s">
        <v>36</v>
      </c>
      <c r="F6" s="162" t="s">
        <v>37</v>
      </c>
      <c r="G6" s="162" t="s">
        <v>38</v>
      </c>
      <c r="H6" s="190" t="s">
        <v>39</v>
      </c>
      <c r="I6" s="184" t="s">
        <v>9</v>
      </c>
      <c r="J6" s="339" t="s">
        <v>40</v>
      </c>
      <c r="K6" s="339"/>
      <c r="L6" s="339" t="s">
        <v>41</v>
      </c>
      <c r="M6" s="339"/>
      <c r="N6" s="339" t="s">
        <v>42</v>
      </c>
      <c r="O6" s="339"/>
      <c r="P6" s="339" t="s">
        <v>43</v>
      </c>
      <c r="Q6" s="339"/>
      <c r="R6" s="35"/>
      <c r="S6" s="340" t="s">
        <v>44</v>
      </c>
      <c r="T6" s="275"/>
      <c r="U6" s="275"/>
      <c r="V6" s="275"/>
      <c r="W6" s="275"/>
      <c r="X6" s="275"/>
      <c r="Y6" s="275"/>
      <c r="Z6" s="336"/>
    </row>
    <row r="7" spans="1:31" ht="15.75" customHeight="1" x14ac:dyDescent="0.2">
      <c r="A7" s="154" t="s">
        <v>45</v>
      </c>
      <c r="B7" s="142"/>
      <c r="C7" s="155" t="s">
        <v>260</v>
      </c>
      <c r="D7" s="155" t="s">
        <v>260</v>
      </c>
      <c r="E7" s="155" t="s">
        <v>260</v>
      </c>
      <c r="F7" s="155" t="s">
        <v>260</v>
      </c>
      <c r="G7" s="156" t="e">
        <f>AVERAGE(C7:F7)</f>
        <v>#DIV/0!</v>
      </c>
      <c r="H7" s="157" t="s">
        <v>46</v>
      </c>
      <c r="I7" s="158"/>
      <c r="J7" s="276" t="s">
        <v>354</v>
      </c>
      <c r="K7" s="267"/>
      <c r="L7" s="346" t="s">
        <v>355</v>
      </c>
      <c r="M7" s="267"/>
      <c r="N7" s="346" t="s">
        <v>356</v>
      </c>
      <c r="O7" s="267"/>
      <c r="P7" s="347" t="s">
        <v>357</v>
      </c>
      <c r="Q7" s="267"/>
      <c r="R7" s="159" t="s">
        <v>47</v>
      </c>
      <c r="S7" s="160"/>
      <c r="T7" s="106">
        <v>4</v>
      </c>
      <c r="U7" s="348" t="s">
        <v>48</v>
      </c>
      <c r="V7" s="348"/>
      <c r="W7" s="348"/>
      <c r="X7" s="349" t="s">
        <v>29</v>
      </c>
      <c r="Y7" s="350"/>
      <c r="Z7" s="351"/>
    </row>
    <row r="8" spans="1:31" ht="15.75" customHeight="1" x14ac:dyDescent="0.2">
      <c r="A8" s="161" t="s">
        <v>49</v>
      </c>
      <c r="B8" s="142" t="s">
        <v>29</v>
      </c>
      <c r="C8" s="142" t="s">
        <v>29</v>
      </c>
      <c r="D8" s="142" t="s">
        <v>29</v>
      </c>
      <c r="E8" s="142" t="s">
        <v>29</v>
      </c>
      <c r="F8" s="142" t="s">
        <v>29</v>
      </c>
      <c r="G8" s="162"/>
      <c r="H8" s="157" t="s">
        <v>50</v>
      </c>
      <c r="I8" s="166">
        <v>41830</v>
      </c>
      <c r="J8" s="341">
        <f>I8-C16</f>
        <v>1</v>
      </c>
      <c r="K8" s="336"/>
      <c r="L8" s="341">
        <v>0</v>
      </c>
      <c r="M8" s="336"/>
      <c r="N8" s="341" t="s">
        <v>410</v>
      </c>
      <c r="O8" s="336"/>
      <c r="P8" s="341" t="s">
        <v>410</v>
      </c>
      <c r="Q8" s="336"/>
      <c r="R8" s="164" t="s">
        <v>51</v>
      </c>
      <c r="S8" s="165"/>
      <c r="T8" s="106">
        <v>0</v>
      </c>
      <c r="U8" s="342" t="s">
        <v>52</v>
      </c>
      <c r="V8" s="342"/>
      <c r="W8" s="342"/>
      <c r="X8" s="343" t="s">
        <v>29</v>
      </c>
      <c r="Y8" s="344"/>
      <c r="Z8" s="345"/>
    </row>
    <row r="9" spans="1:31" ht="15.75" customHeight="1" x14ac:dyDescent="0.2">
      <c r="A9" s="161" t="s">
        <v>49</v>
      </c>
      <c r="B9" s="142" t="s">
        <v>29</v>
      </c>
      <c r="C9" s="142" t="s">
        <v>29</v>
      </c>
      <c r="D9" s="142" t="s">
        <v>29</v>
      </c>
      <c r="E9" s="142" t="s">
        <v>29</v>
      </c>
      <c r="F9" s="142" t="s">
        <v>29</v>
      </c>
      <c r="G9" s="162"/>
      <c r="H9" s="157" t="s">
        <v>53</v>
      </c>
      <c r="I9" s="166">
        <v>41830</v>
      </c>
      <c r="J9" s="355">
        <v>40</v>
      </c>
      <c r="K9" s="336"/>
      <c r="L9" s="356">
        <v>36</v>
      </c>
      <c r="M9" s="336"/>
      <c r="N9" s="356" t="s">
        <v>410</v>
      </c>
      <c r="O9" s="336"/>
      <c r="P9" s="357" t="s">
        <v>410</v>
      </c>
      <c r="Q9" s="336"/>
      <c r="R9" s="164" t="s">
        <v>54</v>
      </c>
      <c r="S9" s="165"/>
      <c r="T9" s="106">
        <v>4</v>
      </c>
      <c r="U9" s="342" t="s">
        <v>55</v>
      </c>
      <c r="V9" s="342"/>
      <c r="W9" s="342"/>
      <c r="X9" s="343" t="s">
        <v>29</v>
      </c>
      <c r="Y9" s="344"/>
      <c r="Z9" s="345"/>
    </row>
    <row r="10" spans="1:31" ht="15" customHeight="1" x14ac:dyDescent="0.2">
      <c r="A10" s="161" t="s">
        <v>49</v>
      </c>
      <c r="B10" s="142" t="s">
        <v>29</v>
      </c>
      <c r="C10" s="142" t="s">
        <v>29</v>
      </c>
      <c r="D10" s="142" t="s">
        <v>29</v>
      </c>
      <c r="E10" s="142" t="s">
        <v>29</v>
      </c>
      <c r="F10" s="142" t="s">
        <v>29</v>
      </c>
      <c r="G10" s="162"/>
      <c r="H10" s="157" t="s">
        <v>56</v>
      </c>
      <c r="I10" s="167"/>
      <c r="J10" s="352" t="s">
        <v>29</v>
      </c>
      <c r="K10" s="336"/>
      <c r="L10" s="353" t="s">
        <v>29</v>
      </c>
      <c r="M10" s="336"/>
      <c r="N10" s="353" t="s">
        <v>29</v>
      </c>
      <c r="O10" s="336"/>
      <c r="P10" s="354" t="s">
        <v>29</v>
      </c>
      <c r="Q10" s="336"/>
      <c r="R10" s="164" t="s">
        <v>57</v>
      </c>
      <c r="S10" s="165"/>
      <c r="T10" s="106">
        <v>2</v>
      </c>
      <c r="U10" s="342" t="s">
        <v>58</v>
      </c>
      <c r="V10" s="342"/>
      <c r="W10" s="342"/>
      <c r="X10" s="343" t="s">
        <v>29</v>
      </c>
      <c r="Y10" s="344"/>
      <c r="Z10" s="345"/>
    </row>
    <row r="11" spans="1:31" ht="15" customHeight="1" x14ac:dyDescent="0.2">
      <c r="A11" s="161" t="s">
        <v>49</v>
      </c>
      <c r="B11" s="142" t="s">
        <v>29</v>
      </c>
      <c r="C11" s="142" t="s">
        <v>29</v>
      </c>
      <c r="D11" s="142" t="s">
        <v>29</v>
      </c>
      <c r="E11" s="142" t="s">
        <v>29</v>
      </c>
      <c r="F11" s="142" t="s">
        <v>29</v>
      </c>
      <c r="G11" s="162"/>
      <c r="H11" s="157" t="s">
        <v>59</v>
      </c>
      <c r="I11" s="166">
        <v>41834</v>
      </c>
      <c r="J11" s="341">
        <f>I11-C16</f>
        <v>5</v>
      </c>
      <c r="K11" s="336"/>
      <c r="L11" s="341">
        <v>4</v>
      </c>
      <c r="M11" s="336"/>
      <c r="N11" s="341">
        <v>3</v>
      </c>
      <c r="O11" s="336"/>
      <c r="P11" s="362">
        <v>3</v>
      </c>
      <c r="Q11" s="336"/>
      <c r="R11" s="164" t="s">
        <v>60</v>
      </c>
      <c r="S11" s="165"/>
      <c r="T11" s="106">
        <v>2</v>
      </c>
      <c r="U11" s="342" t="s">
        <v>61</v>
      </c>
      <c r="V11" s="342"/>
      <c r="W11" s="342"/>
      <c r="X11" s="343" t="s">
        <v>29</v>
      </c>
      <c r="Y11" s="344"/>
      <c r="Z11" s="345"/>
    </row>
    <row r="12" spans="1:31" ht="15.75" customHeight="1" x14ac:dyDescent="0.2">
      <c r="A12" s="161" t="s">
        <v>49</v>
      </c>
      <c r="B12" s="142" t="s">
        <v>29</v>
      </c>
      <c r="C12" s="142" t="s">
        <v>29</v>
      </c>
      <c r="D12" s="142" t="s">
        <v>29</v>
      </c>
      <c r="E12" s="142" t="s">
        <v>29</v>
      </c>
      <c r="F12" s="142" t="s">
        <v>29</v>
      </c>
      <c r="G12" s="162"/>
      <c r="H12" s="157" t="s">
        <v>62</v>
      </c>
      <c r="I12" s="166">
        <v>41834</v>
      </c>
      <c r="J12" s="355">
        <v>101</v>
      </c>
      <c r="K12" s="336"/>
      <c r="L12" s="356">
        <v>86</v>
      </c>
      <c r="M12" s="336"/>
      <c r="N12" s="356">
        <v>42</v>
      </c>
      <c r="O12" s="336"/>
      <c r="P12" s="357">
        <v>38</v>
      </c>
      <c r="Q12" s="336"/>
      <c r="R12" s="164" t="s">
        <v>63</v>
      </c>
      <c r="S12" s="165"/>
      <c r="T12" s="168">
        <v>2</v>
      </c>
      <c r="U12" s="358" t="s">
        <v>64</v>
      </c>
      <c r="V12" s="358"/>
      <c r="W12" s="358"/>
      <c r="X12" s="359" t="s">
        <v>29</v>
      </c>
      <c r="Y12" s="360"/>
      <c r="Z12" s="361"/>
    </row>
    <row r="13" spans="1:31" ht="15.75" customHeight="1" x14ac:dyDescent="0.2">
      <c r="A13" s="161" t="s">
        <v>49</v>
      </c>
      <c r="B13" s="142" t="s">
        <v>29</v>
      </c>
      <c r="C13" s="142" t="s">
        <v>29</v>
      </c>
      <c r="D13" s="142" t="s">
        <v>29</v>
      </c>
      <c r="E13" s="142" t="s">
        <v>29</v>
      </c>
      <c r="F13" s="142" t="s">
        <v>29</v>
      </c>
      <c r="G13" s="162"/>
      <c r="H13" s="157" t="s">
        <v>65</v>
      </c>
      <c r="I13" s="167"/>
      <c r="J13" s="352" t="s">
        <v>29</v>
      </c>
      <c r="K13" s="336"/>
      <c r="L13" s="353" t="s">
        <v>29</v>
      </c>
      <c r="M13" s="336"/>
      <c r="N13" s="353" t="s">
        <v>29</v>
      </c>
      <c r="O13" s="336"/>
      <c r="P13" s="354" t="s">
        <v>29</v>
      </c>
      <c r="Q13" s="272"/>
      <c r="R13" s="401" t="s">
        <v>66</v>
      </c>
      <c r="S13" s="402"/>
      <c r="T13" s="402"/>
      <c r="U13" s="402"/>
      <c r="V13" s="402"/>
      <c r="W13" s="402"/>
      <c r="X13" s="402"/>
      <c r="Y13" s="402"/>
      <c r="Z13" s="403"/>
    </row>
    <row r="14" spans="1:31" ht="15.75" customHeight="1" x14ac:dyDescent="0.2">
      <c r="A14" s="161" t="s">
        <v>49</v>
      </c>
      <c r="B14" s="142" t="s">
        <v>29</v>
      </c>
      <c r="C14" s="142" t="s">
        <v>29</v>
      </c>
      <c r="D14" s="142" t="s">
        <v>29</v>
      </c>
      <c r="E14" s="142" t="s">
        <v>29</v>
      </c>
      <c r="F14" s="142" t="s">
        <v>29</v>
      </c>
      <c r="G14" s="162"/>
      <c r="H14" s="157" t="s">
        <v>67</v>
      </c>
      <c r="I14" s="167"/>
      <c r="J14" s="352" t="s">
        <v>29</v>
      </c>
      <c r="K14" s="336"/>
      <c r="L14" s="353" t="s">
        <v>29</v>
      </c>
      <c r="M14" s="336"/>
      <c r="N14" s="353" t="s">
        <v>29</v>
      </c>
      <c r="O14" s="336"/>
      <c r="P14" s="354" t="s">
        <v>29</v>
      </c>
      <c r="Q14" s="272"/>
      <c r="R14" s="404"/>
      <c r="S14" s="405"/>
      <c r="T14" s="405"/>
      <c r="U14" s="405"/>
      <c r="V14" s="405"/>
      <c r="W14" s="405"/>
      <c r="X14" s="405"/>
      <c r="Y14" s="405"/>
      <c r="Z14" s="405"/>
    </row>
    <row r="15" spans="1:31" ht="15.75" customHeight="1" x14ac:dyDescent="0.2">
      <c r="A15" s="161" t="s">
        <v>49</v>
      </c>
      <c r="B15" s="142" t="s">
        <v>29</v>
      </c>
      <c r="C15" s="142" t="s">
        <v>29</v>
      </c>
      <c r="D15" s="142" t="s">
        <v>29</v>
      </c>
      <c r="E15" s="142" t="s">
        <v>29</v>
      </c>
      <c r="F15" s="142" t="s">
        <v>29</v>
      </c>
      <c r="G15" s="162"/>
      <c r="H15" s="157" t="s">
        <v>68</v>
      </c>
      <c r="I15" s="167"/>
      <c r="J15" s="352" t="s">
        <v>29</v>
      </c>
      <c r="K15" s="336"/>
      <c r="L15" s="353" t="s">
        <v>29</v>
      </c>
      <c r="M15" s="336"/>
      <c r="N15" s="353" t="s">
        <v>29</v>
      </c>
      <c r="O15" s="336"/>
      <c r="P15" s="363" t="s">
        <v>29</v>
      </c>
      <c r="Q15" s="293"/>
      <c r="R15" s="305" t="s">
        <v>419</v>
      </c>
      <c r="S15" s="305"/>
      <c r="T15" s="305"/>
      <c r="U15" s="305"/>
      <c r="V15" s="305"/>
      <c r="W15" s="305"/>
      <c r="X15" s="305"/>
      <c r="Y15" s="305"/>
      <c r="Z15" s="305"/>
    </row>
    <row r="16" spans="1:31" ht="15.75" customHeight="1" x14ac:dyDescent="0.2">
      <c r="A16" s="171" t="s">
        <v>69</v>
      </c>
      <c r="B16" s="142"/>
      <c r="C16" s="155">
        <v>41829</v>
      </c>
      <c r="D16" s="155">
        <v>41830</v>
      </c>
      <c r="E16" s="155">
        <v>41831</v>
      </c>
      <c r="F16" s="155">
        <v>41831</v>
      </c>
      <c r="G16" s="156">
        <f>AVERAGE(C16:F16)</f>
        <v>41830.25</v>
      </c>
      <c r="H16" s="157" t="s">
        <v>70</v>
      </c>
      <c r="I16" s="166">
        <v>41839</v>
      </c>
      <c r="J16" s="364">
        <f>I16-C16</f>
        <v>10</v>
      </c>
      <c r="K16" s="336"/>
      <c r="L16" s="364">
        <v>9</v>
      </c>
      <c r="M16" s="336"/>
      <c r="N16" s="364" t="s">
        <v>410</v>
      </c>
      <c r="O16" s="272"/>
      <c r="P16" s="365">
        <v>7</v>
      </c>
      <c r="Q16" s="261"/>
      <c r="R16" s="307"/>
      <c r="S16" s="307"/>
      <c r="T16" s="307"/>
      <c r="U16" s="307"/>
      <c r="V16" s="307"/>
      <c r="W16" s="307"/>
      <c r="X16" s="307"/>
      <c r="Y16" s="307"/>
      <c r="Z16" s="308"/>
    </row>
    <row r="17" spans="1:26" ht="15.75" customHeight="1" x14ac:dyDescent="0.2">
      <c r="A17" s="338" t="s">
        <v>71</v>
      </c>
      <c r="B17" s="368"/>
      <c r="C17" s="172">
        <v>41836</v>
      </c>
      <c r="D17" s="172">
        <v>41836</v>
      </c>
      <c r="E17" s="172">
        <v>41837</v>
      </c>
      <c r="F17" s="172">
        <v>41838</v>
      </c>
      <c r="G17" s="173">
        <f>AVERAGE(C17:E17)</f>
        <v>41836.333333333336</v>
      </c>
      <c r="H17" s="157" t="s">
        <v>72</v>
      </c>
      <c r="I17" s="166">
        <v>41839</v>
      </c>
      <c r="J17" s="357">
        <v>311</v>
      </c>
      <c r="K17" s="336"/>
      <c r="L17" s="356">
        <v>264</v>
      </c>
      <c r="M17" s="336"/>
      <c r="N17" s="366" t="s">
        <v>410</v>
      </c>
      <c r="O17" s="272"/>
      <c r="P17" s="367">
        <v>56</v>
      </c>
      <c r="Q17" s="261"/>
      <c r="R17" s="307"/>
      <c r="S17" s="307"/>
      <c r="T17" s="307"/>
      <c r="U17" s="307"/>
      <c r="V17" s="307"/>
      <c r="W17" s="307"/>
      <c r="X17" s="307"/>
      <c r="Y17" s="307"/>
      <c r="Z17" s="308"/>
    </row>
    <row r="18" spans="1:26"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6"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6" ht="15.75" customHeight="1" x14ac:dyDescent="0.2">
      <c r="A20" s="372" t="s">
        <v>79</v>
      </c>
      <c r="B20" s="373"/>
      <c r="C20" s="122" t="s">
        <v>459</v>
      </c>
      <c r="D20" s="122" t="s">
        <v>423</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46</v>
      </c>
      <c r="B21" s="373"/>
      <c r="C21" s="71" t="s">
        <v>354</v>
      </c>
      <c r="D21" s="71" t="s">
        <v>355</v>
      </c>
      <c r="E21" s="71" t="s">
        <v>356</v>
      </c>
      <c r="F21" s="71" t="s">
        <v>407</v>
      </c>
      <c r="G21" s="71" t="s">
        <v>29</v>
      </c>
      <c r="H21" s="176" t="s">
        <v>80</v>
      </c>
      <c r="I21" s="163">
        <v>41844</v>
      </c>
      <c r="J21" s="364">
        <v>15</v>
      </c>
      <c r="K21" s="336"/>
      <c r="L21" s="364">
        <v>14</v>
      </c>
      <c r="M21" s="336"/>
      <c r="N21" s="364" t="s">
        <v>410</v>
      </c>
      <c r="O21" s="272"/>
      <c r="P21" s="365" t="s">
        <v>410</v>
      </c>
      <c r="Q21" s="261"/>
      <c r="R21" s="307"/>
      <c r="S21" s="307"/>
      <c r="T21" s="307"/>
      <c r="U21" s="307"/>
      <c r="V21" s="307"/>
      <c r="W21" s="307"/>
      <c r="X21" s="307"/>
      <c r="Y21" s="307"/>
      <c r="Z21" s="308"/>
    </row>
    <row r="22" spans="1:26" ht="15.75" customHeight="1" x14ac:dyDescent="0.2">
      <c r="A22" s="372" t="s">
        <v>81</v>
      </c>
      <c r="B22" s="373"/>
      <c r="C22" s="177">
        <v>41854</v>
      </c>
      <c r="D22" s="177">
        <v>41854</v>
      </c>
      <c r="E22" s="71" t="s">
        <v>410</v>
      </c>
      <c r="F22" s="71" t="s">
        <v>410</v>
      </c>
      <c r="G22" s="106" t="s">
        <v>29</v>
      </c>
      <c r="H22" s="178" t="s">
        <v>82</v>
      </c>
      <c r="I22" s="166">
        <v>41844</v>
      </c>
      <c r="J22" s="357">
        <v>535</v>
      </c>
      <c r="K22" s="336"/>
      <c r="L22" s="356">
        <v>435</v>
      </c>
      <c r="M22" s="336"/>
      <c r="N22" s="366" t="s">
        <v>410</v>
      </c>
      <c r="O22" s="272"/>
      <c r="P22" s="367" t="s">
        <v>410</v>
      </c>
      <c r="Q22" s="261"/>
      <c r="R22" s="307"/>
      <c r="S22" s="307"/>
      <c r="T22" s="307"/>
      <c r="U22" s="307"/>
      <c r="V22" s="307"/>
      <c r="W22" s="307"/>
      <c r="X22" s="307"/>
      <c r="Y22" s="307"/>
      <c r="Z22" s="308"/>
    </row>
    <row r="23" spans="1:26" ht="15.75" customHeight="1" x14ac:dyDescent="0.2">
      <c r="A23" s="372" t="s">
        <v>12</v>
      </c>
      <c r="B23" s="373"/>
      <c r="C23" s="71">
        <v>168705290</v>
      </c>
      <c r="D23" s="71">
        <v>168705291</v>
      </c>
      <c r="E23" s="71" t="s">
        <v>410</v>
      </c>
      <c r="F23" s="71" t="s">
        <v>410</v>
      </c>
      <c r="G23" s="106" t="s">
        <v>29</v>
      </c>
      <c r="H23" s="178" t="s">
        <v>83</v>
      </c>
      <c r="I23" s="167"/>
      <c r="J23" s="354" t="s">
        <v>29</v>
      </c>
      <c r="K23" s="336"/>
      <c r="L23" s="372" t="s">
        <v>29</v>
      </c>
      <c r="M23" s="336"/>
      <c r="N23" s="380" t="s">
        <v>29</v>
      </c>
      <c r="O23" s="272"/>
      <c r="P23" s="371" t="s">
        <v>29</v>
      </c>
      <c r="Q23" s="261"/>
      <c r="R23" s="307"/>
      <c r="S23" s="307"/>
      <c r="T23" s="307"/>
      <c r="U23" s="307"/>
      <c r="V23" s="307"/>
      <c r="W23" s="307"/>
      <c r="X23" s="307"/>
      <c r="Y23" s="307"/>
      <c r="Z23" s="308"/>
    </row>
    <row r="24" spans="1:26" ht="15.75" customHeight="1" x14ac:dyDescent="0.2">
      <c r="A24" s="372" t="s">
        <v>84</v>
      </c>
      <c r="B24" s="373"/>
      <c r="C24" s="66" t="s">
        <v>410</v>
      </c>
      <c r="D24" s="71" t="s">
        <v>410</v>
      </c>
      <c r="E24" s="71" t="s">
        <v>410</v>
      </c>
      <c r="F24" s="71" t="s">
        <v>410</v>
      </c>
      <c r="G24" s="106"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6" ht="15.75" customHeight="1" x14ac:dyDescent="0.2">
      <c r="A25" s="372" t="s">
        <v>11</v>
      </c>
      <c r="B25" s="373"/>
      <c r="C25" s="71" t="s">
        <v>398</v>
      </c>
      <c r="D25" s="71" t="s">
        <v>413</v>
      </c>
      <c r="E25" s="71" t="s">
        <v>410</v>
      </c>
      <c r="F25" s="71" t="s">
        <v>410</v>
      </c>
      <c r="G25" s="106"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6" ht="15.75" customHeight="1" x14ac:dyDescent="0.2">
      <c r="A26" s="374" t="s">
        <v>85</v>
      </c>
      <c r="B26" s="375"/>
      <c r="C26" s="66" t="s">
        <v>410</v>
      </c>
      <c r="D26" s="71" t="s">
        <v>410</v>
      </c>
      <c r="E26" s="71" t="s">
        <v>408</v>
      </c>
      <c r="F26" s="177">
        <v>41843</v>
      </c>
      <c r="G26" s="106" t="s">
        <v>29</v>
      </c>
      <c r="H26" s="178" t="s">
        <v>86</v>
      </c>
      <c r="I26" s="167"/>
      <c r="J26" s="354" t="s">
        <v>29</v>
      </c>
      <c r="K26" s="336"/>
      <c r="L26" s="372" t="s">
        <v>29</v>
      </c>
      <c r="M26" s="336"/>
      <c r="N26" s="380" t="s">
        <v>29</v>
      </c>
      <c r="O26" s="272"/>
      <c r="P26" s="371" t="s">
        <v>29</v>
      </c>
      <c r="Q26" s="261"/>
      <c r="R26" s="307"/>
      <c r="S26" s="307"/>
      <c r="T26" s="307"/>
      <c r="U26" s="307"/>
      <c r="V26" s="307"/>
      <c r="W26" s="307"/>
      <c r="X26" s="307"/>
      <c r="Y26" s="307"/>
      <c r="Z26" s="308"/>
    </row>
    <row r="27" spans="1:26" ht="15.75" customHeight="1" x14ac:dyDescent="0.2">
      <c r="A27" s="378" t="s">
        <v>87</v>
      </c>
      <c r="B27" s="379"/>
      <c r="C27" s="71" t="s">
        <v>410</v>
      </c>
      <c r="D27" s="71" t="s">
        <v>410</v>
      </c>
      <c r="E27" s="71" t="s">
        <v>420</v>
      </c>
      <c r="F27" s="71">
        <v>13</v>
      </c>
      <c r="G27" s="106" t="s">
        <v>29</v>
      </c>
      <c r="H27" s="178" t="s">
        <v>88</v>
      </c>
      <c r="I27" s="167"/>
      <c r="J27" s="354" t="s">
        <v>29</v>
      </c>
      <c r="K27" s="336"/>
      <c r="L27" s="372" t="s">
        <v>29</v>
      </c>
      <c r="M27" s="336"/>
      <c r="N27" s="380" t="s">
        <v>29</v>
      </c>
      <c r="O27" s="272"/>
      <c r="P27" s="371" t="s">
        <v>29</v>
      </c>
      <c r="Q27" s="261"/>
      <c r="R27" s="307"/>
      <c r="S27" s="307"/>
      <c r="T27" s="307"/>
      <c r="U27" s="307"/>
      <c r="V27" s="307"/>
      <c r="W27" s="307"/>
      <c r="X27" s="307"/>
      <c r="Y27" s="307"/>
      <c r="Z27" s="308"/>
    </row>
    <row r="28" spans="1:26" ht="15.75" customHeight="1" x14ac:dyDescent="0.2">
      <c r="A28" s="126"/>
      <c r="B28" s="180"/>
      <c r="C28" s="181"/>
      <c r="D28" s="181"/>
      <c r="E28" s="181"/>
      <c r="F28" s="181"/>
      <c r="G28" s="181"/>
      <c r="H28" s="176" t="s">
        <v>80</v>
      </c>
      <c r="I28" s="163">
        <v>41849</v>
      </c>
      <c r="J28" s="364">
        <v>20</v>
      </c>
      <c r="K28" s="336"/>
      <c r="L28" s="364">
        <v>19</v>
      </c>
      <c r="M28" s="336"/>
      <c r="N28" s="364" t="s">
        <v>410</v>
      </c>
      <c r="O28" s="272"/>
      <c r="P28" s="365" t="s">
        <v>410</v>
      </c>
      <c r="Q28" s="261"/>
      <c r="R28" s="182"/>
      <c r="S28" s="181"/>
      <c r="T28" s="181"/>
      <c r="U28" s="181"/>
      <c r="V28" s="181"/>
      <c r="W28" s="181"/>
      <c r="X28" s="181"/>
      <c r="Y28" s="181"/>
      <c r="Z28" s="181"/>
    </row>
    <row r="29" spans="1:26" ht="18" customHeight="1" x14ac:dyDescent="0.2">
      <c r="H29" s="178" t="s">
        <v>82</v>
      </c>
      <c r="I29" s="163">
        <v>41849</v>
      </c>
      <c r="J29" s="357">
        <v>779</v>
      </c>
      <c r="K29" s="336"/>
      <c r="L29" s="356">
        <v>678</v>
      </c>
      <c r="M29" s="336"/>
      <c r="N29" s="366" t="s">
        <v>410</v>
      </c>
      <c r="O29" s="272"/>
      <c r="P29" s="367" t="s">
        <v>410</v>
      </c>
      <c r="Q29" s="261"/>
    </row>
    <row r="30" spans="1:26" ht="18" customHeight="1" x14ac:dyDescent="0.2">
      <c r="H30" s="178" t="s">
        <v>83</v>
      </c>
      <c r="I30" s="163">
        <v>41849</v>
      </c>
      <c r="J30" s="357" t="s">
        <v>369</v>
      </c>
      <c r="K30" s="336"/>
      <c r="L30" s="356" t="s">
        <v>369</v>
      </c>
      <c r="M30" s="336"/>
      <c r="N30" s="366" t="s">
        <v>29</v>
      </c>
      <c r="O30" s="272"/>
      <c r="P30" s="367" t="s">
        <v>29</v>
      </c>
      <c r="Q30" s="261"/>
    </row>
    <row r="31" spans="1:26" ht="18" customHeight="1" x14ac:dyDescent="0.2">
      <c r="H31" s="178" t="s">
        <v>67</v>
      </c>
      <c r="I31" s="167"/>
      <c r="J31" s="354" t="s">
        <v>29</v>
      </c>
      <c r="K31" s="336"/>
      <c r="L31" s="372" t="s">
        <v>29</v>
      </c>
      <c r="M31" s="336"/>
      <c r="N31" s="380" t="s">
        <v>29</v>
      </c>
      <c r="O31" s="272"/>
      <c r="P31" s="371" t="s">
        <v>29</v>
      </c>
      <c r="Q31" s="261"/>
    </row>
    <row r="32" spans="1:26" ht="18" customHeight="1" x14ac:dyDescent="0.2">
      <c r="H32" s="178" t="s">
        <v>68</v>
      </c>
      <c r="I32" s="167"/>
      <c r="J32" s="354" t="s">
        <v>29</v>
      </c>
      <c r="K32" s="336"/>
      <c r="L32" s="372" t="s">
        <v>29</v>
      </c>
      <c r="M32" s="336"/>
      <c r="N32" s="380" t="s">
        <v>29</v>
      </c>
      <c r="O32" s="272"/>
      <c r="P32" s="371" t="s">
        <v>29</v>
      </c>
      <c r="Q32" s="261"/>
    </row>
    <row r="33" spans="8:17" ht="18" customHeight="1" x14ac:dyDescent="0.2">
      <c r="H33" s="178" t="s">
        <v>86</v>
      </c>
      <c r="I33" s="167"/>
      <c r="J33" s="354" t="s">
        <v>29</v>
      </c>
      <c r="K33" s="336"/>
      <c r="L33" s="372" t="s">
        <v>29</v>
      </c>
      <c r="M33" s="336"/>
      <c r="N33" s="380" t="s">
        <v>29</v>
      </c>
      <c r="O33" s="272"/>
      <c r="P33" s="371" t="s">
        <v>29</v>
      </c>
      <c r="Q33" s="261"/>
    </row>
    <row r="34" spans="8:17" ht="18" customHeight="1" x14ac:dyDescent="0.2">
      <c r="H34" s="178" t="s">
        <v>88</v>
      </c>
      <c r="I34" s="167"/>
      <c r="J34" s="354" t="s">
        <v>29</v>
      </c>
      <c r="K34" s="336"/>
      <c r="L34" s="372" t="s">
        <v>29</v>
      </c>
      <c r="M34" s="336"/>
      <c r="N34" s="380" t="s">
        <v>29</v>
      </c>
      <c r="O34" s="272"/>
      <c r="P34" s="371" t="s">
        <v>29</v>
      </c>
      <c r="Q34" s="261"/>
    </row>
    <row r="35" spans="8:17" ht="18" customHeight="1" x14ac:dyDescent="0.2">
      <c r="H35" s="176" t="s">
        <v>80</v>
      </c>
      <c r="I35" s="163">
        <v>41854</v>
      </c>
      <c r="J35" s="364">
        <f>I35-C16</f>
        <v>25</v>
      </c>
      <c r="K35" s="336"/>
      <c r="L35" s="364">
        <v>24</v>
      </c>
      <c r="M35" s="336"/>
      <c r="N35" s="364" t="s">
        <v>410</v>
      </c>
      <c r="O35" s="272"/>
      <c r="P35" s="365" t="s">
        <v>410</v>
      </c>
      <c r="Q35" s="261"/>
    </row>
    <row r="36" spans="8:17" ht="18" customHeight="1" x14ac:dyDescent="0.2">
      <c r="H36" s="178" t="s">
        <v>82</v>
      </c>
      <c r="I36" s="166">
        <v>41854</v>
      </c>
      <c r="J36" s="357">
        <v>770</v>
      </c>
      <c r="K36" s="336"/>
      <c r="L36" s="356">
        <v>703</v>
      </c>
      <c r="M36" s="336"/>
      <c r="N36" s="366" t="s">
        <v>410</v>
      </c>
      <c r="O36" s="272"/>
      <c r="P36" s="367" t="s">
        <v>410</v>
      </c>
      <c r="Q36" s="261"/>
    </row>
    <row r="37" spans="8:17" ht="18" customHeight="1" x14ac:dyDescent="0.2">
      <c r="H37" s="178" t="s">
        <v>83</v>
      </c>
      <c r="I37" s="166">
        <v>41854</v>
      </c>
      <c r="J37" s="357" t="s">
        <v>369</v>
      </c>
      <c r="K37" s="336"/>
      <c r="L37" s="356" t="s">
        <v>369</v>
      </c>
      <c r="M37" s="336"/>
      <c r="N37" s="380" t="s">
        <v>29</v>
      </c>
      <c r="O37" s="272"/>
      <c r="P37" s="371" t="s">
        <v>29</v>
      </c>
      <c r="Q37" s="261"/>
    </row>
    <row r="38" spans="8:17" ht="18" customHeight="1" x14ac:dyDescent="0.2">
      <c r="H38" s="178" t="s">
        <v>67</v>
      </c>
      <c r="I38" s="167"/>
      <c r="J38" s="354" t="s">
        <v>29</v>
      </c>
      <c r="K38" s="336"/>
      <c r="L38" s="372" t="s">
        <v>29</v>
      </c>
      <c r="M38" s="336"/>
      <c r="N38" s="380" t="s">
        <v>29</v>
      </c>
      <c r="O38" s="272"/>
      <c r="P38" s="371" t="s">
        <v>29</v>
      </c>
      <c r="Q38" s="261"/>
    </row>
    <row r="39" spans="8:17" ht="18" customHeight="1" x14ac:dyDescent="0.2">
      <c r="H39" s="178" t="s">
        <v>68</v>
      </c>
      <c r="I39" s="167"/>
      <c r="J39" s="354" t="s">
        <v>29</v>
      </c>
      <c r="K39" s="336"/>
      <c r="L39" s="372" t="s">
        <v>29</v>
      </c>
      <c r="M39" s="336"/>
      <c r="N39" s="380" t="s">
        <v>29</v>
      </c>
      <c r="O39" s="272"/>
      <c r="P39" s="371" t="s">
        <v>29</v>
      </c>
      <c r="Q39" s="261"/>
    </row>
    <row r="40" spans="8:17" ht="18" customHeight="1" x14ac:dyDescent="0.2">
      <c r="H40" s="178" t="s">
        <v>86</v>
      </c>
      <c r="I40" s="167"/>
      <c r="J40" s="354" t="s">
        <v>29</v>
      </c>
      <c r="K40" s="336"/>
      <c r="L40" s="372" t="s">
        <v>29</v>
      </c>
      <c r="M40" s="336"/>
      <c r="N40" s="380" t="s">
        <v>29</v>
      </c>
      <c r="O40" s="272"/>
      <c r="P40" s="371" t="s">
        <v>29</v>
      </c>
      <c r="Q40" s="261"/>
    </row>
    <row r="41" spans="8:17" ht="18" customHeight="1" x14ac:dyDescent="0.2">
      <c r="H41" s="178" t="s">
        <v>88</v>
      </c>
      <c r="I41" s="167"/>
      <c r="J41" s="354" t="s">
        <v>29</v>
      </c>
      <c r="K41" s="336"/>
      <c r="L41" s="372" t="s">
        <v>29</v>
      </c>
      <c r="M41" s="336"/>
      <c r="N41" s="380" t="s">
        <v>29</v>
      </c>
      <c r="O41" s="272"/>
      <c r="P41" s="371" t="s">
        <v>29</v>
      </c>
      <c r="Q41" s="261"/>
    </row>
    <row r="42" spans="8:17" ht="18" customHeight="1" x14ac:dyDescent="0.2">
      <c r="H42" s="176" t="s">
        <v>80</v>
      </c>
      <c r="I42" s="163">
        <v>41862</v>
      </c>
      <c r="J42" s="364">
        <f>I42-C16</f>
        <v>33</v>
      </c>
      <c r="K42" s="336"/>
      <c r="L42" s="364">
        <v>32</v>
      </c>
      <c r="M42" s="336"/>
      <c r="N42" s="364" t="s">
        <v>410</v>
      </c>
      <c r="O42" s="272"/>
      <c r="P42" s="365" t="s">
        <v>410</v>
      </c>
      <c r="Q42" s="261"/>
    </row>
    <row r="43" spans="8:17" ht="18" customHeight="1" x14ac:dyDescent="0.2">
      <c r="H43" s="178" t="s">
        <v>82</v>
      </c>
      <c r="I43" s="166">
        <v>41862</v>
      </c>
      <c r="J43" s="357">
        <v>816</v>
      </c>
      <c r="K43" s="336"/>
      <c r="L43" s="356">
        <v>737</v>
      </c>
      <c r="M43" s="336"/>
      <c r="N43" s="366" t="s">
        <v>410</v>
      </c>
      <c r="O43" s="272"/>
      <c r="P43" s="367" t="s">
        <v>410</v>
      </c>
      <c r="Q43" s="261"/>
    </row>
    <row r="44" spans="8:17" ht="18" customHeight="1" x14ac:dyDescent="0.2">
      <c r="H44" s="178" t="s">
        <v>83</v>
      </c>
      <c r="I44" s="167"/>
      <c r="J44" s="354" t="s">
        <v>29</v>
      </c>
      <c r="K44" s="336"/>
      <c r="L44" s="372" t="s">
        <v>29</v>
      </c>
      <c r="M44" s="336"/>
      <c r="N44" s="380" t="s">
        <v>29</v>
      </c>
      <c r="O44" s="272"/>
      <c r="P44" s="371" t="s">
        <v>29</v>
      </c>
      <c r="Q44" s="261"/>
    </row>
    <row r="45" spans="8:17" ht="18" customHeight="1" x14ac:dyDescent="0.2">
      <c r="H45" s="178" t="s">
        <v>67</v>
      </c>
      <c r="I45" s="167"/>
      <c r="J45" s="354" t="s">
        <v>29</v>
      </c>
      <c r="K45" s="336"/>
      <c r="L45" s="372" t="s">
        <v>29</v>
      </c>
      <c r="M45" s="336"/>
      <c r="N45" s="380" t="s">
        <v>29</v>
      </c>
      <c r="O45" s="272"/>
      <c r="P45" s="371" t="s">
        <v>29</v>
      </c>
      <c r="Q45" s="261"/>
    </row>
    <row r="46" spans="8:17" ht="18" customHeight="1" x14ac:dyDescent="0.2">
      <c r="H46" s="178" t="s">
        <v>68</v>
      </c>
      <c r="I46" s="167"/>
      <c r="J46" s="354" t="s">
        <v>29</v>
      </c>
      <c r="K46" s="336"/>
      <c r="L46" s="372" t="s">
        <v>29</v>
      </c>
      <c r="M46" s="336"/>
      <c r="N46" s="380" t="s">
        <v>29</v>
      </c>
      <c r="O46" s="272"/>
      <c r="P46" s="371" t="s">
        <v>29</v>
      </c>
      <c r="Q46" s="261"/>
    </row>
    <row r="47" spans="8:17" ht="18" customHeight="1" x14ac:dyDescent="0.2">
      <c r="H47" s="178" t="s">
        <v>86</v>
      </c>
      <c r="I47" s="167"/>
      <c r="J47" s="354" t="s">
        <v>29</v>
      </c>
      <c r="K47" s="336"/>
      <c r="L47" s="372" t="s">
        <v>29</v>
      </c>
      <c r="M47" s="336"/>
      <c r="N47" s="380" t="s">
        <v>29</v>
      </c>
      <c r="O47" s="272"/>
      <c r="P47" s="371" t="s">
        <v>29</v>
      </c>
      <c r="Q47" s="261"/>
    </row>
    <row r="48" spans="8:17" ht="18" customHeight="1" x14ac:dyDescent="0.2">
      <c r="H48" s="178" t="s">
        <v>88</v>
      </c>
      <c r="I48" s="167"/>
      <c r="J48" s="354" t="s">
        <v>29</v>
      </c>
      <c r="K48" s="336"/>
      <c r="L48" s="372" t="s">
        <v>29</v>
      </c>
      <c r="M48" s="336"/>
      <c r="N48" s="380" t="s">
        <v>29</v>
      </c>
      <c r="O48" s="272"/>
      <c r="P48" s="371" t="s">
        <v>29</v>
      </c>
      <c r="Q48" s="261"/>
    </row>
  </sheetData>
  <mergeCells count="212">
    <mergeCell ref="J34:K34"/>
    <mergeCell ref="L34:M34"/>
    <mergeCell ref="N34:O34"/>
    <mergeCell ref="P34:Q34"/>
    <mergeCell ref="J31:K31"/>
    <mergeCell ref="L31:M31"/>
    <mergeCell ref="N31:O31"/>
    <mergeCell ref="P31:Q31"/>
    <mergeCell ref="J32:K32"/>
    <mergeCell ref="L32:M32"/>
    <mergeCell ref="N32:O32"/>
    <mergeCell ref="P32:Q32"/>
    <mergeCell ref="J33:K33"/>
    <mergeCell ref="L33:M33"/>
    <mergeCell ref="N33:O33"/>
    <mergeCell ref="P33:Q33"/>
    <mergeCell ref="J28:K28"/>
    <mergeCell ref="L28:M28"/>
    <mergeCell ref="N28:O28"/>
    <mergeCell ref="P28:Q28"/>
    <mergeCell ref="J29:K29"/>
    <mergeCell ref="L29:M29"/>
    <mergeCell ref="N29:O29"/>
    <mergeCell ref="P29:Q29"/>
    <mergeCell ref="J30:K30"/>
    <mergeCell ref="L30:M30"/>
    <mergeCell ref="N30:O30"/>
    <mergeCell ref="P30:Q30"/>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 ref="J35:K35"/>
    <mergeCell ref="L35:M35"/>
    <mergeCell ref="N35:O35"/>
    <mergeCell ref="P35:Q35"/>
    <mergeCell ref="J36:K36"/>
    <mergeCell ref="L36:M36"/>
    <mergeCell ref="N36:O36"/>
    <mergeCell ref="P36:Q36"/>
    <mergeCell ref="J37:K37"/>
    <mergeCell ref="L37:M37"/>
    <mergeCell ref="N37:O37"/>
    <mergeCell ref="P37:Q37"/>
    <mergeCell ref="J38:K38"/>
    <mergeCell ref="L38:M38"/>
    <mergeCell ref="N38:O38"/>
    <mergeCell ref="P38:Q38"/>
    <mergeCell ref="J39:K39"/>
    <mergeCell ref="L39:M39"/>
    <mergeCell ref="N39:O39"/>
    <mergeCell ref="P39:Q39"/>
    <mergeCell ref="J40:K40"/>
    <mergeCell ref="L40:M40"/>
    <mergeCell ref="N40:O40"/>
    <mergeCell ref="P40:Q40"/>
    <mergeCell ref="J41:K41"/>
    <mergeCell ref="L41:M41"/>
    <mergeCell ref="N41:O41"/>
    <mergeCell ref="P41:Q41"/>
    <mergeCell ref="J42:K42"/>
    <mergeCell ref="L42:M42"/>
    <mergeCell ref="N42:O42"/>
    <mergeCell ref="P42:Q42"/>
    <mergeCell ref="J43:K43"/>
    <mergeCell ref="L43:M43"/>
    <mergeCell ref="N43:O43"/>
    <mergeCell ref="P43:Q43"/>
    <mergeCell ref="J47:K47"/>
    <mergeCell ref="L47:M47"/>
    <mergeCell ref="N47:O47"/>
    <mergeCell ref="P47:Q47"/>
    <mergeCell ref="J48:K48"/>
    <mergeCell ref="L48:M48"/>
    <mergeCell ref="N48:O48"/>
    <mergeCell ref="P48:Q48"/>
    <mergeCell ref="J44:K44"/>
    <mergeCell ref="L44:M44"/>
    <mergeCell ref="N44:O44"/>
    <mergeCell ref="P44:Q44"/>
    <mergeCell ref="J45:K45"/>
    <mergeCell ref="L45:M45"/>
    <mergeCell ref="N45:O45"/>
    <mergeCell ref="P45:Q45"/>
    <mergeCell ref="J46:K46"/>
    <mergeCell ref="L46:M46"/>
    <mergeCell ref="N46:O46"/>
    <mergeCell ref="P46:Q46"/>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13</v>
      </c>
      <c r="G1" s="226" t="s">
        <v>3</v>
      </c>
      <c r="H1" s="216" t="s">
        <v>4</v>
      </c>
      <c r="I1" s="329" t="s">
        <v>5</v>
      </c>
      <c r="J1" s="261"/>
      <c r="K1" s="262" t="s">
        <v>189</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368</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14</v>
      </c>
      <c r="G1" s="226" t="s">
        <v>3</v>
      </c>
      <c r="H1" s="216" t="s">
        <v>4</v>
      </c>
      <c r="I1" s="329" t="s">
        <v>5</v>
      </c>
      <c r="J1" s="261"/>
      <c r="K1" s="330"/>
      <c r="L1" s="331"/>
      <c r="M1" s="331"/>
      <c r="N1" s="331"/>
      <c r="O1" s="332"/>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164</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J29" sqref="J29:O49"/>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15</v>
      </c>
      <c r="G1" s="226" t="s">
        <v>3</v>
      </c>
      <c r="H1" s="216" t="s">
        <v>4</v>
      </c>
      <c r="I1" s="329" t="s">
        <v>5</v>
      </c>
      <c r="J1" s="261"/>
      <c r="K1" s="330"/>
      <c r="L1" s="331"/>
      <c r="M1" s="331"/>
      <c r="N1" s="331"/>
      <c r="O1" s="332"/>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294</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8"/>
  <sheetViews>
    <sheetView workbookViewId="0">
      <selection activeCell="AB19" sqref="AB19"/>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3" width="6.140625" style="25" customWidth="1"/>
    <col min="14" max="16" width="5" style="25" customWidth="1"/>
    <col min="17" max="17" width="4.85546875" style="25" customWidth="1"/>
    <col min="18" max="18" width="6.2851562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6.140625" style="25" customWidth="1"/>
    <col min="28" max="29" width="11.85546875" style="25"/>
    <col min="30" max="30" width="12.5703125" style="25" customWidth="1"/>
    <col min="31" max="16384" width="11.85546875" style="25"/>
  </cols>
  <sheetData>
    <row r="1" spans="1:31" ht="12.75" x14ac:dyDescent="0.2">
      <c r="A1" s="132" t="s">
        <v>0</v>
      </c>
      <c r="B1" s="216">
        <v>2014</v>
      </c>
      <c r="C1" s="132" t="s">
        <v>1</v>
      </c>
      <c r="D1" s="216"/>
      <c r="E1" s="132" t="s">
        <v>2</v>
      </c>
      <c r="F1" s="216">
        <v>16</v>
      </c>
      <c r="G1" s="226" t="s">
        <v>3</v>
      </c>
      <c r="H1" s="216" t="s">
        <v>4</v>
      </c>
      <c r="I1" s="329" t="s">
        <v>5</v>
      </c>
      <c r="J1" s="261"/>
      <c r="K1" s="330"/>
      <c r="L1" s="331"/>
      <c r="M1" s="331"/>
      <c r="N1" s="331"/>
      <c r="O1" s="332"/>
      <c r="P1" s="333" t="s">
        <v>6</v>
      </c>
      <c r="Q1" s="261"/>
      <c r="R1" s="334"/>
      <c r="S1" s="272"/>
      <c r="T1" s="135"/>
      <c r="U1" s="135"/>
      <c r="V1" s="135"/>
      <c r="W1" s="135"/>
      <c r="X1" s="135"/>
      <c r="Y1" s="135"/>
      <c r="Z1" s="136"/>
    </row>
    <row r="2" spans="1:31"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1"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1"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c r="AE4" s="95" t="s">
        <v>287</v>
      </c>
    </row>
    <row r="5" spans="1:31" ht="15.75" customHeight="1" x14ac:dyDescent="0.2">
      <c r="A5" s="71" t="s">
        <v>103</v>
      </c>
      <c r="B5" s="144">
        <v>41807</v>
      </c>
      <c r="C5" s="71" t="s">
        <v>29</v>
      </c>
      <c r="D5" s="71" t="s">
        <v>29</v>
      </c>
      <c r="E5" s="71" t="s">
        <v>271</v>
      </c>
      <c r="F5" s="71" t="s">
        <v>272</v>
      </c>
      <c r="G5" s="71" t="s">
        <v>264</v>
      </c>
      <c r="H5" s="71" t="s">
        <v>29</v>
      </c>
      <c r="I5" s="80" t="s">
        <v>29</v>
      </c>
      <c r="J5" s="80">
        <v>972</v>
      </c>
      <c r="K5" s="80">
        <v>4</v>
      </c>
      <c r="L5" s="91">
        <v>61</v>
      </c>
      <c r="M5" s="91" t="s">
        <v>29</v>
      </c>
      <c r="N5" s="80">
        <v>353</v>
      </c>
      <c r="O5" s="80">
        <v>170</v>
      </c>
      <c r="P5" s="145" t="s">
        <v>29</v>
      </c>
      <c r="Q5" s="145">
        <v>23</v>
      </c>
      <c r="R5" s="142" t="s">
        <v>29</v>
      </c>
      <c r="S5" s="142" t="s">
        <v>29</v>
      </c>
      <c r="T5" s="142" t="s">
        <v>29</v>
      </c>
      <c r="U5" s="71" t="s">
        <v>216</v>
      </c>
      <c r="V5" s="71" t="s">
        <v>205</v>
      </c>
      <c r="W5" s="71" t="s">
        <v>205</v>
      </c>
      <c r="X5" s="142" t="s">
        <v>29</v>
      </c>
      <c r="Y5" s="142" t="s">
        <v>29</v>
      </c>
      <c r="Z5" s="142" t="s">
        <v>29</v>
      </c>
      <c r="AA5" s="69" t="s">
        <v>112</v>
      </c>
      <c r="AB5" s="69" t="s">
        <v>205</v>
      </c>
      <c r="AC5" s="69" t="s">
        <v>273</v>
      </c>
      <c r="AE5" s="96">
        <v>69.5</v>
      </c>
    </row>
    <row r="6" spans="1:31"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1" ht="15.75" customHeight="1" x14ac:dyDescent="0.2">
      <c r="A7" s="154" t="s">
        <v>45</v>
      </c>
      <c r="B7" s="142"/>
      <c r="C7" s="155">
        <v>41794</v>
      </c>
      <c r="D7" s="155">
        <v>41796</v>
      </c>
      <c r="E7" s="155">
        <v>41798</v>
      </c>
      <c r="F7" s="155">
        <v>41800</v>
      </c>
      <c r="G7" s="156">
        <f>AVERAGE(C7:F7)</f>
        <v>41797</v>
      </c>
      <c r="H7" s="157" t="s">
        <v>46</v>
      </c>
      <c r="I7" s="158"/>
      <c r="J7" s="276" t="s">
        <v>360</v>
      </c>
      <c r="K7" s="267"/>
      <c r="L7" s="346" t="s">
        <v>361</v>
      </c>
      <c r="M7" s="267"/>
      <c r="N7" s="346" t="s">
        <v>29</v>
      </c>
      <c r="O7" s="267"/>
      <c r="P7" s="347" t="s">
        <v>29</v>
      </c>
      <c r="Q7" s="267"/>
      <c r="R7" s="159" t="s">
        <v>47</v>
      </c>
      <c r="S7" s="160"/>
      <c r="T7" s="224" t="s">
        <v>29</v>
      </c>
      <c r="U7" s="348" t="s">
        <v>48</v>
      </c>
      <c r="V7" s="348"/>
      <c r="W7" s="348"/>
      <c r="X7" s="349" t="s">
        <v>29</v>
      </c>
      <c r="Y7" s="350"/>
      <c r="Z7" s="351"/>
    </row>
    <row r="8" spans="1:31" ht="15.75" customHeight="1" x14ac:dyDescent="0.2">
      <c r="A8" s="161" t="s">
        <v>49</v>
      </c>
      <c r="B8" s="142" t="s">
        <v>29</v>
      </c>
      <c r="C8" s="142" t="s">
        <v>29</v>
      </c>
      <c r="D8" s="142" t="s">
        <v>29</v>
      </c>
      <c r="E8" s="142" t="s">
        <v>29</v>
      </c>
      <c r="F8" s="142" t="s">
        <v>29</v>
      </c>
      <c r="G8" s="228"/>
      <c r="H8" s="157" t="s">
        <v>50</v>
      </c>
      <c r="I8" s="163">
        <v>41842</v>
      </c>
      <c r="J8" s="341">
        <f>IF(((I8-C16)&gt;0),(I8-C16),"/")</f>
        <v>41842</v>
      </c>
      <c r="K8" s="336"/>
      <c r="L8" s="341">
        <f>IF(((I8-D16)&gt;0),(I8-D16),"/")</f>
        <v>41842</v>
      </c>
      <c r="M8" s="336"/>
      <c r="N8" s="341">
        <f>IF(((I8-E16)&gt;0),(I8-E16),"/")</f>
        <v>41842</v>
      </c>
      <c r="O8" s="336"/>
      <c r="P8" s="341">
        <f>IF(((I8-F16)&gt;0),(I8-F16),"/")</f>
        <v>41842</v>
      </c>
      <c r="Q8" s="336"/>
      <c r="R8" s="164" t="s">
        <v>51</v>
      </c>
      <c r="S8" s="165"/>
      <c r="T8" s="224" t="s">
        <v>29</v>
      </c>
      <c r="U8" s="342" t="s">
        <v>52</v>
      </c>
      <c r="V8" s="342"/>
      <c r="W8" s="342"/>
      <c r="X8" s="343" t="s">
        <v>29</v>
      </c>
      <c r="Y8" s="344"/>
      <c r="Z8" s="345"/>
    </row>
    <row r="9" spans="1:31" ht="15.75" customHeight="1" x14ac:dyDescent="0.2">
      <c r="A9" s="161" t="s">
        <v>49</v>
      </c>
      <c r="B9" s="142" t="s">
        <v>29</v>
      </c>
      <c r="C9" s="142" t="s">
        <v>29</v>
      </c>
      <c r="D9" s="142" t="s">
        <v>29</v>
      </c>
      <c r="E9" s="142" t="s">
        <v>29</v>
      </c>
      <c r="F9" s="142" t="s">
        <v>29</v>
      </c>
      <c r="G9" s="228"/>
      <c r="H9" s="157" t="s">
        <v>53</v>
      </c>
      <c r="I9" s="166">
        <v>41842</v>
      </c>
      <c r="J9" s="355">
        <v>396</v>
      </c>
      <c r="K9" s="336"/>
      <c r="L9" s="356">
        <v>467</v>
      </c>
      <c r="M9" s="336"/>
      <c r="N9" s="356" t="s">
        <v>29</v>
      </c>
      <c r="O9" s="336"/>
      <c r="P9" s="357" t="s">
        <v>29</v>
      </c>
      <c r="Q9" s="336"/>
      <c r="R9" s="164" t="s">
        <v>54</v>
      </c>
      <c r="S9" s="165"/>
      <c r="T9" s="224" t="s">
        <v>29</v>
      </c>
      <c r="U9" s="342" t="s">
        <v>55</v>
      </c>
      <c r="V9" s="342"/>
      <c r="W9" s="342"/>
      <c r="X9" s="343" t="s">
        <v>29</v>
      </c>
      <c r="Y9" s="344"/>
      <c r="Z9" s="345"/>
    </row>
    <row r="10" spans="1:31"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1"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1" ht="15.75" customHeight="1" x14ac:dyDescent="0.2">
      <c r="A12" s="161" t="s">
        <v>49</v>
      </c>
      <c r="B12" s="142" t="s">
        <v>29</v>
      </c>
      <c r="C12" s="142" t="s">
        <v>29</v>
      </c>
      <c r="D12" s="142" t="s">
        <v>29</v>
      </c>
      <c r="E12" s="142" t="s">
        <v>29</v>
      </c>
      <c r="F12" s="142" t="s">
        <v>29</v>
      </c>
      <c r="G12" s="228"/>
      <c r="H12" s="157" t="s">
        <v>62</v>
      </c>
      <c r="I12" s="166">
        <v>41862</v>
      </c>
      <c r="J12" s="355">
        <v>883</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1"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1"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1"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388</v>
      </c>
      <c r="S15" s="305"/>
      <c r="T15" s="305"/>
      <c r="U15" s="305"/>
      <c r="V15" s="305"/>
      <c r="W15" s="305"/>
      <c r="X15" s="305"/>
      <c r="Y15" s="305"/>
      <c r="Z15" s="306"/>
    </row>
    <row r="16" spans="1:31"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-41794</v>
      </c>
      <c r="D17" s="172">
        <f>D16-D7</f>
        <v>-41796</v>
      </c>
      <c r="E17" s="172">
        <f>E16-E7</f>
        <v>-41798</v>
      </c>
      <c r="F17" s="172">
        <f>F16-F7</f>
        <v>-41800</v>
      </c>
      <c r="G17" s="173">
        <f>AVERAGE(C17:E17)</f>
        <v>-41796</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460</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461</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177">
        <v>41862</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462</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413</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17</v>
      </c>
      <c r="G1" s="226" t="s">
        <v>3</v>
      </c>
      <c r="H1" s="216" t="s">
        <v>4</v>
      </c>
      <c r="I1" s="329" t="s">
        <v>5</v>
      </c>
      <c r="J1" s="261"/>
      <c r="K1" s="330"/>
      <c r="L1" s="331"/>
      <c r="M1" s="331"/>
      <c r="N1" s="331"/>
      <c r="O1" s="332"/>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194</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B19" sqref="AB19"/>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9" style="25" customWidth="1"/>
    <col min="5" max="5" width="10.42578125" style="25" customWidth="1"/>
    <col min="6" max="6" width="9.5703125" style="25" customWidth="1"/>
    <col min="7" max="7" width="10.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18</v>
      </c>
      <c r="G1" s="226" t="s">
        <v>3</v>
      </c>
      <c r="H1" s="216" t="s">
        <v>4</v>
      </c>
      <c r="I1" s="329" t="s">
        <v>5</v>
      </c>
      <c r="J1" s="261"/>
      <c r="K1" s="330"/>
      <c r="L1" s="331"/>
      <c r="M1" s="331"/>
      <c r="N1" s="331"/>
      <c r="O1" s="332"/>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v>5</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41861</v>
      </c>
      <c r="J8" s="341">
        <f>IF(((I8-C16)&gt;0),(I8-C16),"/")</f>
        <v>41861</v>
      </c>
      <c r="K8" s="336"/>
      <c r="L8" s="341">
        <f>IF(((I8-D16)&gt;0),(I8-D16),"/")</f>
        <v>41861</v>
      </c>
      <c r="M8" s="336"/>
      <c r="N8" s="341">
        <f>IF(((I8-E16)&gt;0),(I8-E16),"/")</f>
        <v>41861</v>
      </c>
      <c r="O8" s="336"/>
      <c r="P8" s="341">
        <f>IF(((I8-F16)&gt;0),(I8-F16),"/")</f>
        <v>41861</v>
      </c>
      <c r="Q8" s="336"/>
      <c r="R8" s="164" t="s">
        <v>51</v>
      </c>
      <c r="S8" s="165"/>
      <c r="T8" s="224">
        <v>0</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480</v>
      </c>
      <c r="K9" s="336"/>
      <c r="L9" s="356" t="s">
        <v>29</v>
      </c>
      <c r="M9" s="336"/>
      <c r="N9" s="356" t="s">
        <v>29</v>
      </c>
      <c r="O9" s="336"/>
      <c r="P9" s="357" t="s">
        <v>29</v>
      </c>
      <c r="Q9" s="336"/>
      <c r="R9" s="164" t="s">
        <v>54</v>
      </c>
      <c r="S9" s="165"/>
      <c r="T9" s="224">
        <v>5</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v>5</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v>5</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v>0</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405</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394</v>
      </c>
      <c r="D20" s="122" t="s">
        <v>394</v>
      </c>
      <c r="E20" s="122" t="s">
        <v>395</v>
      </c>
      <c r="F20" s="122" t="s">
        <v>395</v>
      </c>
      <c r="G20" s="122" t="s">
        <v>395</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406</v>
      </c>
      <c r="D22" s="71" t="s">
        <v>406</v>
      </c>
      <c r="E22" s="71" t="s">
        <v>406</v>
      </c>
      <c r="F22" s="71" t="s">
        <v>406</v>
      </c>
      <c r="G22" s="71" t="s">
        <v>406</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v>185714505</v>
      </c>
      <c r="D23" s="71">
        <v>185714506</v>
      </c>
      <c r="E23" s="71">
        <v>194719226</v>
      </c>
      <c r="F23" s="71">
        <v>194719228</v>
      </c>
      <c r="G23" s="224">
        <v>194719227</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397</v>
      </c>
      <c r="D25" s="71" t="s">
        <v>463</v>
      </c>
      <c r="E25" s="71" t="s">
        <v>397</v>
      </c>
      <c r="F25" s="71" t="s">
        <v>463</v>
      </c>
      <c r="G25" s="224" t="s">
        <v>400</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3"/>
  <sheetViews>
    <sheetView topLeftCell="A3" workbookViewId="0">
      <selection activeCell="R17" sqref="R17:Z29"/>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7109375" style="25" bestFit="1" customWidth="1"/>
    <col min="6" max="6" width="7.570312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12.85546875" style="25" bestFit="1" customWidth="1"/>
    <col min="28" max="29" width="11.85546875" style="25"/>
    <col min="30" max="30" width="12.5703125" style="25" customWidth="1"/>
    <col min="31" max="16384" width="11.85546875" style="25"/>
  </cols>
  <sheetData>
    <row r="1" spans="1:33" ht="12.75" x14ac:dyDescent="0.2">
      <c r="A1" s="132" t="s">
        <v>0</v>
      </c>
      <c r="B1" s="216">
        <v>2014</v>
      </c>
      <c r="C1" s="132" t="s">
        <v>1</v>
      </c>
      <c r="D1" s="216"/>
      <c r="E1" s="132" t="s">
        <v>2</v>
      </c>
      <c r="F1" s="216">
        <v>19</v>
      </c>
      <c r="G1" s="226" t="s">
        <v>3</v>
      </c>
      <c r="H1" s="216" t="s">
        <v>4</v>
      </c>
      <c r="I1" s="329" t="s">
        <v>5</v>
      </c>
      <c r="J1" s="261"/>
      <c r="K1" s="262" t="s">
        <v>311</v>
      </c>
      <c r="L1" s="261"/>
      <c r="M1" s="261"/>
      <c r="N1" s="261"/>
      <c r="O1" s="261"/>
      <c r="P1" s="333" t="s">
        <v>6</v>
      </c>
      <c r="Q1" s="261"/>
      <c r="R1" s="334"/>
      <c r="S1" s="272"/>
      <c r="T1" s="135"/>
      <c r="U1" s="135"/>
      <c r="V1" s="135"/>
      <c r="W1" s="135"/>
      <c r="X1" s="135"/>
      <c r="Y1" s="135"/>
      <c r="Z1" s="136"/>
    </row>
    <row r="2" spans="1:33"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c r="AE2" s="95" t="s">
        <v>346</v>
      </c>
      <c r="AF2" s="95" t="s">
        <v>347</v>
      </c>
      <c r="AG2" s="95" t="s">
        <v>348</v>
      </c>
    </row>
    <row r="3" spans="1:33" ht="15.75" customHeight="1" x14ac:dyDescent="0.2">
      <c r="A3" s="71" t="s">
        <v>103</v>
      </c>
      <c r="B3" s="144">
        <v>41781</v>
      </c>
      <c r="C3" s="71" t="s">
        <v>108</v>
      </c>
      <c r="D3" s="71" t="s">
        <v>29</v>
      </c>
      <c r="E3" s="194">
        <v>220609874</v>
      </c>
      <c r="F3" s="71" t="s">
        <v>133</v>
      </c>
      <c r="G3" s="71" t="s">
        <v>215</v>
      </c>
      <c r="H3" s="71" t="s">
        <v>29</v>
      </c>
      <c r="I3" s="71" t="s">
        <v>29</v>
      </c>
      <c r="J3" s="71">
        <v>710</v>
      </c>
      <c r="K3" s="71">
        <v>4</v>
      </c>
      <c r="L3" s="141" t="s">
        <v>29</v>
      </c>
      <c r="M3" s="141" t="s">
        <v>29</v>
      </c>
      <c r="N3" s="71">
        <v>321</v>
      </c>
      <c r="O3" s="71">
        <v>141</v>
      </c>
      <c r="P3" s="142" t="s">
        <v>29</v>
      </c>
      <c r="Q3" s="142" t="s">
        <v>29</v>
      </c>
      <c r="R3" s="142" t="s">
        <v>29</v>
      </c>
      <c r="S3" s="142" t="s">
        <v>29</v>
      </c>
      <c r="T3" s="142" t="s">
        <v>29</v>
      </c>
      <c r="U3" s="71" t="s">
        <v>4</v>
      </c>
      <c r="V3" s="71" t="s">
        <v>130</v>
      </c>
      <c r="W3" s="71" t="s">
        <v>131</v>
      </c>
      <c r="X3" s="142" t="s">
        <v>29</v>
      </c>
      <c r="Y3" s="143" t="s">
        <v>29</v>
      </c>
      <c r="Z3" s="143" t="s">
        <v>29</v>
      </c>
      <c r="AA3" s="69" t="s">
        <v>132</v>
      </c>
      <c r="AB3" s="69" t="s">
        <v>205</v>
      </c>
      <c r="AC3" s="69" t="s">
        <v>134</v>
      </c>
      <c r="AE3" s="69" t="s">
        <v>216</v>
      </c>
      <c r="AF3" s="96">
        <v>44</v>
      </c>
      <c r="AG3" s="96">
        <v>3.6</v>
      </c>
    </row>
    <row r="4" spans="1:33" ht="15.75" customHeight="1" x14ac:dyDescent="0.2">
      <c r="A4" s="71" t="s">
        <v>103</v>
      </c>
      <c r="B4" s="144">
        <v>41801</v>
      </c>
      <c r="C4" s="71"/>
      <c r="D4" s="71"/>
      <c r="E4" s="194"/>
      <c r="F4" s="71" t="s">
        <v>133</v>
      </c>
      <c r="G4" s="71" t="s">
        <v>225</v>
      </c>
      <c r="H4" s="71"/>
      <c r="I4" s="71"/>
      <c r="J4" s="71"/>
      <c r="K4" s="71"/>
      <c r="L4" s="192"/>
      <c r="M4" s="193"/>
      <c r="N4" s="71"/>
      <c r="O4" s="71"/>
      <c r="P4" s="142"/>
      <c r="Q4" s="222"/>
      <c r="R4" s="232"/>
      <c r="S4" s="142"/>
      <c r="T4" s="142"/>
      <c r="U4" s="71"/>
      <c r="V4" s="71"/>
      <c r="W4" s="71"/>
      <c r="X4" s="142"/>
      <c r="Y4" s="195"/>
      <c r="Z4" s="196"/>
      <c r="AA4" s="66"/>
      <c r="AC4" s="66"/>
      <c r="AD4" s="69" t="s">
        <v>205</v>
      </c>
      <c r="AE4" s="96"/>
      <c r="AF4" s="96"/>
      <c r="AG4" s="96"/>
    </row>
    <row r="5" spans="1:33" ht="27.75" customHeight="1" x14ac:dyDescent="0.2">
      <c r="A5" s="68" t="s">
        <v>30</v>
      </c>
      <c r="B5" s="139" t="s">
        <v>9</v>
      </c>
      <c r="C5" s="139" t="s">
        <v>10</v>
      </c>
      <c r="D5" s="139" t="s">
        <v>11</v>
      </c>
      <c r="E5" s="139" t="s">
        <v>12</v>
      </c>
      <c r="F5" s="139" t="s">
        <v>13</v>
      </c>
      <c r="G5" s="139" t="s">
        <v>14</v>
      </c>
      <c r="H5" s="139" t="s">
        <v>15</v>
      </c>
      <c r="I5" s="139" t="s">
        <v>16</v>
      </c>
      <c r="J5" s="139" t="s">
        <v>31</v>
      </c>
      <c r="K5" s="139" t="s">
        <v>32</v>
      </c>
      <c r="L5" s="338" t="s">
        <v>19</v>
      </c>
      <c r="M5" s="336"/>
      <c r="N5" s="139" t="s">
        <v>20</v>
      </c>
      <c r="O5" s="139" t="s">
        <v>21</v>
      </c>
      <c r="P5" s="139" t="s">
        <v>22</v>
      </c>
      <c r="Q5" s="338" t="s">
        <v>23</v>
      </c>
      <c r="R5" s="336"/>
      <c r="S5" s="139" t="s">
        <v>24</v>
      </c>
      <c r="T5" s="139" t="s">
        <v>25</v>
      </c>
      <c r="U5" s="139" t="s">
        <v>26</v>
      </c>
      <c r="V5" s="139" t="s">
        <v>92</v>
      </c>
      <c r="W5" s="139" t="s">
        <v>93</v>
      </c>
      <c r="X5" s="139" t="s">
        <v>27</v>
      </c>
      <c r="Y5" s="338" t="s">
        <v>28</v>
      </c>
      <c r="Z5" s="272"/>
      <c r="AA5" s="31" t="s">
        <v>89</v>
      </c>
      <c r="AB5" s="31" t="s">
        <v>91</v>
      </c>
      <c r="AC5" s="32" t="s">
        <v>90</v>
      </c>
      <c r="AD5" s="31" t="s">
        <v>95</v>
      </c>
      <c r="AE5" s="95" t="s">
        <v>346</v>
      </c>
      <c r="AF5" s="95" t="s">
        <v>347</v>
      </c>
      <c r="AG5" s="95" t="s">
        <v>348</v>
      </c>
    </row>
    <row r="6" spans="1:33" ht="15.75" customHeight="1" x14ac:dyDescent="0.2">
      <c r="A6" s="80" t="s">
        <v>103</v>
      </c>
      <c r="B6" s="185">
        <v>41781</v>
      </c>
      <c r="C6" s="80" t="s">
        <v>105</v>
      </c>
      <c r="D6" s="80" t="s">
        <v>29</v>
      </c>
      <c r="E6" s="198">
        <v>168705195</v>
      </c>
      <c r="F6" s="80" t="s">
        <v>137</v>
      </c>
      <c r="G6" s="80" t="s">
        <v>215</v>
      </c>
      <c r="H6" s="80" t="s">
        <v>29</v>
      </c>
      <c r="I6" s="80" t="s">
        <v>29</v>
      </c>
      <c r="J6" s="80">
        <v>935</v>
      </c>
      <c r="K6" s="80">
        <v>4</v>
      </c>
      <c r="L6" s="91" t="s">
        <v>29</v>
      </c>
      <c r="M6" s="91" t="s">
        <v>29</v>
      </c>
      <c r="N6" s="80">
        <v>357</v>
      </c>
      <c r="O6" s="80">
        <v>175</v>
      </c>
      <c r="P6" s="145" t="s">
        <v>29</v>
      </c>
      <c r="Q6" s="145" t="s">
        <v>29</v>
      </c>
      <c r="R6" s="145" t="s">
        <v>29</v>
      </c>
      <c r="S6" s="145" t="s">
        <v>29</v>
      </c>
      <c r="T6" s="145" t="s">
        <v>29</v>
      </c>
      <c r="U6" s="80" t="s">
        <v>4</v>
      </c>
      <c r="V6" s="80" t="s">
        <v>135</v>
      </c>
      <c r="W6" s="80" t="s">
        <v>136</v>
      </c>
      <c r="X6" s="145" t="s">
        <v>29</v>
      </c>
      <c r="Y6" s="145" t="s">
        <v>29</v>
      </c>
      <c r="Z6" s="145" t="s">
        <v>29</v>
      </c>
      <c r="AA6" s="69" t="s">
        <v>138</v>
      </c>
      <c r="AB6" s="69" t="s">
        <v>205</v>
      </c>
      <c r="AE6" s="69" t="s">
        <v>216</v>
      </c>
      <c r="AF6" s="96">
        <v>46</v>
      </c>
      <c r="AG6" s="96">
        <v>5.4</v>
      </c>
    </row>
    <row r="7" spans="1:33" s="94" customFormat="1" ht="15.75" customHeight="1" x14ac:dyDescent="0.2">
      <c r="A7" s="225" t="s">
        <v>103</v>
      </c>
      <c r="B7" s="186">
        <v>41798</v>
      </c>
      <c r="C7" s="225"/>
      <c r="D7" s="225"/>
      <c r="E7" s="199"/>
      <c r="F7" s="225" t="s">
        <v>137</v>
      </c>
      <c r="G7" s="225" t="s">
        <v>225</v>
      </c>
      <c r="H7" s="225"/>
      <c r="I7" s="225"/>
      <c r="J7" s="225"/>
      <c r="K7" s="225"/>
      <c r="L7" s="147"/>
      <c r="M7" s="147"/>
      <c r="N7" s="225"/>
      <c r="O7" s="225"/>
      <c r="P7" s="223"/>
      <c r="Q7" s="223"/>
      <c r="R7" s="223"/>
      <c r="S7" s="223"/>
      <c r="T7" s="223"/>
      <c r="U7" s="225"/>
      <c r="V7" s="225"/>
      <c r="W7" s="225"/>
      <c r="X7" s="223"/>
      <c r="Y7" s="223"/>
      <c r="Z7" s="223"/>
      <c r="AA7" s="82"/>
      <c r="AB7" s="229"/>
      <c r="AC7" s="229"/>
      <c r="AD7" s="97" t="s">
        <v>205</v>
      </c>
      <c r="AE7" s="100"/>
      <c r="AF7" s="100"/>
      <c r="AG7" s="100"/>
    </row>
    <row r="8" spans="1:33" ht="16.5" customHeight="1" x14ac:dyDescent="0.2">
      <c r="A8" s="187" t="s">
        <v>33</v>
      </c>
      <c r="B8" s="138" t="s">
        <v>9</v>
      </c>
      <c r="C8" s="231" t="s">
        <v>34</v>
      </c>
      <c r="D8" s="231" t="s">
        <v>35</v>
      </c>
      <c r="E8" s="231" t="s">
        <v>36</v>
      </c>
      <c r="F8" s="231" t="s">
        <v>37</v>
      </c>
      <c r="G8" s="231" t="s">
        <v>38</v>
      </c>
      <c r="H8" s="151" t="s">
        <v>39</v>
      </c>
      <c r="I8" s="230" t="s">
        <v>9</v>
      </c>
      <c r="J8" s="420" t="s">
        <v>40</v>
      </c>
      <c r="K8" s="420"/>
      <c r="L8" s="420" t="s">
        <v>41</v>
      </c>
      <c r="M8" s="420"/>
      <c r="N8" s="420" t="s">
        <v>42</v>
      </c>
      <c r="O8" s="420"/>
      <c r="P8" s="420" t="s">
        <v>43</v>
      </c>
      <c r="Q8" s="420"/>
      <c r="R8" s="74"/>
      <c r="S8" s="421" t="s">
        <v>44</v>
      </c>
      <c r="T8" s="422"/>
      <c r="U8" s="422"/>
      <c r="V8" s="422"/>
      <c r="W8" s="422"/>
      <c r="X8" s="422"/>
      <c r="Y8" s="422"/>
      <c r="Z8" s="267"/>
    </row>
    <row r="9" spans="1:33" ht="15.75" customHeight="1" x14ac:dyDescent="0.2">
      <c r="A9" s="154" t="s">
        <v>45</v>
      </c>
      <c r="B9" s="142"/>
      <c r="C9" s="155">
        <v>41793</v>
      </c>
      <c r="D9" s="155">
        <v>41795</v>
      </c>
      <c r="E9" s="155">
        <v>41797</v>
      </c>
      <c r="F9" s="155">
        <v>41799</v>
      </c>
      <c r="G9" s="156">
        <f>AVERAGE(C9:F9)</f>
        <v>41796</v>
      </c>
      <c r="H9" s="157" t="s">
        <v>46</v>
      </c>
      <c r="I9" s="158"/>
      <c r="J9" s="276" t="s">
        <v>360</v>
      </c>
      <c r="K9" s="267"/>
      <c r="L9" s="346" t="s">
        <v>355</v>
      </c>
      <c r="M9" s="267"/>
      <c r="N9" s="346" t="s">
        <v>29</v>
      </c>
      <c r="O9" s="267"/>
      <c r="P9" s="347" t="s">
        <v>29</v>
      </c>
      <c r="Q9" s="267"/>
      <c r="R9" s="159" t="s">
        <v>47</v>
      </c>
      <c r="S9" s="160"/>
      <c r="T9" s="224">
        <v>4</v>
      </c>
      <c r="U9" s="348" t="s">
        <v>48</v>
      </c>
      <c r="V9" s="348"/>
      <c r="W9" s="348"/>
      <c r="X9" s="349" t="s">
        <v>195</v>
      </c>
      <c r="Y9" s="350"/>
      <c r="Z9" s="351"/>
    </row>
    <row r="10" spans="1:33" ht="15.75" customHeight="1" x14ac:dyDescent="0.2">
      <c r="A10" s="161" t="s">
        <v>49</v>
      </c>
      <c r="B10" s="142" t="s">
        <v>29</v>
      </c>
      <c r="C10" s="142" t="s">
        <v>29</v>
      </c>
      <c r="D10" s="142" t="s">
        <v>29</v>
      </c>
      <c r="E10" s="142" t="s">
        <v>29</v>
      </c>
      <c r="F10" s="142" t="s">
        <v>29</v>
      </c>
      <c r="G10" s="228"/>
      <c r="H10" s="157" t="s">
        <v>50</v>
      </c>
      <c r="I10" s="163">
        <v>41842</v>
      </c>
      <c r="J10" s="341" t="e">
        <f>IF(((I10-C18)&gt;0),(I10-C18),"/")</f>
        <v>#VALUE!</v>
      </c>
      <c r="K10" s="336"/>
      <c r="L10" s="341" t="e">
        <f>IF(((I10-D18)&gt;0),(I10-D18),"/")</f>
        <v>#VALUE!</v>
      </c>
      <c r="M10" s="336"/>
      <c r="N10" s="341">
        <f>IF(((I10-E18)&gt;0),(I10-E18),"/")</f>
        <v>41842</v>
      </c>
      <c r="O10" s="336"/>
      <c r="P10" s="341">
        <f>IF(((I10-F18)&gt;0),(I10-F18),"/")</f>
        <v>41842</v>
      </c>
      <c r="Q10" s="336"/>
      <c r="R10" s="164" t="s">
        <v>51</v>
      </c>
      <c r="S10" s="165"/>
      <c r="T10" s="224" t="s">
        <v>408</v>
      </c>
      <c r="U10" s="342" t="s">
        <v>52</v>
      </c>
      <c r="V10" s="342"/>
      <c r="W10" s="342"/>
      <c r="X10" s="343" t="s">
        <v>29</v>
      </c>
      <c r="Y10" s="344"/>
      <c r="Z10" s="345"/>
    </row>
    <row r="11" spans="1:33" ht="15.75" customHeight="1" x14ac:dyDescent="0.2">
      <c r="A11" s="161" t="s">
        <v>49</v>
      </c>
      <c r="B11" s="142" t="s">
        <v>29</v>
      </c>
      <c r="C11" s="142" t="s">
        <v>29</v>
      </c>
      <c r="D11" s="142" t="s">
        <v>29</v>
      </c>
      <c r="E11" s="142" t="s">
        <v>29</v>
      </c>
      <c r="F11" s="142" t="s">
        <v>29</v>
      </c>
      <c r="G11" s="228"/>
      <c r="H11" s="157" t="s">
        <v>53</v>
      </c>
      <c r="I11" s="166">
        <v>41842</v>
      </c>
      <c r="J11" s="355">
        <v>268</v>
      </c>
      <c r="K11" s="336"/>
      <c r="L11" s="356">
        <v>234</v>
      </c>
      <c r="M11" s="336"/>
      <c r="N11" s="356" t="s">
        <v>29</v>
      </c>
      <c r="O11" s="336"/>
      <c r="P11" s="357" t="s">
        <v>29</v>
      </c>
      <c r="Q11" s="336"/>
      <c r="R11" s="164" t="s">
        <v>54</v>
      </c>
      <c r="S11" s="165"/>
      <c r="T11" s="224" t="s">
        <v>408</v>
      </c>
      <c r="U11" s="342" t="s">
        <v>55</v>
      </c>
      <c r="V11" s="342"/>
      <c r="W11" s="342"/>
      <c r="X11" s="343" t="s">
        <v>29</v>
      </c>
      <c r="Y11" s="344"/>
      <c r="Z11" s="345"/>
    </row>
    <row r="12" spans="1:33" ht="15" customHeight="1" x14ac:dyDescent="0.2">
      <c r="A12" s="161" t="s">
        <v>49</v>
      </c>
      <c r="B12" s="142" t="s">
        <v>29</v>
      </c>
      <c r="C12" s="142" t="s">
        <v>29</v>
      </c>
      <c r="D12" s="142" t="s">
        <v>29</v>
      </c>
      <c r="E12" s="142" t="s">
        <v>29</v>
      </c>
      <c r="F12" s="142" t="s">
        <v>29</v>
      </c>
      <c r="G12" s="228"/>
      <c r="H12" s="157" t="s">
        <v>56</v>
      </c>
      <c r="I12" s="167"/>
      <c r="J12" s="352" t="s">
        <v>29</v>
      </c>
      <c r="K12" s="336"/>
      <c r="L12" s="353" t="s">
        <v>29</v>
      </c>
      <c r="M12" s="336"/>
      <c r="N12" s="353" t="s">
        <v>29</v>
      </c>
      <c r="O12" s="336"/>
      <c r="P12" s="354" t="s">
        <v>29</v>
      </c>
      <c r="Q12" s="336"/>
      <c r="R12" s="164" t="s">
        <v>57</v>
      </c>
      <c r="S12" s="165"/>
      <c r="T12" s="224">
        <v>2</v>
      </c>
      <c r="U12" s="342" t="s">
        <v>58</v>
      </c>
      <c r="V12" s="342"/>
      <c r="W12" s="342"/>
      <c r="X12" s="423">
        <v>0</v>
      </c>
      <c r="Y12" s="344"/>
      <c r="Z12" s="345"/>
    </row>
    <row r="13" spans="1:33" ht="15" customHeight="1" x14ac:dyDescent="0.2">
      <c r="A13" s="161" t="s">
        <v>49</v>
      </c>
      <c r="B13" s="142" t="s">
        <v>29</v>
      </c>
      <c r="C13" s="142" t="s">
        <v>29</v>
      </c>
      <c r="D13" s="142" t="s">
        <v>29</v>
      </c>
      <c r="E13" s="142" t="s">
        <v>29</v>
      </c>
      <c r="F13" s="142" t="s">
        <v>29</v>
      </c>
      <c r="G13" s="228"/>
      <c r="H13" s="157" t="s">
        <v>59</v>
      </c>
      <c r="I13" s="163">
        <v>42227</v>
      </c>
      <c r="J13" s="341" t="e">
        <f>I13-C18</f>
        <v>#VALUE!</v>
      </c>
      <c r="K13" s="336"/>
      <c r="L13" s="341" t="e">
        <f>I13-D18</f>
        <v>#VALUE!</v>
      </c>
      <c r="M13" s="336"/>
      <c r="N13" s="341">
        <f>I13-E18</f>
        <v>42227</v>
      </c>
      <c r="O13" s="336"/>
      <c r="P13" s="362">
        <f>I13-F18</f>
        <v>42227</v>
      </c>
      <c r="Q13" s="336"/>
      <c r="R13" s="164" t="s">
        <v>60</v>
      </c>
      <c r="S13" s="165"/>
      <c r="T13" s="224">
        <v>2</v>
      </c>
      <c r="U13" s="342" t="s">
        <v>61</v>
      </c>
      <c r="V13" s="342"/>
      <c r="W13" s="342"/>
      <c r="X13" s="343" t="s">
        <v>29</v>
      </c>
      <c r="Y13" s="344"/>
      <c r="Z13" s="345"/>
    </row>
    <row r="14" spans="1:33" ht="15.75" customHeight="1" x14ac:dyDescent="0.2">
      <c r="A14" s="161" t="s">
        <v>49</v>
      </c>
      <c r="B14" s="142" t="s">
        <v>29</v>
      </c>
      <c r="C14" s="142" t="s">
        <v>29</v>
      </c>
      <c r="D14" s="142" t="s">
        <v>29</v>
      </c>
      <c r="E14" s="142" t="s">
        <v>29</v>
      </c>
      <c r="F14" s="142" t="s">
        <v>29</v>
      </c>
      <c r="G14" s="228"/>
      <c r="H14" s="157" t="s">
        <v>62</v>
      </c>
      <c r="I14" s="163">
        <v>42227</v>
      </c>
      <c r="J14" s="355">
        <v>601</v>
      </c>
      <c r="K14" s="336"/>
      <c r="L14" s="356">
        <v>648</v>
      </c>
      <c r="M14" s="336"/>
      <c r="N14" s="356" t="s">
        <v>29</v>
      </c>
      <c r="O14" s="336"/>
      <c r="P14" s="357" t="s">
        <v>29</v>
      </c>
      <c r="Q14" s="336"/>
      <c r="R14" s="164" t="s">
        <v>63</v>
      </c>
      <c r="S14" s="165"/>
      <c r="T14" s="168" t="s">
        <v>408</v>
      </c>
      <c r="U14" s="358" t="s">
        <v>64</v>
      </c>
      <c r="V14" s="358"/>
      <c r="W14" s="358"/>
      <c r="X14" s="359" t="s">
        <v>29</v>
      </c>
      <c r="Y14" s="360"/>
      <c r="Z14" s="361"/>
    </row>
    <row r="15" spans="1:33" ht="15.75" customHeight="1" x14ac:dyDescent="0.2">
      <c r="A15" s="161" t="s">
        <v>49</v>
      </c>
      <c r="B15" s="142" t="s">
        <v>29</v>
      </c>
      <c r="C15" s="142" t="s">
        <v>29</v>
      </c>
      <c r="D15" s="142" t="s">
        <v>29</v>
      </c>
      <c r="E15" s="142" t="s">
        <v>29</v>
      </c>
      <c r="F15" s="142" t="s">
        <v>29</v>
      </c>
      <c r="G15" s="228"/>
      <c r="H15" s="157" t="s">
        <v>65</v>
      </c>
      <c r="I15" s="167"/>
      <c r="J15" s="352" t="s">
        <v>29</v>
      </c>
      <c r="K15" s="336"/>
      <c r="L15" s="353" t="s">
        <v>29</v>
      </c>
      <c r="M15" s="336"/>
      <c r="N15" s="353" t="s">
        <v>29</v>
      </c>
      <c r="O15" s="336"/>
      <c r="P15" s="354" t="s">
        <v>29</v>
      </c>
      <c r="Q15" s="272"/>
      <c r="R15" s="329" t="s">
        <v>66</v>
      </c>
      <c r="S15" s="329"/>
      <c r="T15" s="329"/>
      <c r="U15" s="329"/>
      <c r="V15" s="329"/>
      <c r="W15" s="329"/>
      <c r="X15" s="329"/>
      <c r="Y15" s="329"/>
      <c r="Z15" s="329"/>
    </row>
    <row r="16" spans="1:33" ht="15.75" customHeight="1" x14ac:dyDescent="0.2">
      <c r="A16" s="161" t="s">
        <v>49</v>
      </c>
      <c r="B16" s="142" t="s">
        <v>29</v>
      </c>
      <c r="C16" s="142" t="s">
        <v>29</v>
      </c>
      <c r="D16" s="142" t="s">
        <v>29</v>
      </c>
      <c r="E16" s="142" t="s">
        <v>29</v>
      </c>
      <c r="F16" s="142" t="s">
        <v>29</v>
      </c>
      <c r="G16" s="228"/>
      <c r="H16" s="157" t="s">
        <v>67</v>
      </c>
      <c r="I16" s="167"/>
      <c r="J16" s="352" t="s">
        <v>29</v>
      </c>
      <c r="K16" s="336"/>
      <c r="L16" s="353" t="s">
        <v>29</v>
      </c>
      <c r="M16" s="336"/>
      <c r="N16" s="353" t="s">
        <v>29</v>
      </c>
      <c r="O16" s="336"/>
      <c r="P16" s="354" t="s">
        <v>29</v>
      </c>
      <c r="Q16" s="272"/>
      <c r="R16" s="329"/>
      <c r="S16" s="329"/>
      <c r="T16" s="329"/>
      <c r="U16" s="329"/>
      <c r="V16" s="329"/>
      <c r="W16" s="329"/>
      <c r="X16" s="329"/>
      <c r="Y16" s="329"/>
      <c r="Z16" s="329"/>
    </row>
    <row r="17" spans="1:26" ht="15.75" customHeight="1" x14ac:dyDescent="0.2">
      <c r="A17" s="161" t="s">
        <v>49</v>
      </c>
      <c r="B17" s="142" t="s">
        <v>29</v>
      </c>
      <c r="C17" s="142" t="s">
        <v>29</v>
      </c>
      <c r="D17" s="142" t="s">
        <v>29</v>
      </c>
      <c r="E17" s="142" t="s">
        <v>29</v>
      </c>
      <c r="F17" s="142" t="s">
        <v>29</v>
      </c>
      <c r="G17" s="228"/>
      <c r="H17" s="157" t="s">
        <v>68</v>
      </c>
      <c r="I17" s="167"/>
      <c r="J17" s="352" t="s">
        <v>29</v>
      </c>
      <c r="K17" s="336"/>
      <c r="L17" s="353" t="s">
        <v>29</v>
      </c>
      <c r="M17" s="336"/>
      <c r="N17" s="353" t="s">
        <v>29</v>
      </c>
      <c r="O17" s="336"/>
      <c r="P17" s="363" t="s">
        <v>29</v>
      </c>
      <c r="Q17" s="293"/>
      <c r="R17" s="305" t="s">
        <v>488</v>
      </c>
      <c r="S17" s="305"/>
      <c r="T17" s="305"/>
      <c r="U17" s="305"/>
      <c r="V17" s="305"/>
      <c r="W17" s="305"/>
      <c r="X17" s="305"/>
      <c r="Y17" s="305"/>
      <c r="Z17" s="306"/>
    </row>
    <row r="18" spans="1:26" ht="15.75" customHeight="1" x14ac:dyDescent="0.2">
      <c r="A18" s="171" t="s">
        <v>69</v>
      </c>
      <c r="B18" s="142"/>
      <c r="C18" s="155" t="s">
        <v>408</v>
      </c>
      <c r="D18" s="155" t="s">
        <v>408</v>
      </c>
      <c r="E18" s="155"/>
      <c r="F18" s="155"/>
      <c r="G18" s="156" t="e">
        <f>AVERAGE(C18:F18)</f>
        <v>#DIV/0!</v>
      </c>
      <c r="H18" s="157" t="s">
        <v>70</v>
      </c>
      <c r="I18" s="163">
        <v>40770</v>
      </c>
      <c r="J18" s="364" t="e">
        <f>I18-C18</f>
        <v>#VALUE!</v>
      </c>
      <c r="K18" s="336"/>
      <c r="L18" s="364" t="e">
        <f>I18-D18</f>
        <v>#VALUE!</v>
      </c>
      <c r="M18" s="336"/>
      <c r="N18" s="364">
        <f>I18-E18</f>
        <v>40770</v>
      </c>
      <c r="O18" s="272"/>
      <c r="P18" s="365">
        <f>I18-F18</f>
        <v>40770</v>
      </c>
      <c r="Q18" s="261"/>
      <c r="R18" s="307"/>
      <c r="S18" s="307"/>
      <c r="T18" s="307"/>
      <c r="U18" s="307"/>
      <c r="V18" s="307"/>
      <c r="W18" s="307"/>
      <c r="X18" s="307"/>
      <c r="Y18" s="307"/>
      <c r="Z18" s="308"/>
    </row>
    <row r="19" spans="1:26" ht="15.75" customHeight="1" x14ac:dyDescent="0.2">
      <c r="A19" s="338" t="s">
        <v>71</v>
      </c>
      <c r="B19" s="368"/>
      <c r="C19" s="172" t="e">
        <f>C18-C9</f>
        <v>#VALUE!</v>
      </c>
      <c r="D19" s="172" t="e">
        <f>D18-D9</f>
        <v>#VALUE!</v>
      </c>
      <c r="E19" s="172">
        <f>E18-E9</f>
        <v>-41797</v>
      </c>
      <c r="F19" s="172">
        <f>F18-F9</f>
        <v>-41799</v>
      </c>
      <c r="G19" s="173" t="e">
        <f>AVERAGE(C19:E19)</f>
        <v>#VALUE!</v>
      </c>
      <c r="H19" s="157" t="s">
        <v>72</v>
      </c>
      <c r="I19" s="179"/>
      <c r="J19" s="357" t="s">
        <v>29</v>
      </c>
      <c r="K19" s="336"/>
      <c r="L19" s="356" t="s">
        <v>29</v>
      </c>
      <c r="M19" s="336"/>
      <c r="N19" s="366" t="s">
        <v>29</v>
      </c>
      <c r="O19" s="272"/>
      <c r="P19" s="367" t="s">
        <v>29</v>
      </c>
      <c r="Q19" s="261"/>
      <c r="R19" s="307"/>
      <c r="S19" s="307"/>
      <c r="T19" s="307"/>
      <c r="U19" s="307"/>
      <c r="V19" s="307"/>
      <c r="W19" s="307"/>
      <c r="X19" s="307"/>
      <c r="Y19" s="307"/>
      <c r="Z19" s="308"/>
    </row>
    <row r="20" spans="1:26" ht="15.75" customHeight="1" x14ac:dyDescent="0.2">
      <c r="A20" s="340" t="s">
        <v>73</v>
      </c>
      <c r="B20" s="340"/>
      <c r="C20" s="339" t="s">
        <v>40</v>
      </c>
      <c r="D20" s="339" t="s">
        <v>41</v>
      </c>
      <c r="E20" s="339" t="s">
        <v>42</v>
      </c>
      <c r="F20" s="339" t="s">
        <v>43</v>
      </c>
      <c r="G20" s="339" t="s">
        <v>38</v>
      </c>
      <c r="H20" s="167" t="s">
        <v>78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 customHeight="1" x14ac:dyDescent="0.2">
      <c r="A21" s="369"/>
      <c r="B21" s="369"/>
      <c r="C21" s="261"/>
      <c r="D21" s="261"/>
      <c r="E21" s="261"/>
      <c r="F21" s="261"/>
      <c r="G21" s="261"/>
      <c r="H21" s="167" t="s">
        <v>67</v>
      </c>
      <c r="I21" s="167"/>
      <c r="J21" s="354" t="s">
        <v>29</v>
      </c>
      <c r="K21" s="336"/>
      <c r="L21" s="353" t="s">
        <v>29</v>
      </c>
      <c r="M21" s="336"/>
      <c r="N21" s="370" t="s">
        <v>29</v>
      </c>
      <c r="O21" s="272"/>
      <c r="P21" s="371" t="s">
        <v>29</v>
      </c>
      <c r="Q21" s="261"/>
      <c r="R21" s="307"/>
      <c r="S21" s="307"/>
      <c r="T21" s="307"/>
      <c r="U21" s="307"/>
      <c r="V21" s="307"/>
      <c r="W21" s="307"/>
      <c r="X21" s="307"/>
      <c r="Y21" s="307"/>
      <c r="Z21" s="308"/>
    </row>
    <row r="22" spans="1:26" ht="15.75" customHeight="1" x14ac:dyDescent="0.2">
      <c r="A22" s="372" t="s">
        <v>79</v>
      </c>
      <c r="B22" s="373"/>
      <c r="C22" s="122" t="s">
        <v>431</v>
      </c>
      <c r="D22" s="122" t="s">
        <v>431</v>
      </c>
      <c r="E22" s="122" t="s">
        <v>29</v>
      </c>
      <c r="F22" s="122" t="s">
        <v>29</v>
      </c>
      <c r="G22" s="122" t="s">
        <v>29</v>
      </c>
      <c r="H22" s="157" t="s">
        <v>68</v>
      </c>
      <c r="I22" s="167"/>
      <c r="J22" s="354" t="s">
        <v>29</v>
      </c>
      <c r="K22" s="336"/>
      <c r="L22" s="353" t="s">
        <v>29</v>
      </c>
      <c r="M22" s="336"/>
      <c r="N22" s="370" t="s">
        <v>29</v>
      </c>
      <c r="O22" s="272"/>
      <c r="P22" s="371" t="s">
        <v>29</v>
      </c>
      <c r="Q22" s="261"/>
      <c r="R22" s="307"/>
      <c r="S22" s="307"/>
      <c r="T22" s="307"/>
      <c r="U22" s="307"/>
      <c r="V22" s="307"/>
      <c r="W22" s="307"/>
      <c r="X22" s="307"/>
      <c r="Y22" s="307"/>
      <c r="Z22" s="308"/>
    </row>
    <row r="23" spans="1:26" ht="15.75" customHeight="1" x14ac:dyDescent="0.2">
      <c r="A23" s="372" t="s">
        <v>46</v>
      </c>
      <c r="B23" s="373"/>
      <c r="C23" s="71" t="s">
        <v>354</v>
      </c>
      <c r="D23" s="71" t="s">
        <v>355</v>
      </c>
      <c r="E23" s="71" t="s">
        <v>29</v>
      </c>
      <c r="F23" s="71" t="s">
        <v>29</v>
      </c>
      <c r="G23" s="71" t="s">
        <v>29</v>
      </c>
      <c r="H23" s="176" t="s">
        <v>80</v>
      </c>
      <c r="I23" s="163">
        <v>40775</v>
      </c>
      <c r="J23" s="364" t="e">
        <f>I23-C18</f>
        <v>#VALUE!</v>
      </c>
      <c r="K23" s="336"/>
      <c r="L23" s="364" t="e">
        <f>I23-D18</f>
        <v>#VALUE!</v>
      </c>
      <c r="M23" s="336"/>
      <c r="N23" s="364">
        <f>I23-E18</f>
        <v>40775</v>
      </c>
      <c r="O23" s="272"/>
      <c r="P23" s="365">
        <f>I23-F18</f>
        <v>40775</v>
      </c>
      <c r="Q23" s="261"/>
      <c r="R23" s="307"/>
      <c r="S23" s="307"/>
      <c r="T23" s="307"/>
      <c r="U23" s="307"/>
      <c r="V23" s="307"/>
      <c r="W23" s="307"/>
      <c r="X23" s="307"/>
      <c r="Y23" s="307"/>
      <c r="Z23" s="308"/>
    </row>
    <row r="24" spans="1:26" ht="15.75" customHeight="1" x14ac:dyDescent="0.2">
      <c r="A24" s="372" t="s">
        <v>81</v>
      </c>
      <c r="B24" s="373"/>
      <c r="C24" s="177">
        <v>42227</v>
      </c>
      <c r="D24" s="177">
        <v>42227</v>
      </c>
      <c r="E24" s="71" t="s">
        <v>29</v>
      </c>
      <c r="F24" s="71" t="s">
        <v>29</v>
      </c>
      <c r="G24" s="224" t="s">
        <v>29</v>
      </c>
      <c r="H24" s="178" t="s">
        <v>82</v>
      </c>
      <c r="I24" s="179"/>
      <c r="J24" s="357" t="s">
        <v>29</v>
      </c>
      <c r="K24" s="336"/>
      <c r="L24" s="356" t="s">
        <v>29</v>
      </c>
      <c r="M24" s="336"/>
      <c r="N24" s="366" t="s">
        <v>29</v>
      </c>
      <c r="O24" s="272"/>
      <c r="P24" s="367" t="s">
        <v>29</v>
      </c>
      <c r="Q24" s="261"/>
      <c r="R24" s="307"/>
      <c r="S24" s="307"/>
      <c r="T24" s="307"/>
      <c r="U24" s="307"/>
      <c r="V24" s="307"/>
      <c r="W24" s="307"/>
      <c r="X24" s="307"/>
      <c r="Y24" s="307"/>
      <c r="Z24" s="308"/>
    </row>
    <row r="25" spans="1:26" ht="15.75" customHeight="1" x14ac:dyDescent="0.2">
      <c r="A25" s="372" t="s">
        <v>12</v>
      </c>
      <c r="B25" s="373"/>
      <c r="C25" s="71">
        <v>220612789</v>
      </c>
      <c r="D25" s="71">
        <v>220612790</v>
      </c>
      <c r="E25" s="71" t="s">
        <v>29</v>
      </c>
      <c r="F25" s="71" t="s">
        <v>29</v>
      </c>
      <c r="G25" s="224" t="s">
        <v>29</v>
      </c>
      <c r="H25" s="178" t="s">
        <v>83</v>
      </c>
      <c r="I25" s="179"/>
      <c r="J25" s="357" t="s">
        <v>29</v>
      </c>
      <c r="K25" s="336"/>
      <c r="L25" s="356" t="s">
        <v>29</v>
      </c>
      <c r="M25" s="336"/>
      <c r="N25" s="366" t="s">
        <v>29</v>
      </c>
      <c r="O25" s="272"/>
      <c r="P25" s="367" t="s">
        <v>29</v>
      </c>
      <c r="Q25" s="261"/>
      <c r="R25" s="307"/>
      <c r="S25" s="307"/>
      <c r="T25" s="307"/>
      <c r="U25" s="307"/>
      <c r="V25" s="307"/>
      <c r="W25" s="307"/>
      <c r="X25" s="307"/>
      <c r="Y25" s="307"/>
      <c r="Z25" s="308"/>
    </row>
    <row r="26" spans="1:26" ht="15.75" customHeight="1" x14ac:dyDescent="0.2">
      <c r="A26" s="372" t="s">
        <v>84</v>
      </c>
      <c r="B26" s="373"/>
      <c r="C26" s="71" t="s">
        <v>29</v>
      </c>
      <c r="D26" s="71" t="s">
        <v>29</v>
      </c>
      <c r="E26" s="71" t="s">
        <v>29</v>
      </c>
      <c r="F26" s="71" t="s">
        <v>29</v>
      </c>
      <c r="G26" s="224" t="s">
        <v>29</v>
      </c>
      <c r="H26" s="178" t="s">
        <v>67</v>
      </c>
      <c r="I26" s="167"/>
      <c r="J26" s="354" t="s">
        <v>29</v>
      </c>
      <c r="K26" s="336"/>
      <c r="L26" s="372" t="s">
        <v>29</v>
      </c>
      <c r="M26" s="336"/>
      <c r="N26" s="380" t="s">
        <v>29</v>
      </c>
      <c r="O26" s="272"/>
      <c r="P26" s="371" t="s">
        <v>29</v>
      </c>
      <c r="Q26" s="261"/>
      <c r="R26" s="307"/>
      <c r="S26" s="307"/>
      <c r="T26" s="307"/>
      <c r="U26" s="307"/>
      <c r="V26" s="307"/>
      <c r="W26" s="307"/>
      <c r="X26" s="307"/>
      <c r="Y26" s="307"/>
      <c r="Z26" s="308"/>
    </row>
    <row r="27" spans="1:26" ht="15.75" customHeight="1" x14ac:dyDescent="0.2">
      <c r="A27" s="372" t="s">
        <v>11</v>
      </c>
      <c r="B27" s="373"/>
      <c r="C27" s="71" t="s">
        <v>458</v>
      </c>
      <c r="D27" s="71" t="s">
        <v>413</v>
      </c>
      <c r="E27" s="71" t="s">
        <v>29</v>
      </c>
      <c r="F27" s="71" t="s">
        <v>29</v>
      </c>
      <c r="G27" s="224" t="s">
        <v>29</v>
      </c>
      <c r="H27" s="178" t="s">
        <v>68</v>
      </c>
      <c r="I27" s="167"/>
      <c r="J27" s="354" t="s">
        <v>29</v>
      </c>
      <c r="K27" s="336"/>
      <c r="L27" s="372" t="s">
        <v>29</v>
      </c>
      <c r="M27" s="336"/>
      <c r="N27" s="380" t="s">
        <v>29</v>
      </c>
      <c r="O27" s="272"/>
      <c r="P27" s="371" t="s">
        <v>29</v>
      </c>
      <c r="Q27" s="261"/>
      <c r="R27" s="307"/>
      <c r="S27" s="307"/>
      <c r="T27" s="307"/>
      <c r="U27" s="307"/>
      <c r="V27" s="307"/>
      <c r="W27" s="307"/>
      <c r="X27" s="307"/>
      <c r="Y27" s="307"/>
      <c r="Z27" s="308"/>
    </row>
    <row r="28" spans="1:26" ht="15.75" customHeight="1" x14ac:dyDescent="0.2">
      <c r="A28" s="374" t="s">
        <v>85</v>
      </c>
      <c r="B28" s="375"/>
      <c r="C28" s="71" t="s">
        <v>29</v>
      </c>
      <c r="D28" s="71" t="s">
        <v>29</v>
      </c>
      <c r="E28" s="71" t="s">
        <v>29</v>
      </c>
      <c r="F28" s="71" t="s">
        <v>29</v>
      </c>
      <c r="G28" s="224" t="s">
        <v>29</v>
      </c>
      <c r="H28" s="178" t="s">
        <v>86</v>
      </c>
      <c r="I28" s="179"/>
      <c r="J28" s="357" t="s">
        <v>29</v>
      </c>
      <c r="K28" s="336"/>
      <c r="L28" s="376" t="s">
        <v>29</v>
      </c>
      <c r="M28" s="336"/>
      <c r="N28" s="377" t="s">
        <v>29</v>
      </c>
      <c r="O28" s="272"/>
      <c r="P28" s="367" t="s">
        <v>29</v>
      </c>
      <c r="Q28" s="261"/>
      <c r="R28" s="307"/>
      <c r="S28" s="307"/>
      <c r="T28" s="307"/>
      <c r="U28" s="307"/>
      <c r="V28" s="307"/>
      <c r="W28" s="307"/>
      <c r="X28" s="307"/>
      <c r="Y28" s="307"/>
      <c r="Z28" s="308"/>
    </row>
    <row r="29" spans="1:26" ht="15.75" customHeight="1" x14ac:dyDescent="0.2">
      <c r="A29" s="378" t="s">
        <v>87</v>
      </c>
      <c r="B29" s="379"/>
      <c r="C29" s="71" t="s">
        <v>29</v>
      </c>
      <c r="D29" s="71" t="s">
        <v>29</v>
      </c>
      <c r="E29" s="71" t="s">
        <v>29</v>
      </c>
      <c r="F29" s="71" t="s">
        <v>29</v>
      </c>
      <c r="G29" s="224" t="s">
        <v>29</v>
      </c>
      <c r="H29" s="178" t="s">
        <v>88</v>
      </c>
      <c r="I29" s="179"/>
      <c r="J29" s="357" t="s">
        <v>29</v>
      </c>
      <c r="K29" s="336"/>
      <c r="L29" s="356" t="s">
        <v>29</v>
      </c>
      <c r="M29" s="336"/>
      <c r="N29" s="366" t="s">
        <v>29</v>
      </c>
      <c r="O29" s="272"/>
      <c r="P29" s="367" t="s">
        <v>29</v>
      </c>
      <c r="Q29" s="261"/>
      <c r="R29" s="307"/>
      <c r="S29" s="307"/>
      <c r="T29" s="307"/>
      <c r="U29" s="307"/>
      <c r="V29" s="307"/>
      <c r="W29" s="307"/>
      <c r="X29" s="307"/>
      <c r="Y29" s="307"/>
      <c r="Z29" s="308"/>
    </row>
    <row r="30" spans="1:26" ht="15.75" customHeight="1" x14ac:dyDescent="0.2">
      <c r="A30" s="61"/>
      <c r="B30" s="7"/>
      <c r="C30" s="4"/>
      <c r="D30" s="4"/>
      <c r="E30" s="4"/>
      <c r="F30" s="4"/>
      <c r="G30" s="4"/>
      <c r="H30" s="46"/>
      <c r="I30" s="4"/>
      <c r="J30" s="4"/>
      <c r="K30" s="4"/>
      <c r="L30" s="4"/>
      <c r="M30" s="4"/>
      <c r="N30" s="4"/>
      <c r="O30" s="4"/>
      <c r="P30" s="46"/>
      <c r="Q30" s="46"/>
      <c r="R30" s="53"/>
      <c r="S30" s="30"/>
      <c r="T30" s="4"/>
      <c r="U30" s="4"/>
      <c r="V30" s="4"/>
      <c r="W30" s="26"/>
      <c r="X30" s="4"/>
      <c r="Y30" s="4"/>
      <c r="Z30" s="4"/>
    </row>
    <row r="36" spans="10:10" ht="18" customHeight="1" x14ac:dyDescent="0.2">
      <c r="J36" s="25">
        <v>23</v>
      </c>
    </row>
    <row r="43" spans="10:10" ht="18" customHeight="1" x14ac:dyDescent="0.2">
      <c r="J43" s="25">
        <v>29</v>
      </c>
    </row>
  </sheetData>
  <mergeCells count="128">
    <mergeCell ref="A26:B26"/>
    <mergeCell ref="J26:K26"/>
    <mergeCell ref="L26:M26"/>
    <mergeCell ref="N26:O26"/>
    <mergeCell ref="P26:Q26"/>
    <mergeCell ref="A27:B27"/>
    <mergeCell ref="J27:K27"/>
    <mergeCell ref="L27:M27"/>
    <mergeCell ref="N27:O27"/>
    <mergeCell ref="P27:Q27"/>
    <mergeCell ref="A28:B28"/>
    <mergeCell ref="J28:K28"/>
    <mergeCell ref="L28:M28"/>
    <mergeCell ref="N28:O28"/>
    <mergeCell ref="P28:Q28"/>
    <mergeCell ref="A29:B29"/>
    <mergeCell ref="J29:K29"/>
    <mergeCell ref="L29:M29"/>
    <mergeCell ref="N29:O29"/>
    <mergeCell ref="P29:Q29"/>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4:B24"/>
    <mergeCell ref="J24:K24"/>
    <mergeCell ref="A19:B19"/>
    <mergeCell ref="J19:K19"/>
    <mergeCell ref="L19:M19"/>
    <mergeCell ref="N19:O19"/>
    <mergeCell ref="P19:Q19"/>
    <mergeCell ref="A20:B21"/>
    <mergeCell ref="C20:C21"/>
    <mergeCell ref="D20:D21"/>
    <mergeCell ref="E20:E21"/>
    <mergeCell ref="F20:F21"/>
    <mergeCell ref="G20:G21"/>
    <mergeCell ref="J20:K20"/>
    <mergeCell ref="L20:M20"/>
    <mergeCell ref="N20:O20"/>
    <mergeCell ref="P20:Q20"/>
    <mergeCell ref="J21:K21"/>
    <mergeCell ref="L21:M21"/>
    <mergeCell ref="N21:O21"/>
    <mergeCell ref="P21:Q21"/>
    <mergeCell ref="J17:K17"/>
    <mergeCell ref="L17:M17"/>
    <mergeCell ref="N17:O17"/>
    <mergeCell ref="P17:Q17"/>
    <mergeCell ref="R17:Z29"/>
    <mergeCell ref="J18:K18"/>
    <mergeCell ref="L18:M18"/>
    <mergeCell ref="N18:O18"/>
    <mergeCell ref="P18:Q18"/>
    <mergeCell ref="L24:M24"/>
    <mergeCell ref="N24:O24"/>
    <mergeCell ref="P24:Q24"/>
    <mergeCell ref="J15:K15"/>
    <mergeCell ref="L15:M15"/>
    <mergeCell ref="N15:O15"/>
    <mergeCell ref="P15:Q15"/>
    <mergeCell ref="R15:Z16"/>
    <mergeCell ref="J16:K16"/>
    <mergeCell ref="L16:M16"/>
    <mergeCell ref="N16:O16"/>
    <mergeCell ref="P16:Q16"/>
    <mergeCell ref="J14:K14"/>
    <mergeCell ref="L14:M14"/>
    <mergeCell ref="N14:O14"/>
    <mergeCell ref="P14:Q14"/>
    <mergeCell ref="U14:W14"/>
    <mergeCell ref="X14:Z14"/>
    <mergeCell ref="J13:K13"/>
    <mergeCell ref="L13:M13"/>
    <mergeCell ref="N13:O13"/>
    <mergeCell ref="P13:Q13"/>
    <mergeCell ref="U13:W13"/>
    <mergeCell ref="X13:Z13"/>
    <mergeCell ref="J12:K12"/>
    <mergeCell ref="L12:M12"/>
    <mergeCell ref="N12:O12"/>
    <mergeCell ref="P12:Q12"/>
    <mergeCell ref="U12:W12"/>
    <mergeCell ref="X12:Z12"/>
    <mergeCell ref="J11:K11"/>
    <mergeCell ref="L11:M11"/>
    <mergeCell ref="N11:O11"/>
    <mergeCell ref="P11:Q11"/>
    <mergeCell ref="U11:W11"/>
    <mergeCell ref="X11:Z11"/>
    <mergeCell ref="J8:K8"/>
    <mergeCell ref="L8:M8"/>
    <mergeCell ref="N8:O8"/>
    <mergeCell ref="P8:Q8"/>
    <mergeCell ref="S8:Z8"/>
    <mergeCell ref="J10:K10"/>
    <mergeCell ref="L10:M10"/>
    <mergeCell ref="N10:O10"/>
    <mergeCell ref="P10:Q10"/>
    <mergeCell ref="U10:W10"/>
    <mergeCell ref="X10:Z10"/>
    <mergeCell ref="J9:K9"/>
    <mergeCell ref="L9:M9"/>
    <mergeCell ref="N9:O9"/>
    <mergeCell ref="P9:Q9"/>
    <mergeCell ref="U9:W9"/>
    <mergeCell ref="X9:Z9"/>
    <mergeCell ref="I1:J1"/>
    <mergeCell ref="K1:O1"/>
    <mergeCell ref="P1:Q1"/>
    <mergeCell ref="R1:S1"/>
    <mergeCell ref="L2:M2"/>
    <mergeCell ref="Q2:R2"/>
    <mergeCell ref="Y2:Z2"/>
    <mergeCell ref="L5:M5"/>
    <mergeCell ref="Q5:R5"/>
    <mergeCell ref="Y5:Z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40"/>
  <sheetViews>
    <sheetView topLeftCell="A10" workbookViewId="0">
      <selection activeCell="W33" sqref="W33"/>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58" t="s">
        <v>0</v>
      </c>
      <c r="B1" s="59">
        <v>2014</v>
      </c>
      <c r="C1" s="58" t="s">
        <v>1</v>
      </c>
      <c r="D1" s="59"/>
      <c r="E1" s="58" t="s">
        <v>2</v>
      </c>
      <c r="F1" s="55">
        <v>20</v>
      </c>
      <c r="G1" s="56" t="s">
        <v>3</v>
      </c>
      <c r="H1" s="55" t="s">
        <v>4</v>
      </c>
      <c r="I1" s="260" t="s">
        <v>5</v>
      </c>
      <c r="J1" s="261"/>
      <c r="K1" s="330"/>
      <c r="L1" s="331"/>
      <c r="M1" s="331"/>
      <c r="N1" s="331"/>
      <c r="O1" s="332"/>
      <c r="P1" s="263" t="s">
        <v>6</v>
      </c>
      <c r="Q1" s="261"/>
      <c r="R1" s="264"/>
      <c r="S1" s="265"/>
      <c r="T1" s="16"/>
      <c r="U1" s="16"/>
      <c r="V1" s="16"/>
      <c r="W1" s="16"/>
      <c r="X1" s="16"/>
      <c r="Y1" s="16"/>
      <c r="Z1" s="34"/>
    </row>
    <row r="2" spans="1:30" ht="27.75" customHeight="1" x14ac:dyDescent="0.2">
      <c r="A2" s="57" t="s">
        <v>8</v>
      </c>
      <c r="B2" s="54" t="s">
        <v>9</v>
      </c>
      <c r="C2" s="54" t="s">
        <v>10</v>
      </c>
      <c r="D2" s="54" t="s">
        <v>11</v>
      </c>
      <c r="E2" s="54" t="s">
        <v>12</v>
      </c>
      <c r="F2" s="54" t="s">
        <v>13</v>
      </c>
      <c r="G2" s="54" t="s">
        <v>14</v>
      </c>
      <c r="H2" s="54" t="s">
        <v>15</v>
      </c>
      <c r="I2" s="13" t="s">
        <v>16</v>
      </c>
      <c r="J2" s="54" t="s">
        <v>17</v>
      </c>
      <c r="K2" s="54" t="s">
        <v>18</v>
      </c>
      <c r="L2" s="266"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32" t="s">
        <v>90</v>
      </c>
      <c r="AD2" s="31" t="s">
        <v>95</v>
      </c>
    </row>
    <row r="3" spans="1:30" ht="15.75" customHeight="1" x14ac:dyDescent="0.2">
      <c r="A3" s="28" t="s">
        <v>103</v>
      </c>
      <c r="B3" s="64">
        <v>41801</v>
      </c>
      <c r="C3" s="28" t="s">
        <v>29</v>
      </c>
      <c r="D3" s="18" t="s">
        <v>29</v>
      </c>
      <c r="E3" s="18" t="s">
        <v>29</v>
      </c>
      <c r="F3" s="28" t="s">
        <v>246</v>
      </c>
      <c r="G3" s="28" t="s">
        <v>225</v>
      </c>
      <c r="H3" s="18" t="s">
        <v>29</v>
      </c>
      <c r="I3" s="18" t="s">
        <v>29</v>
      </c>
      <c r="J3" s="18" t="s">
        <v>29</v>
      </c>
      <c r="K3" s="18" t="s">
        <v>29</v>
      </c>
      <c r="L3" s="41" t="s">
        <v>29</v>
      </c>
      <c r="M3" s="41" t="s">
        <v>29</v>
      </c>
      <c r="N3" s="18" t="s">
        <v>29</v>
      </c>
      <c r="O3" s="18" t="s">
        <v>29</v>
      </c>
      <c r="P3" s="20" t="s">
        <v>29</v>
      </c>
      <c r="Q3" s="20" t="s">
        <v>29</v>
      </c>
      <c r="R3" s="20" t="s">
        <v>29</v>
      </c>
      <c r="S3" s="20" t="s">
        <v>29</v>
      </c>
      <c r="T3" s="20" t="s">
        <v>29</v>
      </c>
      <c r="U3" s="18" t="s">
        <v>29</v>
      </c>
      <c r="V3" s="18" t="s">
        <v>29</v>
      </c>
      <c r="W3" s="18" t="s">
        <v>29</v>
      </c>
      <c r="X3" s="20" t="s">
        <v>29</v>
      </c>
      <c r="Y3" s="33" t="s">
        <v>29</v>
      </c>
      <c r="Z3" s="33" t="s">
        <v>29</v>
      </c>
      <c r="AD3" s="69" t="s">
        <v>205</v>
      </c>
    </row>
    <row r="4" spans="1:30"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5" t="s">
        <v>26</v>
      </c>
      <c r="V4" s="27" t="s">
        <v>92</v>
      </c>
      <c r="W4" s="27" t="s">
        <v>93</v>
      </c>
      <c r="X4" s="5" t="s">
        <v>27</v>
      </c>
      <c r="Y4" s="271" t="s">
        <v>28</v>
      </c>
      <c r="Z4" s="272"/>
      <c r="AA4" s="31" t="s">
        <v>89</v>
      </c>
      <c r="AB4" s="31" t="s">
        <v>91</v>
      </c>
      <c r="AC4" s="32" t="s">
        <v>90</v>
      </c>
      <c r="AD4" s="31" t="s">
        <v>95</v>
      </c>
    </row>
    <row r="5" spans="1:30" ht="15.75" customHeight="1" x14ac:dyDescent="0.2">
      <c r="A5" s="28" t="s">
        <v>103</v>
      </c>
      <c r="B5" s="64">
        <v>41798</v>
      </c>
      <c r="C5" s="18" t="s">
        <v>29</v>
      </c>
      <c r="D5" s="18" t="s">
        <v>29</v>
      </c>
      <c r="E5" s="28" t="s">
        <v>235</v>
      </c>
      <c r="F5" s="28" t="s">
        <v>235</v>
      </c>
      <c r="G5" s="28" t="s">
        <v>225</v>
      </c>
      <c r="H5" s="18" t="s">
        <v>29</v>
      </c>
      <c r="I5" s="37" t="s">
        <v>29</v>
      </c>
      <c r="J5" s="37" t="s">
        <v>29</v>
      </c>
      <c r="K5" s="37" t="s">
        <v>29</v>
      </c>
      <c r="L5" s="42" t="s">
        <v>29</v>
      </c>
      <c r="M5" s="42" t="s">
        <v>29</v>
      </c>
      <c r="N5" s="37" t="s">
        <v>29</v>
      </c>
      <c r="O5" s="37" t="s">
        <v>29</v>
      </c>
      <c r="P5" s="38" t="s">
        <v>29</v>
      </c>
      <c r="Q5" s="38" t="s">
        <v>29</v>
      </c>
      <c r="R5" s="20" t="s">
        <v>29</v>
      </c>
      <c r="S5" s="20" t="s">
        <v>29</v>
      </c>
      <c r="T5" s="20" t="s">
        <v>29</v>
      </c>
      <c r="U5" s="18" t="s">
        <v>29</v>
      </c>
      <c r="V5" s="18" t="s">
        <v>29</v>
      </c>
      <c r="W5" s="18" t="s">
        <v>29</v>
      </c>
      <c r="X5" s="20" t="s">
        <v>29</v>
      </c>
      <c r="Y5" s="20" t="s">
        <v>29</v>
      </c>
      <c r="Z5" s="20" t="s">
        <v>29</v>
      </c>
      <c r="AD5" s="69" t="s">
        <v>205</v>
      </c>
    </row>
    <row r="6" spans="1:30" ht="16.5" customHeight="1" x14ac:dyDescent="0.2">
      <c r="A6" s="12" t="s">
        <v>33</v>
      </c>
      <c r="B6" s="5" t="s">
        <v>9</v>
      </c>
      <c r="C6" s="60" t="s">
        <v>34</v>
      </c>
      <c r="D6" s="60" t="s">
        <v>35</v>
      </c>
      <c r="E6" s="60" t="s">
        <v>36</v>
      </c>
      <c r="F6" s="60" t="s">
        <v>37</v>
      </c>
      <c r="G6" s="60" t="s">
        <v>38</v>
      </c>
      <c r="H6" s="36" t="s">
        <v>39</v>
      </c>
      <c r="I6" s="62" t="s">
        <v>9</v>
      </c>
      <c r="J6" s="280" t="s">
        <v>40</v>
      </c>
      <c r="K6" s="280"/>
      <c r="L6" s="280" t="s">
        <v>41</v>
      </c>
      <c r="M6" s="280"/>
      <c r="N6" s="280" t="s">
        <v>42</v>
      </c>
      <c r="O6" s="280"/>
      <c r="P6" s="280" t="s">
        <v>43</v>
      </c>
      <c r="Q6" s="280"/>
      <c r="R6" s="35"/>
      <c r="S6" s="273" t="s">
        <v>44</v>
      </c>
      <c r="T6" s="274"/>
      <c r="U6" s="274"/>
      <c r="V6" s="274"/>
      <c r="W6" s="275"/>
      <c r="X6" s="274"/>
      <c r="Y6" s="274"/>
      <c r="Z6" s="268"/>
    </row>
    <row r="7" spans="1:30" ht="15.75" customHeight="1" x14ac:dyDescent="0.2">
      <c r="A7" s="1" t="s">
        <v>45</v>
      </c>
      <c r="B7" s="20"/>
      <c r="C7" s="19">
        <v>41795</v>
      </c>
      <c r="D7" s="19">
        <v>41797</v>
      </c>
      <c r="E7" s="19">
        <v>41799</v>
      </c>
      <c r="F7" s="19">
        <v>41802</v>
      </c>
      <c r="G7" s="15">
        <f>AVERAGE(C7:F7)</f>
        <v>41798.25</v>
      </c>
      <c r="H7" s="6" t="s">
        <v>46</v>
      </c>
      <c r="I7" s="39"/>
      <c r="J7" s="276" t="s">
        <v>354</v>
      </c>
      <c r="K7" s="267"/>
      <c r="L7" s="346" t="s">
        <v>355</v>
      </c>
      <c r="M7" s="267"/>
      <c r="N7" s="346" t="s">
        <v>356</v>
      </c>
      <c r="O7" s="267"/>
      <c r="P7" s="347" t="s">
        <v>407</v>
      </c>
      <c r="Q7" s="267"/>
      <c r="R7" s="23" t="s">
        <v>47</v>
      </c>
      <c r="S7" s="24"/>
      <c r="T7" s="43">
        <v>4</v>
      </c>
      <c r="U7" s="279" t="s">
        <v>48</v>
      </c>
      <c r="V7" s="279"/>
      <c r="W7" s="279"/>
      <c r="X7" s="281" t="s">
        <v>29</v>
      </c>
      <c r="Y7" s="282"/>
      <c r="Z7" s="283"/>
    </row>
    <row r="8" spans="1:30" ht="15.75" customHeight="1" x14ac:dyDescent="0.2">
      <c r="A8" s="3" t="s">
        <v>49</v>
      </c>
      <c r="B8" s="20" t="s">
        <v>29</v>
      </c>
      <c r="C8" s="20" t="s">
        <v>29</v>
      </c>
      <c r="D8" s="20" t="s">
        <v>29</v>
      </c>
      <c r="E8" s="20" t="s">
        <v>29</v>
      </c>
      <c r="F8" s="20" t="s">
        <v>29</v>
      </c>
      <c r="G8" s="60"/>
      <c r="H8" s="6" t="s">
        <v>50</v>
      </c>
      <c r="I8" s="17">
        <v>41832</v>
      </c>
      <c r="J8" s="287">
        <f>IF(((I8-C16)&gt;0),(I8-C16),"/")</f>
        <v>1</v>
      </c>
      <c r="K8" s="268"/>
      <c r="L8" s="287" t="str">
        <f>IF(((I8-D16)&gt;0),(I8-D16),"/")</f>
        <v>/</v>
      </c>
      <c r="M8" s="268"/>
      <c r="N8" s="287" t="str">
        <f>IF(((I8-E16)&gt;0),(I8-E16),"/")</f>
        <v>/</v>
      </c>
      <c r="O8" s="268"/>
      <c r="P8" s="287" t="str">
        <f>IF(((I8-F16)&gt;0),(I8-F16),"/")</f>
        <v>/</v>
      </c>
      <c r="Q8" s="268"/>
      <c r="R8" s="22" t="s">
        <v>51</v>
      </c>
      <c r="S8" s="11"/>
      <c r="T8" s="43">
        <v>0</v>
      </c>
      <c r="U8" s="310" t="s">
        <v>52</v>
      </c>
      <c r="V8" s="310"/>
      <c r="W8" s="310"/>
      <c r="X8" s="298" t="s">
        <v>29</v>
      </c>
      <c r="Y8" s="299"/>
      <c r="Z8" s="300"/>
    </row>
    <row r="9" spans="1:30" ht="15.75" customHeight="1" x14ac:dyDescent="0.2">
      <c r="A9" s="3" t="s">
        <v>49</v>
      </c>
      <c r="B9" s="20" t="s">
        <v>29</v>
      </c>
      <c r="C9" s="20" t="s">
        <v>29</v>
      </c>
      <c r="D9" s="20" t="s">
        <v>29</v>
      </c>
      <c r="E9" s="20" t="s">
        <v>29</v>
      </c>
      <c r="F9" s="20" t="s">
        <v>29</v>
      </c>
      <c r="G9" s="60"/>
      <c r="H9" s="6" t="s">
        <v>53</v>
      </c>
      <c r="I9" s="102">
        <v>41832</v>
      </c>
      <c r="J9" s="289">
        <v>32</v>
      </c>
      <c r="K9" s="268"/>
      <c r="L9" s="290">
        <v>32</v>
      </c>
      <c r="M9" s="268"/>
      <c r="N9" s="290">
        <v>1</v>
      </c>
      <c r="O9" s="268"/>
      <c r="P9" s="291">
        <v>0</v>
      </c>
      <c r="Q9" s="268"/>
      <c r="R9" s="22" t="s">
        <v>54</v>
      </c>
      <c r="S9" s="11"/>
      <c r="T9" s="43">
        <v>4</v>
      </c>
      <c r="U9" s="310" t="s">
        <v>55</v>
      </c>
      <c r="V9" s="310"/>
      <c r="W9" s="310"/>
      <c r="X9" s="298" t="s">
        <v>29</v>
      </c>
      <c r="Y9" s="299"/>
      <c r="Z9" s="300"/>
    </row>
    <row r="10" spans="1:30" ht="15" customHeight="1" x14ac:dyDescent="0.2">
      <c r="A10" s="3" t="s">
        <v>49</v>
      </c>
      <c r="B10" s="20" t="s">
        <v>29</v>
      </c>
      <c r="C10" s="20" t="s">
        <v>29</v>
      </c>
      <c r="D10" s="20" t="s">
        <v>29</v>
      </c>
      <c r="E10" s="20" t="s">
        <v>29</v>
      </c>
      <c r="F10" s="20" t="s">
        <v>29</v>
      </c>
      <c r="G10" s="60"/>
      <c r="H10" s="6" t="s">
        <v>56</v>
      </c>
      <c r="I10" s="10"/>
      <c r="J10" s="284" t="s">
        <v>29</v>
      </c>
      <c r="K10" s="268"/>
      <c r="L10" s="285" t="s">
        <v>29</v>
      </c>
      <c r="M10" s="268"/>
      <c r="N10" s="285" t="s">
        <v>29</v>
      </c>
      <c r="O10" s="268"/>
      <c r="P10" s="286" t="s">
        <v>29</v>
      </c>
      <c r="Q10" s="268"/>
      <c r="R10" s="22" t="s">
        <v>57</v>
      </c>
      <c r="S10" s="11"/>
      <c r="T10" s="43">
        <v>3</v>
      </c>
      <c r="U10" s="310" t="s">
        <v>58</v>
      </c>
      <c r="V10" s="310"/>
      <c r="W10" s="310"/>
      <c r="X10" s="298" t="s">
        <v>29</v>
      </c>
      <c r="Y10" s="299"/>
      <c r="Z10" s="300"/>
    </row>
    <row r="11" spans="1:30" ht="15" customHeight="1" x14ac:dyDescent="0.2">
      <c r="A11" s="3" t="s">
        <v>49</v>
      </c>
      <c r="B11" s="20" t="s">
        <v>29</v>
      </c>
      <c r="C11" s="20" t="s">
        <v>29</v>
      </c>
      <c r="D11" s="20" t="s">
        <v>29</v>
      </c>
      <c r="E11" s="20" t="s">
        <v>29</v>
      </c>
      <c r="F11" s="20" t="s">
        <v>29</v>
      </c>
      <c r="G11" s="60"/>
      <c r="H11" s="6" t="s">
        <v>59</v>
      </c>
      <c r="I11" s="17">
        <v>41836</v>
      </c>
      <c r="J11" s="287">
        <f>I11-C16</f>
        <v>5</v>
      </c>
      <c r="K11" s="268"/>
      <c r="L11" s="287">
        <f>I11-D16</f>
        <v>4</v>
      </c>
      <c r="M11" s="268"/>
      <c r="N11" s="287">
        <f>I11-E16</f>
        <v>3</v>
      </c>
      <c r="O11" s="268"/>
      <c r="P11" s="288">
        <f>I11-F16</f>
        <v>0</v>
      </c>
      <c r="Q11" s="268"/>
      <c r="R11" s="22" t="s">
        <v>60</v>
      </c>
      <c r="S11" s="11"/>
      <c r="T11" s="43">
        <v>3</v>
      </c>
      <c r="U11" s="310" t="s">
        <v>61</v>
      </c>
      <c r="V11" s="310"/>
      <c r="W11" s="310"/>
      <c r="X11" s="298" t="s">
        <v>29</v>
      </c>
      <c r="Y11" s="299"/>
      <c r="Z11" s="300"/>
    </row>
    <row r="12" spans="1:30" ht="15.75" customHeight="1" x14ac:dyDescent="0.2">
      <c r="A12" s="3" t="s">
        <v>49</v>
      </c>
      <c r="B12" s="20" t="s">
        <v>29</v>
      </c>
      <c r="C12" s="20" t="s">
        <v>29</v>
      </c>
      <c r="D12" s="20" t="s">
        <v>29</v>
      </c>
      <c r="E12" s="20" t="s">
        <v>29</v>
      </c>
      <c r="F12" s="20" t="s">
        <v>29</v>
      </c>
      <c r="G12" s="60"/>
      <c r="H12" s="6" t="s">
        <v>62</v>
      </c>
      <c r="I12" s="102">
        <v>41836</v>
      </c>
      <c r="J12" s="289">
        <v>81</v>
      </c>
      <c r="K12" s="268"/>
      <c r="L12" s="290">
        <v>66</v>
      </c>
      <c r="M12" s="268"/>
      <c r="N12" s="290">
        <v>67</v>
      </c>
      <c r="O12" s="268"/>
      <c r="P12" s="291">
        <v>33</v>
      </c>
      <c r="Q12" s="268"/>
      <c r="R12" s="22" t="s">
        <v>63</v>
      </c>
      <c r="S12" s="11"/>
      <c r="T12" s="45">
        <v>1</v>
      </c>
      <c r="U12" s="311" t="s">
        <v>64</v>
      </c>
      <c r="V12" s="311"/>
      <c r="W12" s="311"/>
      <c r="X12" s="301" t="s">
        <v>29</v>
      </c>
      <c r="Y12" s="302"/>
      <c r="Z12" s="303"/>
    </row>
    <row r="13" spans="1:30" ht="15.75" customHeight="1" x14ac:dyDescent="0.2">
      <c r="A13" s="3" t="s">
        <v>49</v>
      </c>
      <c r="B13" s="20" t="s">
        <v>29</v>
      </c>
      <c r="C13" s="20" t="s">
        <v>29</v>
      </c>
      <c r="D13" s="20" t="s">
        <v>29</v>
      </c>
      <c r="E13" s="20" t="s">
        <v>29</v>
      </c>
      <c r="F13" s="20" t="s">
        <v>29</v>
      </c>
      <c r="G13" s="60"/>
      <c r="H13" s="6" t="s">
        <v>65</v>
      </c>
      <c r="I13" s="10"/>
      <c r="J13" s="284" t="s">
        <v>29</v>
      </c>
      <c r="K13" s="268"/>
      <c r="L13" s="285" t="s">
        <v>29</v>
      </c>
      <c r="M13" s="268"/>
      <c r="N13" s="285" t="s">
        <v>29</v>
      </c>
      <c r="O13" s="268"/>
      <c r="P13" s="286" t="s">
        <v>29</v>
      </c>
      <c r="Q13" s="272"/>
      <c r="R13" s="424" t="s">
        <v>66</v>
      </c>
      <c r="S13" s="425"/>
      <c r="T13" s="425"/>
      <c r="U13" s="425"/>
      <c r="V13" s="425"/>
      <c r="W13" s="425"/>
      <c r="X13" s="425"/>
      <c r="Y13" s="425"/>
      <c r="Z13" s="426"/>
    </row>
    <row r="14" spans="1:30" ht="15.75" customHeight="1" x14ac:dyDescent="0.2">
      <c r="A14" s="3" t="s">
        <v>49</v>
      </c>
      <c r="B14" s="20" t="s">
        <v>29</v>
      </c>
      <c r="C14" s="20" t="s">
        <v>29</v>
      </c>
      <c r="D14" s="20" t="s">
        <v>29</v>
      </c>
      <c r="E14" s="20" t="s">
        <v>29</v>
      </c>
      <c r="F14" s="20" t="s">
        <v>29</v>
      </c>
      <c r="G14" s="60"/>
      <c r="H14" s="6" t="s">
        <v>67</v>
      </c>
      <c r="I14" s="10"/>
      <c r="J14" s="284" t="s">
        <v>29</v>
      </c>
      <c r="K14" s="268"/>
      <c r="L14" s="285" t="s">
        <v>29</v>
      </c>
      <c r="M14" s="268"/>
      <c r="N14" s="285" t="s">
        <v>29</v>
      </c>
      <c r="O14" s="268"/>
      <c r="P14" s="286" t="s">
        <v>29</v>
      </c>
      <c r="Q14" s="272"/>
      <c r="R14" s="427"/>
      <c r="S14" s="428"/>
      <c r="T14" s="428"/>
      <c r="U14" s="428"/>
      <c r="V14" s="428"/>
      <c r="W14" s="428"/>
      <c r="X14" s="428"/>
      <c r="Y14" s="428"/>
      <c r="Z14" s="428"/>
    </row>
    <row r="15" spans="1:30" ht="15.75" customHeight="1" x14ac:dyDescent="0.2">
      <c r="A15" s="3" t="s">
        <v>49</v>
      </c>
      <c r="B15" s="20" t="s">
        <v>29</v>
      </c>
      <c r="C15" s="20" t="s">
        <v>29</v>
      </c>
      <c r="D15" s="20" t="s">
        <v>29</v>
      </c>
      <c r="E15" s="20" t="s">
        <v>29</v>
      </c>
      <c r="F15" s="20" t="s">
        <v>29</v>
      </c>
      <c r="G15" s="60"/>
      <c r="H15" s="6" t="s">
        <v>68</v>
      </c>
      <c r="I15" s="10"/>
      <c r="J15" s="284" t="s">
        <v>29</v>
      </c>
      <c r="K15" s="268"/>
      <c r="L15" s="285" t="s">
        <v>29</v>
      </c>
      <c r="M15" s="268"/>
      <c r="N15" s="285" t="s">
        <v>29</v>
      </c>
      <c r="O15" s="268"/>
      <c r="P15" s="292" t="s">
        <v>29</v>
      </c>
      <c r="Q15" s="293"/>
      <c r="R15" s="305" t="s">
        <v>479</v>
      </c>
      <c r="S15" s="305"/>
      <c r="T15" s="305"/>
      <c r="U15" s="305"/>
      <c r="V15" s="305"/>
      <c r="W15" s="305"/>
      <c r="X15" s="305"/>
      <c r="Y15" s="305"/>
      <c r="Z15" s="305"/>
    </row>
    <row r="16" spans="1:30" ht="15.75" customHeight="1" x14ac:dyDescent="0.2">
      <c r="A16" s="14" t="s">
        <v>69</v>
      </c>
      <c r="B16" s="20"/>
      <c r="C16" s="19">
        <v>41831</v>
      </c>
      <c r="D16" s="19">
        <v>41832</v>
      </c>
      <c r="E16" s="19">
        <v>41833</v>
      </c>
      <c r="F16" s="19">
        <v>41836</v>
      </c>
      <c r="G16" s="15">
        <f>AVERAGE(C16:F16)</f>
        <v>41833</v>
      </c>
      <c r="H16" s="6" t="s">
        <v>70</v>
      </c>
      <c r="I16" s="17">
        <v>41841</v>
      </c>
      <c r="J16" s="294">
        <f>I16-C16</f>
        <v>10</v>
      </c>
      <c r="K16" s="268"/>
      <c r="L16" s="294">
        <f>I16-D16</f>
        <v>9</v>
      </c>
      <c r="M16" s="268"/>
      <c r="N16" s="294">
        <f>I16-E16</f>
        <v>8</v>
      </c>
      <c r="O16" s="272"/>
      <c r="P16" s="295">
        <f>I16-F16</f>
        <v>5</v>
      </c>
      <c r="Q16" s="261"/>
      <c r="R16" s="307"/>
      <c r="S16" s="307"/>
      <c r="T16" s="307"/>
      <c r="U16" s="307"/>
      <c r="V16" s="307"/>
      <c r="W16" s="307"/>
      <c r="X16" s="307"/>
      <c r="Y16" s="307"/>
      <c r="Z16" s="308"/>
    </row>
    <row r="17" spans="1:26" ht="15.75" customHeight="1" x14ac:dyDescent="0.2">
      <c r="A17" s="323" t="s">
        <v>71</v>
      </c>
      <c r="B17" s="324"/>
      <c r="C17" s="50">
        <f>C16-C7</f>
        <v>36</v>
      </c>
      <c r="D17" s="50">
        <f>D16-D7</f>
        <v>35</v>
      </c>
      <c r="E17" s="50">
        <f>E16-E7</f>
        <v>34</v>
      </c>
      <c r="F17" s="50">
        <f>F16-F7</f>
        <v>34</v>
      </c>
      <c r="G17" s="51">
        <f>AVERAGE(C17:E17)</f>
        <v>35</v>
      </c>
      <c r="H17" s="6" t="s">
        <v>72</v>
      </c>
      <c r="I17" s="102">
        <v>41841</v>
      </c>
      <c r="J17" s="291">
        <v>228</v>
      </c>
      <c r="K17" s="268"/>
      <c r="L17" s="290">
        <v>176</v>
      </c>
      <c r="M17" s="268"/>
      <c r="N17" s="320">
        <v>209</v>
      </c>
      <c r="O17" s="272"/>
      <c r="P17" s="309">
        <v>75</v>
      </c>
      <c r="Q17" s="261"/>
      <c r="R17" s="307"/>
      <c r="S17" s="307"/>
      <c r="T17" s="307"/>
      <c r="U17" s="307"/>
      <c r="V17" s="307"/>
      <c r="W17" s="307"/>
      <c r="X17" s="307"/>
      <c r="Y17" s="307"/>
      <c r="Z17" s="308"/>
    </row>
    <row r="18" spans="1:26" ht="15.75" customHeight="1" x14ac:dyDescent="0.2">
      <c r="A18" s="327" t="s">
        <v>73</v>
      </c>
      <c r="B18" s="327"/>
      <c r="C18" s="325" t="s">
        <v>40</v>
      </c>
      <c r="D18" s="325" t="s">
        <v>41</v>
      </c>
      <c r="E18" s="325" t="s">
        <v>42</v>
      </c>
      <c r="F18" s="325" t="s">
        <v>43</v>
      </c>
      <c r="G18" s="326" t="s">
        <v>38</v>
      </c>
      <c r="H18" s="49" t="s">
        <v>78</v>
      </c>
      <c r="I18" s="10"/>
      <c r="J18" s="286" t="s">
        <v>29</v>
      </c>
      <c r="K18" s="268"/>
      <c r="L18" s="285" t="s">
        <v>29</v>
      </c>
      <c r="M18" s="268"/>
      <c r="N18" s="296" t="s">
        <v>29</v>
      </c>
      <c r="O18" s="272"/>
      <c r="P18" s="297" t="s">
        <v>29</v>
      </c>
      <c r="Q18" s="261"/>
      <c r="R18" s="307"/>
      <c r="S18" s="307"/>
      <c r="T18" s="307"/>
      <c r="U18" s="307"/>
      <c r="V18" s="307"/>
      <c r="W18" s="307"/>
      <c r="X18" s="307"/>
      <c r="Y18" s="307"/>
      <c r="Z18" s="308"/>
    </row>
    <row r="19" spans="1:26" ht="15" customHeight="1" x14ac:dyDescent="0.2">
      <c r="A19" s="328"/>
      <c r="B19" s="328"/>
      <c r="C19" s="261"/>
      <c r="D19" s="261"/>
      <c r="E19" s="261"/>
      <c r="F19" s="261"/>
      <c r="G19" s="261"/>
      <c r="H19" s="49" t="s">
        <v>67</v>
      </c>
      <c r="I19" s="10"/>
      <c r="J19" s="286" t="s">
        <v>29</v>
      </c>
      <c r="K19" s="268"/>
      <c r="L19" s="285" t="s">
        <v>29</v>
      </c>
      <c r="M19" s="268"/>
      <c r="N19" s="296" t="s">
        <v>29</v>
      </c>
      <c r="O19" s="272"/>
      <c r="P19" s="297" t="s">
        <v>29</v>
      </c>
      <c r="Q19" s="261"/>
      <c r="R19" s="307"/>
      <c r="S19" s="307"/>
      <c r="T19" s="307"/>
      <c r="U19" s="307"/>
      <c r="V19" s="307"/>
      <c r="W19" s="307"/>
      <c r="X19" s="307"/>
      <c r="Y19" s="307"/>
      <c r="Z19" s="308"/>
    </row>
    <row r="20" spans="1:26" ht="15.75" customHeight="1" x14ac:dyDescent="0.2">
      <c r="A20" s="312" t="s">
        <v>79</v>
      </c>
      <c r="B20" s="313"/>
      <c r="C20" s="122" t="s">
        <v>422</v>
      </c>
      <c r="D20" s="122" t="s">
        <v>429</v>
      </c>
      <c r="E20" s="122" t="s">
        <v>438</v>
      </c>
      <c r="F20" s="122" t="s">
        <v>408</v>
      </c>
      <c r="G20" s="52" t="s">
        <v>29</v>
      </c>
      <c r="H20" s="6" t="s">
        <v>68</v>
      </c>
      <c r="I20" s="10"/>
      <c r="J20" s="286" t="s">
        <v>29</v>
      </c>
      <c r="K20" s="268"/>
      <c r="L20" s="285" t="s">
        <v>29</v>
      </c>
      <c r="M20" s="268"/>
      <c r="N20" s="296" t="s">
        <v>29</v>
      </c>
      <c r="O20" s="272"/>
      <c r="P20" s="297" t="s">
        <v>29</v>
      </c>
      <c r="Q20" s="261"/>
      <c r="R20" s="307"/>
      <c r="S20" s="307"/>
      <c r="T20" s="307"/>
      <c r="U20" s="307"/>
      <c r="V20" s="307"/>
      <c r="W20" s="307"/>
      <c r="X20" s="307"/>
      <c r="Y20" s="307"/>
      <c r="Z20" s="308"/>
    </row>
    <row r="21" spans="1:26" ht="15.75" customHeight="1" x14ac:dyDescent="0.2">
      <c r="A21" s="312" t="s">
        <v>46</v>
      </c>
      <c r="B21" s="313"/>
      <c r="C21" s="28" t="s">
        <v>354</v>
      </c>
      <c r="D21" s="28" t="s">
        <v>355</v>
      </c>
      <c r="E21" s="28" t="s">
        <v>356</v>
      </c>
      <c r="F21" s="28" t="s">
        <v>407</v>
      </c>
      <c r="G21" s="18" t="s">
        <v>29</v>
      </c>
      <c r="H21" s="47" t="s">
        <v>80</v>
      </c>
      <c r="I21" s="17">
        <v>41846</v>
      </c>
      <c r="J21" s="294">
        <f>I21-C16</f>
        <v>15</v>
      </c>
      <c r="K21" s="268"/>
      <c r="L21" s="294">
        <f>I21-D16</f>
        <v>14</v>
      </c>
      <c r="M21" s="268"/>
      <c r="N21" s="294">
        <f>I21-E16</f>
        <v>13</v>
      </c>
      <c r="O21" s="272"/>
      <c r="P21" s="295">
        <f>I21-F16</f>
        <v>10</v>
      </c>
      <c r="Q21" s="261"/>
      <c r="R21" s="307"/>
      <c r="S21" s="307"/>
      <c r="T21" s="307"/>
      <c r="U21" s="307"/>
      <c r="V21" s="307"/>
      <c r="W21" s="307"/>
      <c r="X21" s="307"/>
      <c r="Y21" s="307"/>
      <c r="Z21" s="308"/>
    </row>
    <row r="22" spans="1:26" ht="15.75" customHeight="1" x14ac:dyDescent="0.2">
      <c r="A22" s="312" t="s">
        <v>81</v>
      </c>
      <c r="B22" s="313"/>
      <c r="C22" s="107">
        <v>41856</v>
      </c>
      <c r="D22" s="107">
        <v>41856</v>
      </c>
      <c r="E22" s="107">
        <v>41856</v>
      </c>
      <c r="F22" s="43" t="s">
        <v>29</v>
      </c>
      <c r="G22" s="43" t="s">
        <v>29</v>
      </c>
      <c r="H22" s="48" t="s">
        <v>82</v>
      </c>
      <c r="I22" s="102">
        <v>41846</v>
      </c>
      <c r="J22" s="291">
        <v>389</v>
      </c>
      <c r="K22" s="268"/>
      <c r="L22" s="290">
        <v>372</v>
      </c>
      <c r="M22" s="268"/>
      <c r="N22" s="320">
        <v>354</v>
      </c>
      <c r="O22" s="272"/>
      <c r="P22" s="309">
        <v>168</v>
      </c>
      <c r="Q22" s="261"/>
      <c r="R22" s="307"/>
      <c r="S22" s="307"/>
      <c r="T22" s="307"/>
      <c r="U22" s="307"/>
      <c r="V22" s="307"/>
      <c r="W22" s="307"/>
      <c r="X22" s="307"/>
      <c r="Y22" s="307"/>
      <c r="Z22" s="308"/>
    </row>
    <row r="23" spans="1:26" ht="15.75" customHeight="1" x14ac:dyDescent="0.2">
      <c r="A23" s="312" t="s">
        <v>12</v>
      </c>
      <c r="B23" s="313"/>
      <c r="C23" s="28">
        <v>220612989</v>
      </c>
      <c r="D23" s="18">
        <v>220612990</v>
      </c>
      <c r="E23" s="18">
        <v>220612988</v>
      </c>
      <c r="F23" s="43" t="s">
        <v>29</v>
      </c>
      <c r="G23" s="43" t="s">
        <v>29</v>
      </c>
      <c r="H23" s="48" t="s">
        <v>83</v>
      </c>
      <c r="I23" s="102">
        <v>41846</v>
      </c>
      <c r="J23" s="429" t="s">
        <v>369</v>
      </c>
      <c r="K23" s="268"/>
      <c r="L23" s="430" t="s">
        <v>369</v>
      </c>
      <c r="M23" s="268"/>
      <c r="N23" s="431" t="s">
        <v>369</v>
      </c>
      <c r="O23" s="272"/>
      <c r="P23" s="297" t="s">
        <v>29</v>
      </c>
      <c r="Q23" s="261"/>
      <c r="R23" s="307"/>
      <c r="S23" s="307"/>
      <c r="T23" s="307"/>
      <c r="U23" s="307"/>
      <c r="V23" s="307"/>
      <c r="W23" s="307"/>
      <c r="X23" s="307"/>
      <c r="Y23" s="307"/>
      <c r="Z23" s="308"/>
    </row>
    <row r="24" spans="1:26" ht="15.75" customHeight="1" x14ac:dyDescent="0.2">
      <c r="A24" s="312" t="s">
        <v>84</v>
      </c>
      <c r="B24" s="313"/>
      <c r="C24" s="28" t="s">
        <v>410</v>
      </c>
      <c r="D24" s="28" t="s">
        <v>410</v>
      </c>
      <c r="E24" s="28" t="s">
        <v>410</v>
      </c>
      <c r="F24" s="43" t="s">
        <v>29</v>
      </c>
      <c r="G24" s="43" t="s">
        <v>29</v>
      </c>
      <c r="H24" s="48" t="s">
        <v>67</v>
      </c>
      <c r="I24" s="10"/>
      <c r="J24" s="286" t="s">
        <v>29</v>
      </c>
      <c r="K24" s="268"/>
      <c r="L24" s="321" t="s">
        <v>29</v>
      </c>
      <c r="M24" s="268"/>
      <c r="N24" s="322" t="s">
        <v>29</v>
      </c>
      <c r="O24" s="272"/>
      <c r="P24" s="297" t="s">
        <v>29</v>
      </c>
      <c r="Q24" s="261"/>
      <c r="R24" s="307"/>
      <c r="S24" s="307"/>
      <c r="T24" s="307"/>
      <c r="U24" s="307"/>
      <c r="V24" s="307"/>
      <c r="W24" s="307"/>
      <c r="X24" s="307"/>
      <c r="Y24" s="307"/>
      <c r="Z24" s="308"/>
    </row>
    <row r="25" spans="1:26" ht="15.75" customHeight="1" x14ac:dyDescent="0.2">
      <c r="A25" s="312" t="s">
        <v>11</v>
      </c>
      <c r="B25" s="313"/>
      <c r="C25" s="28" t="s">
        <v>398</v>
      </c>
      <c r="D25" s="66" t="s">
        <v>413</v>
      </c>
      <c r="E25" s="66" t="s">
        <v>447</v>
      </c>
      <c r="F25" s="43" t="s">
        <v>29</v>
      </c>
      <c r="G25" s="43" t="s">
        <v>29</v>
      </c>
      <c r="H25" s="48" t="s">
        <v>68</v>
      </c>
      <c r="I25" s="10"/>
      <c r="J25" s="286" t="s">
        <v>29</v>
      </c>
      <c r="K25" s="268"/>
      <c r="L25" s="321" t="s">
        <v>29</v>
      </c>
      <c r="M25" s="268"/>
      <c r="N25" s="322" t="s">
        <v>29</v>
      </c>
      <c r="O25" s="272"/>
      <c r="P25" s="297" t="s">
        <v>29</v>
      </c>
      <c r="Q25" s="261"/>
      <c r="R25" s="307"/>
      <c r="S25" s="307"/>
      <c r="T25" s="307"/>
      <c r="U25" s="307"/>
      <c r="V25" s="307"/>
      <c r="W25" s="307"/>
      <c r="X25" s="307"/>
      <c r="Y25" s="307"/>
      <c r="Z25" s="308"/>
    </row>
    <row r="26" spans="1:26" ht="15.75" customHeight="1" x14ac:dyDescent="0.2">
      <c r="A26" s="314" t="s">
        <v>85</v>
      </c>
      <c r="B26" s="315"/>
      <c r="C26" s="28" t="s">
        <v>410</v>
      </c>
      <c r="D26" s="28" t="s">
        <v>410</v>
      </c>
      <c r="E26" s="28" t="s">
        <v>410</v>
      </c>
      <c r="F26" s="121">
        <v>41857</v>
      </c>
      <c r="G26" s="43" t="s">
        <v>29</v>
      </c>
      <c r="H26" s="104" t="s">
        <v>372</v>
      </c>
      <c r="I26" s="102">
        <v>41851</v>
      </c>
      <c r="J26" s="291">
        <f>I26-C16</f>
        <v>20</v>
      </c>
      <c r="K26" s="268"/>
      <c r="L26" s="291">
        <f>I26-D16</f>
        <v>19</v>
      </c>
      <c r="M26" s="268"/>
      <c r="N26" s="432">
        <f>I26-E16</f>
        <v>18</v>
      </c>
      <c r="O26" s="433"/>
      <c r="P26" s="434">
        <f>I26-F16</f>
        <v>15</v>
      </c>
      <c r="Q26" s="435"/>
      <c r="R26" s="307"/>
      <c r="S26" s="307"/>
      <c r="T26" s="307"/>
      <c r="U26" s="307"/>
      <c r="V26" s="307"/>
      <c r="W26" s="307"/>
      <c r="X26" s="307"/>
      <c r="Y26" s="307"/>
      <c r="Z26" s="308"/>
    </row>
    <row r="27" spans="1:26" ht="15.75" customHeight="1" x14ac:dyDescent="0.2">
      <c r="A27" s="316" t="s">
        <v>87</v>
      </c>
      <c r="B27" s="317"/>
      <c r="C27" s="28" t="s">
        <v>410</v>
      </c>
      <c r="D27" s="28" t="s">
        <v>410</v>
      </c>
      <c r="E27" s="28" t="s">
        <v>410</v>
      </c>
      <c r="F27" s="18">
        <f>F26-F16</f>
        <v>21</v>
      </c>
      <c r="G27" s="43" t="s">
        <v>29</v>
      </c>
      <c r="H27" s="103" t="s">
        <v>373</v>
      </c>
      <c r="I27" s="102">
        <v>41851</v>
      </c>
      <c r="J27" s="291">
        <v>484</v>
      </c>
      <c r="K27" s="268"/>
      <c r="L27" s="290">
        <v>482</v>
      </c>
      <c r="M27" s="268"/>
      <c r="N27" s="320">
        <v>493</v>
      </c>
      <c r="O27" s="272"/>
      <c r="P27" s="309">
        <v>249</v>
      </c>
      <c r="Q27" s="261"/>
      <c r="R27" s="307"/>
      <c r="S27" s="307"/>
      <c r="T27" s="307"/>
      <c r="U27" s="307"/>
      <c r="V27" s="307"/>
      <c r="W27" s="307"/>
      <c r="X27" s="307"/>
      <c r="Y27" s="307"/>
      <c r="Z27" s="308"/>
    </row>
    <row r="28" spans="1:26" ht="15.75" customHeight="1" x14ac:dyDescent="0.2">
      <c r="A28" s="61"/>
      <c r="B28" s="7"/>
      <c r="C28" s="4"/>
      <c r="D28" s="4"/>
      <c r="E28" s="4"/>
      <c r="F28" s="4"/>
      <c r="G28" s="4"/>
      <c r="H28" s="48" t="s">
        <v>83</v>
      </c>
      <c r="I28" s="102">
        <v>41851</v>
      </c>
      <c r="J28" s="297" t="s">
        <v>29</v>
      </c>
      <c r="K28" s="261"/>
      <c r="L28" s="297" t="s">
        <v>29</v>
      </c>
      <c r="M28" s="261"/>
      <c r="N28" s="297" t="s">
        <v>29</v>
      </c>
      <c r="O28" s="261"/>
      <c r="P28" s="414" t="s">
        <v>369</v>
      </c>
      <c r="Q28" s="436"/>
      <c r="R28" s="53"/>
      <c r="S28" s="30"/>
      <c r="T28" s="4"/>
      <c r="U28" s="4"/>
      <c r="V28" s="4"/>
      <c r="W28" s="26"/>
      <c r="X28" s="4"/>
      <c r="Y28" s="4"/>
      <c r="Z28" s="4"/>
    </row>
    <row r="29" spans="1:26" ht="18" customHeight="1" x14ac:dyDescent="0.2">
      <c r="H29" s="49" t="s">
        <v>67</v>
      </c>
      <c r="I29" s="10"/>
      <c r="J29" s="286" t="s">
        <v>29</v>
      </c>
      <c r="K29" s="268"/>
      <c r="L29" s="285" t="s">
        <v>29</v>
      </c>
      <c r="M29" s="268"/>
      <c r="N29" s="296" t="s">
        <v>29</v>
      </c>
      <c r="O29" s="272"/>
      <c r="P29" s="297" t="s">
        <v>29</v>
      </c>
      <c r="Q29" s="261"/>
    </row>
    <row r="30" spans="1:26" ht="18" customHeight="1" x14ac:dyDescent="0.2">
      <c r="H30" s="6" t="s">
        <v>68</v>
      </c>
      <c r="I30" s="10"/>
      <c r="J30" s="286" t="s">
        <v>29</v>
      </c>
      <c r="K30" s="268"/>
      <c r="L30" s="285" t="s">
        <v>29</v>
      </c>
      <c r="M30" s="268"/>
      <c r="N30" s="296" t="s">
        <v>29</v>
      </c>
      <c r="O30" s="272"/>
      <c r="P30" s="297" t="s">
        <v>29</v>
      </c>
      <c r="Q30" s="261"/>
    </row>
    <row r="31" spans="1:26" ht="18" customHeight="1" x14ac:dyDescent="0.2">
      <c r="H31" s="104" t="s">
        <v>414</v>
      </c>
      <c r="I31" s="17">
        <v>41856</v>
      </c>
      <c r="J31" s="294">
        <f>I31-C16</f>
        <v>25</v>
      </c>
      <c r="K31" s="268"/>
      <c r="L31" s="294">
        <v>24</v>
      </c>
      <c r="M31" s="268"/>
      <c r="N31" s="294">
        <f>I31-E16</f>
        <v>23</v>
      </c>
      <c r="O31" s="272"/>
      <c r="P31" s="295">
        <f>I31-F16</f>
        <v>20</v>
      </c>
      <c r="Q31" s="261"/>
    </row>
    <row r="32" spans="1:26" ht="18" customHeight="1" x14ac:dyDescent="0.2">
      <c r="H32" s="103" t="s">
        <v>415</v>
      </c>
      <c r="I32" s="102">
        <v>41856</v>
      </c>
      <c r="J32" s="443">
        <v>559</v>
      </c>
      <c r="K32" s="444"/>
      <c r="L32" s="441">
        <v>570</v>
      </c>
      <c r="M32" s="442"/>
      <c r="N32" s="438">
        <v>574</v>
      </c>
      <c r="O32" s="439"/>
      <c r="P32" s="434">
        <v>350</v>
      </c>
      <c r="Q32" s="435"/>
    </row>
    <row r="33" spans="8:17" ht="18" customHeight="1" x14ac:dyDescent="0.2">
      <c r="H33" s="48" t="s">
        <v>83</v>
      </c>
      <c r="I33" s="102">
        <v>41856</v>
      </c>
      <c r="J33" s="357" t="s">
        <v>369</v>
      </c>
      <c r="K33" s="445"/>
      <c r="L33" s="376" t="s">
        <v>369</v>
      </c>
      <c r="M33" s="440"/>
      <c r="N33" s="377" t="s">
        <v>369</v>
      </c>
      <c r="O33" s="437"/>
      <c r="P33" s="414" t="s">
        <v>371</v>
      </c>
      <c r="Q33" s="436"/>
    </row>
    <row r="34" spans="8:17" ht="18" customHeight="1" x14ac:dyDescent="0.2">
      <c r="H34" s="49" t="s">
        <v>67</v>
      </c>
      <c r="I34" s="10"/>
      <c r="J34" s="286" t="s">
        <v>29</v>
      </c>
      <c r="K34" s="268"/>
      <c r="L34" s="285" t="s">
        <v>29</v>
      </c>
      <c r="M34" s="268"/>
      <c r="N34" s="296" t="s">
        <v>29</v>
      </c>
      <c r="O34" s="272"/>
      <c r="P34" s="297" t="s">
        <v>29</v>
      </c>
      <c r="Q34" s="261"/>
    </row>
    <row r="35" spans="8:17" ht="18" customHeight="1" x14ac:dyDescent="0.2">
      <c r="H35" s="6" t="s">
        <v>68</v>
      </c>
      <c r="I35" s="10"/>
      <c r="J35" s="286" t="s">
        <v>29</v>
      </c>
      <c r="K35" s="268"/>
      <c r="L35" s="285" t="s">
        <v>29</v>
      </c>
      <c r="M35" s="268"/>
      <c r="N35" s="296" t="s">
        <v>29</v>
      </c>
      <c r="O35" s="272"/>
      <c r="P35" s="297" t="s">
        <v>29</v>
      </c>
      <c r="Q35" s="261"/>
    </row>
    <row r="36" spans="8:17" ht="18" customHeight="1" x14ac:dyDescent="0.2">
      <c r="H36" s="104" t="s">
        <v>414</v>
      </c>
      <c r="I36" s="17">
        <v>41861</v>
      </c>
      <c r="J36" s="294">
        <f>I36-C16</f>
        <v>30</v>
      </c>
      <c r="K36" s="268"/>
      <c r="L36" s="294">
        <f>I36-D16</f>
        <v>29</v>
      </c>
      <c r="M36" s="268"/>
      <c r="N36" s="294">
        <f>I36-E16</f>
        <v>28</v>
      </c>
      <c r="O36" s="272"/>
      <c r="P36" s="365" t="s">
        <v>410</v>
      </c>
      <c r="Q36" s="261"/>
    </row>
    <row r="37" spans="8:17" ht="18" customHeight="1" x14ac:dyDescent="0.2">
      <c r="H37" s="103" t="s">
        <v>415</v>
      </c>
      <c r="I37" s="17">
        <v>41861</v>
      </c>
      <c r="J37" s="443">
        <v>659</v>
      </c>
      <c r="K37" s="444"/>
      <c r="L37" s="441">
        <v>642</v>
      </c>
      <c r="M37" s="442"/>
      <c r="N37" s="438">
        <v>648</v>
      </c>
      <c r="O37" s="439"/>
      <c r="P37" s="414" t="s">
        <v>410</v>
      </c>
      <c r="Q37" s="435"/>
    </row>
    <row r="38" spans="8:17" ht="18" customHeight="1" x14ac:dyDescent="0.2">
      <c r="H38" s="48" t="s">
        <v>83</v>
      </c>
      <c r="I38" s="10"/>
      <c r="J38" s="286" t="s">
        <v>29</v>
      </c>
      <c r="K38" s="268"/>
      <c r="L38" s="286" t="s">
        <v>29</v>
      </c>
      <c r="M38" s="268"/>
      <c r="N38" s="286" t="s">
        <v>29</v>
      </c>
      <c r="O38" s="268"/>
      <c r="P38" s="286" t="s">
        <v>29</v>
      </c>
      <c r="Q38" s="268"/>
    </row>
    <row r="39" spans="8:17" ht="18" customHeight="1" x14ac:dyDescent="0.2">
      <c r="H39" s="49" t="s">
        <v>67</v>
      </c>
      <c r="I39" s="10"/>
      <c r="J39" s="286" t="s">
        <v>29</v>
      </c>
      <c r="K39" s="268"/>
      <c r="L39" s="285" t="s">
        <v>29</v>
      </c>
      <c r="M39" s="268"/>
      <c r="N39" s="296" t="s">
        <v>29</v>
      </c>
      <c r="O39" s="272"/>
      <c r="P39" s="297" t="s">
        <v>29</v>
      </c>
      <c r="Q39" s="261"/>
    </row>
    <row r="40" spans="8:17" ht="18" customHeight="1" x14ac:dyDescent="0.2">
      <c r="H40" s="6" t="s">
        <v>68</v>
      </c>
      <c r="I40" s="10"/>
      <c r="J40" s="286" t="s">
        <v>29</v>
      </c>
      <c r="K40" s="268"/>
      <c r="L40" s="285" t="s">
        <v>29</v>
      </c>
      <c r="M40" s="268"/>
      <c r="N40" s="296" t="s">
        <v>29</v>
      </c>
      <c r="O40" s="272"/>
      <c r="P40" s="297" t="s">
        <v>29</v>
      </c>
      <c r="Q40" s="261"/>
    </row>
  </sheetData>
  <mergeCells count="180">
    <mergeCell ref="J38:K38"/>
    <mergeCell ref="L38:M38"/>
    <mergeCell ref="N38:O38"/>
    <mergeCell ref="P38:Q38"/>
    <mergeCell ref="J39:K39"/>
    <mergeCell ref="L39:M39"/>
    <mergeCell ref="N39:O39"/>
    <mergeCell ref="P39:Q39"/>
    <mergeCell ref="J40:K40"/>
    <mergeCell ref="L40:M40"/>
    <mergeCell ref="N40:O40"/>
    <mergeCell ref="P40:Q40"/>
    <mergeCell ref="J35:K35"/>
    <mergeCell ref="L35:M35"/>
    <mergeCell ref="N35:O35"/>
    <mergeCell ref="P35:Q35"/>
    <mergeCell ref="J36:K36"/>
    <mergeCell ref="L36:M36"/>
    <mergeCell ref="N36:O36"/>
    <mergeCell ref="P36:Q36"/>
    <mergeCell ref="J37:K37"/>
    <mergeCell ref="L37:M37"/>
    <mergeCell ref="N37:O37"/>
    <mergeCell ref="P37:Q37"/>
    <mergeCell ref="N30:O30"/>
    <mergeCell ref="P30:Q30"/>
    <mergeCell ref="J34:K34"/>
    <mergeCell ref="L34:M34"/>
    <mergeCell ref="N34:O34"/>
    <mergeCell ref="P34:Q34"/>
    <mergeCell ref="P33:Q33"/>
    <mergeCell ref="P32:Q32"/>
    <mergeCell ref="N33:O33"/>
    <mergeCell ref="N32:O32"/>
    <mergeCell ref="L33:M33"/>
    <mergeCell ref="L32:M32"/>
    <mergeCell ref="J32:K32"/>
    <mergeCell ref="J33:K33"/>
    <mergeCell ref="J28:K28"/>
    <mergeCell ref="L28:M28"/>
    <mergeCell ref="N28:O28"/>
    <mergeCell ref="P28:Q28"/>
    <mergeCell ref="J31:K31"/>
    <mergeCell ref="L31:M31"/>
    <mergeCell ref="N31:O31"/>
    <mergeCell ref="P31:Q31"/>
    <mergeCell ref="J15:K15"/>
    <mergeCell ref="L15:M15"/>
    <mergeCell ref="N15:O15"/>
    <mergeCell ref="P15:Q15"/>
    <mergeCell ref="L22:M22"/>
    <mergeCell ref="N22:O22"/>
    <mergeCell ref="P22:Q22"/>
    <mergeCell ref="L16:M16"/>
    <mergeCell ref="N16:O16"/>
    <mergeCell ref="P16:Q16"/>
    <mergeCell ref="J29:K29"/>
    <mergeCell ref="L29:M29"/>
    <mergeCell ref="N29:O29"/>
    <mergeCell ref="P29:Q29"/>
    <mergeCell ref="J30:K30"/>
    <mergeCell ref="L30:M30"/>
    <mergeCell ref="R15:Z27"/>
    <mergeCell ref="J16:K16"/>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C21" sqref="AC21"/>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21</v>
      </c>
      <c r="G1" s="226" t="s">
        <v>3</v>
      </c>
      <c r="H1" s="216" t="s">
        <v>4</v>
      </c>
      <c r="I1" s="329" t="s">
        <v>5</v>
      </c>
      <c r="J1" s="261"/>
      <c r="K1" s="262" t="s">
        <v>310</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196</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J11" sqref="J11:K11"/>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22</v>
      </c>
      <c r="G1" s="226" t="s">
        <v>3</v>
      </c>
      <c r="H1" s="216"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295</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B16" sqref="AB16"/>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7.85546875" style="25" customWidth="1"/>
    <col min="28" max="29" width="11.85546875" style="25"/>
    <col min="30" max="30" width="12.5703125" style="25" customWidth="1"/>
    <col min="31" max="16384" width="11.85546875" style="25"/>
  </cols>
  <sheetData>
    <row r="1" spans="1:30" ht="12.75" x14ac:dyDescent="0.2">
      <c r="A1" s="58" t="s">
        <v>0</v>
      </c>
      <c r="B1" s="59">
        <v>2014</v>
      </c>
      <c r="C1" s="58" t="s">
        <v>1</v>
      </c>
      <c r="D1" s="59"/>
      <c r="E1" s="58" t="s">
        <v>2</v>
      </c>
      <c r="F1" s="55">
        <v>23</v>
      </c>
      <c r="G1" s="56" t="s">
        <v>3</v>
      </c>
      <c r="H1" s="55" t="s">
        <v>4</v>
      </c>
      <c r="I1" s="260" t="s">
        <v>5</v>
      </c>
      <c r="J1" s="261"/>
      <c r="K1" s="262" t="s">
        <v>312</v>
      </c>
      <c r="L1" s="261"/>
      <c r="M1" s="261"/>
      <c r="N1" s="261"/>
      <c r="O1" s="261"/>
      <c r="P1" s="263" t="s">
        <v>6</v>
      </c>
      <c r="Q1" s="261"/>
      <c r="R1" s="264"/>
      <c r="S1" s="265"/>
      <c r="T1" s="16"/>
      <c r="U1" s="16"/>
      <c r="V1" s="16"/>
      <c r="W1" s="16"/>
      <c r="X1" s="16"/>
      <c r="Y1" s="16"/>
      <c r="Z1" s="34"/>
    </row>
    <row r="2" spans="1:30" ht="27.75" customHeight="1" x14ac:dyDescent="0.2">
      <c r="A2" s="57" t="s">
        <v>8</v>
      </c>
      <c r="B2" s="54" t="s">
        <v>9</v>
      </c>
      <c r="C2" s="54" t="s">
        <v>10</v>
      </c>
      <c r="D2" s="54" t="s">
        <v>11</v>
      </c>
      <c r="E2" s="54" t="s">
        <v>12</v>
      </c>
      <c r="F2" s="54" t="s">
        <v>13</v>
      </c>
      <c r="G2" s="54" t="s">
        <v>14</v>
      </c>
      <c r="H2" s="54" t="s">
        <v>15</v>
      </c>
      <c r="I2" s="13" t="s">
        <v>16</v>
      </c>
      <c r="J2" s="54" t="s">
        <v>17</v>
      </c>
      <c r="K2" s="54" t="s">
        <v>18</v>
      </c>
      <c r="L2" s="266"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32" t="s">
        <v>90</v>
      </c>
      <c r="AD2" s="31" t="s">
        <v>95</v>
      </c>
    </row>
    <row r="3" spans="1:30" ht="15.75" customHeight="1" x14ac:dyDescent="0.2">
      <c r="A3" s="18" t="s">
        <v>29</v>
      </c>
      <c r="B3" s="18" t="s">
        <v>29</v>
      </c>
      <c r="C3" s="28" t="s">
        <v>29</v>
      </c>
      <c r="D3" s="18" t="s">
        <v>29</v>
      </c>
      <c r="E3" s="18" t="s">
        <v>29</v>
      </c>
      <c r="F3" s="18" t="s">
        <v>29</v>
      </c>
      <c r="G3" s="18" t="s">
        <v>29</v>
      </c>
      <c r="H3" s="18" t="s">
        <v>29</v>
      </c>
      <c r="I3" s="18" t="s">
        <v>29</v>
      </c>
      <c r="J3" s="18" t="s">
        <v>29</v>
      </c>
      <c r="K3" s="18" t="s">
        <v>29</v>
      </c>
      <c r="L3" s="41" t="s">
        <v>29</v>
      </c>
      <c r="M3" s="41" t="s">
        <v>29</v>
      </c>
      <c r="N3" s="18" t="s">
        <v>29</v>
      </c>
      <c r="O3" s="18" t="s">
        <v>29</v>
      </c>
      <c r="P3" s="20" t="s">
        <v>29</v>
      </c>
      <c r="Q3" s="20" t="s">
        <v>29</v>
      </c>
      <c r="R3" s="20" t="s">
        <v>29</v>
      </c>
      <c r="S3" s="20" t="s">
        <v>29</v>
      </c>
      <c r="T3" s="20" t="s">
        <v>29</v>
      </c>
      <c r="U3" s="18" t="s">
        <v>29</v>
      </c>
      <c r="V3" s="18" t="s">
        <v>29</v>
      </c>
      <c r="W3" s="18" t="s">
        <v>29</v>
      </c>
      <c r="X3" s="20" t="s">
        <v>29</v>
      </c>
      <c r="Y3" s="33" t="s">
        <v>29</v>
      </c>
      <c r="Z3" s="33" t="s">
        <v>29</v>
      </c>
    </row>
    <row r="4" spans="1:30"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5" t="s">
        <v>26</v>
      </c>
      <c r="V4" s="27" t="s">
        <v>92</v>
      </c>
      <c r="W4" s="27" t="s">
        <v>93</v>
      </c>
      <c r="X4" s="5" t="s">
        <v>27</v>
      </c>
      <c r="Y4" s="271" t="s">
        <v>28</v>
      </c>
      <c r="Z4" s="272"/>
      <c r="AA4" s="31" t="s">
        <v>89</v>
      </c>
      <c r="AB4" s="31" t="s">
        <v>91</v>
      </c>
      <c r="AC4" s="32" t="s">
        <v>90</v>
      </c>
      <c r="AD4" s="31" t="s">
        <v>95</v>
      </c>
    </row>
    <row r="5" spans="1:30" ht="15.75" customHeight="1" x14ac:dyDescent="0.2">
      <c r="A5" s="28" t="s">
        <v>103</v>
      </c>
      <c r="B5" s="64">
        <v>41804</v>
      </c>
      <c r="C5" s="28" t="s">
        <v>108</v>
      </c>
      <c r="D5" s="18" t="s">
        <v>29</v>
      </c>
      <c r="E5" s="28" t="s">
        <v>221</v>
      </c>
      <c r="F5" s="28" t="s">
        <v>222</v>
      </c>
      <c r="G5" s="28" t="s">
        <v>219</v>
      </c>
      <c r="H5" s="18" t="s">
        <v>29</v>
      </c>
      <c r="I5" s="37" t="s">
        <v>29</v>
      </c>
      <c r="J5" s="37">
        <v>1085</v>
      </c>
      <c r="K5" s="37">
        <v>3</v>
      </c>
      <c r="L5" s="42" t="s">
        <v>29</v>
      </c>
      <c r="M5" s="42" t="s">
        <v>29</v>
      </c>
      <c r="N5" s="37">
        <v>371</v>
      </c>
      <c r="O5" s="37">
        <v>174</v>
      </c>
      <c r="P5" s="38" t="s">
        <v>29</v>
      </c>
      <c r="Q5" s="38" t="s">
        <v>29</v>
      </c>
      <c r="R5" s="20" t="s">
        <v>29</v>
      </c>
      <c r="S5" s="20" t="s">
        <v>29</v>
      </c>
      <c r="T5" s="20" t="s">
        <v>29</v>
      </c>
      <c r="U5" s="28" t="s">
        <v>216</v>
      </c>
      <c r="V5" s="28" t="s">
        <v>205</v>
      </c>
      <c r="W5" s="28" t="s">
        <v>205</v>
      </c>
      <c r="X5" s="20" t="s">
        <v>29</v>
      </c>
      <c r="Y5" s="20" t="s">
        <v>29</v>
      </c>
      <c r="Z5" s="20" t="s">
        <v>29</v>
      </c>
      <c r="AA5" s="69" t="s">
        <v>112</v>
      </c>
      <c r="AB5" s="69" t="s">
        <v>205</v>
      </c>
      <c r="AC5" s="69" t="s">
        <v>223</v>
      </c>
      <c r="AD5" s="96"/>
    </row>
    <row r="6" spans="1:30" ht="16.5" customHeight="1" x14ac:dyDescent="0.2">
      <c r="A6" s="12" t="s">
        <v>33</v>
      </c>
      <c r="B6" s="5" t="s">
        <v>9</v>
      </c>
      <c r="C6" s="60" t="s">
        <v>34</v>
      </c>
      <c r="D6" s="60" t="s">
        <v>35</v>
      </c>
      <c r="E6" s="60" t="s">
        <v>36</v>
      </c>
      <c r="F6" s="60" t="s">
        <v>37</v>
      </c>
      <c r="G6" s="60" t="s">
        <v>38</v>
      </c>
      <c r="H6" s="36" t="s">
        <v>39</v>
      </c>
      <c r="I6" s="62" t="s">
        <v>9</v>
      </c>
      <c r="J6" s="280" t="s">
        <v>40</v>
      </c>
      <c r="K6" s="280"/>
      <c r="L6" s="280" t="s">
        <v>41</v>
      </c>
      <c r="M6" s="280"/>
      <c r="N6" s="280" t="s">
        <v>42</v>
      </c>
      <c r="O6" s="280"/>
      <c r="P6" s="280" t="s">
        <v>43</v>
      </c>
      <c r="Q6" s="280"/>
      <c r="R6" s="35"/>
      <c r="S6" s="273" t="s">
        <v>44</v>
      </c>
      <c r="T6" s="274"/>
      <c r="U6" s="274"/>
      <c r="V6" s="274"/>
      <c r="W6" s="275"/>
      <c r="X6" s="274"/>
      <c r="Y6" s="274"/>
      <c r="Z6" s="268"/>
    </row>
    <row r="7" spans="1:30" ht="15.75" customHeight="1" x14ac:dyDescent="0.2">
      <c r="A7" s="1" t="s">
        <v>45</v>
      </c>
      <c r="B7" s="20"/>
      <c r="C7" s="19">
        <v>41794</v>
      </c>
      <c r="D7" s="19">
        <v>41796</v>
      </c>
      <c r="E7" s="19">
        <v>41798</v>
      </c>
      <c r="F7" s="19">
        <v>41800</v>
      </c>
      <c r="G7" s="15">
        <f>AVERAGE(C7:F7)</f>
        <v>41797</v>
      </c>
      <c r="H7" s="6" t="s">
        <v>46</v>
      </c>
      <c r="I7" s="39"/>
      <c r="J7" s="276" t="s">
        <v>360</v>
      </c>
      <c r="K7" s="267"/>
      <c r="L7" s="277" t="s">
        <v>29</v>
      </c>
      <c r="M7" s="267"/>
      <c r="N7" s="277" t="s">
        <v>29</v>
      </c>
      <c r="O7" s="267"/>
      <c r="P7" s="278" t="s">
        <v>29</v>
      </c>
      <c r="Q7" s="267"/>
      <c r="R7" s="23" t="s">
        <v>47</v>
      </c>
      <c r="S7" s="24"/>
      <c r="T7" s="43">
        <v>4</v>
      </c>
      <c r="U7" s="279" t="s">
        <v>48</v>
      </c>
      <c r="V7" s="279"/>
      <c r="W7" s="279"/>
      <c r="X7" s="349" t="s">
        <v>195</v>
      </c>
      <c r="Y7" s="282"/>
      <c r="Z7" s="283"/>
    </row>
    <row r="8" spans="1:30" ht="15.75" customHeight="1" x14ac:dyDescent="0.2">
      <c r="A8" s="3" t="s">
        <v>49</v>
      </c>
      <c r="B8" s="20" t="s">
        <v>29</v>
      </c>
      <c r="C8" s="20" t="s">
        <v>29</v>
      </c>
      <c r="D8" s="20" t="s">
        <v>29</v>
      </c>
      <c r="E8" s="20" t="s">
        <v>29</v>
      </c>
      <c r="F8" s="20" t="s">
        <v>29</v>
      </c>
      <c r="G8" s="60"/>
      <c r="H8" s="6" t="s">
        <v>50</v>
      </c>
      <c r="I8" s="17">
        <v>41842</v>
      </c>
      <c r="J8" s="446" t="s">
        <v>408</v>
      </c>
      <c r="K8" s="268"/>
      <c r="L8" s="290" t="s">
        <v>29</v>
      </c>
      <c r="M8" s="268"/>
      <c r="N8" s="290" t="s">
        <v>29</v>
      </c>
      <c r="O8" s="268"/>
      <c r="P8" s="290" t="s">
        <v>29</v>
      </c>
      <c r="Q8" s="268"/>
      <c r="R8" s="22" t="s">
        <v>51</v>
      </c>
      <c r="S8" s="11"/>
      <c r="T8" s="174" t="s">
        <v>408</v>
      </c>
      <c r="U8" s="310" t="s">
        <v>52</v>
      </c>
      <c r="V8" s="310"/>
      <c r="W8" s="310"/>
      <c r="X8" s="298" t="s">
        <v>29</v>
      </c>
      <c r="Y8" s="299"/>
      <c r="Z8" s="300"/>
    </row>
    <row r="9" spans="1:30" ht="15.75" customHeight="1" x14ac:dyDescent="0.2">
      <c r="A9" s="3" t="s">
        <v>49</v>
      </c>
      <c r="B9" s="20" t="s">
        <v>29</v>
      </c>
      <c r="C9" s="20" t="s">
        <v>29</v>
      </c>
      <c r="D9" s="20" t="s">
        <v>29</v>
      </c>
      <c r="E9" s="20" t="s">
        <v>29</v>
      </c>
      <c r="F9" s="20" t="s">
        <v>29</v>
      </c>
      <c r="G9" s="60"/>
      <c r="H9" s="6" t="s">
        <v>53</v>
      </c>
      <c r="I9" s="102">
        <v>41842</v>
      </c>
      <c r="J9" s="289">
        <v>352</v>
      </c>
      <c r="K9" s="268"/>
      <c r="L9" s="290" t="s">
        <v>29</v>
      </c>
      <c r="M9" s="268"/>
      <c r="N9" s="290" t="s">
        <v>29</v>
      </c>
      <c r="O9" s="268"/>
      <c r="P9" s="290" t="s">
        <v>29</v>
      </c>
      <c r="Q9" s="268"/>
      <c r="R9" s="22" t="s">
        <v>54</v>
      </c>
      <c r="S9" s="11"/>
      <c r="T9" s="174" t="s">
        <v>408</v>
      </c>
      <c r="U9" s="310" t="s">
        <v>55</v>
      </c>
      <c r="V9" s="310"/>
      <c r="W9" s="310"/>
      <c r="X9" s="298" t="s">
        <v>29</v>
      </c>
      <c r="Y9" s="299"/>
      <c r="Z9" s="300"/>
    </row>
    <row r="10" spans="1:30" ht="15" customHeight="1" x14ac:dyDescent="0.2">
      <c r="A10" s="3" t="s">
        <v>49</v>
      </c>
      <c r="B10" s="20" t="s">
        <v>29</v>
      </c>
      <c r="C10" s="20" t="s">
        <v>29</v>
      </c>
      <c r="D10" s="20" t="s">
        <v>29</v>
      </c>
      <c r="E10" s="20" t="s">
        <v>29</v>
      </c>
      <c r="F10" s="20" t="s">
        <v>29</v>
      </c>
      <c r="G10" s="60"/>
      <c r="H10" s="6" t="s">
        <v>56</v>
      </c>
      <c r="I10" s="10"/>
      <c r="J10" s="284" t="s">
        <v>29</v>
      </c>
      <c r="K10" s="268"/>
      <c r="L10" s="285" t="s">
        <v>29</v>
      </c>
      <c r="M10" s="268"/>
      <c r="N10" s="285" t="s">
        <v>29</v>
      </c>
      <c r="O10" s="268"/>
      <c r="P10" s="286" t="s">
        <v>29</v>
      </c>
      <c r="Q10" s="268"/>
      <c r="R10" s="22" t="s">
        <v>57</v>
      </c>
      <c r="S10" s="11"/>
      <c r="T10" s="43">
        <v>1</v>
      </c>
      <c r="U10" s="310" t="s">
        <v>58</v>
      </c>
      <c r="V10" s="310"/>
      <c r="W10" s="310"/>
      <c r="X10" s="298">
        <v>0</v>
      </c>
      <c r="Y10" s="299"/>
      <c r="Z10" s="300"/>
    </row>
    <row r="11" spans="1:30" ht="15" customHeight="1" x14ac:dyDescent="0.2">
      <c r="A11" s="3" t="s">
        <v>49</v>
      </c>
      <c r="B11" s="20" t="s">
        <v>29</v>
      </c>
      <c r="C11" s="20" t="s">
        <v>29</v>
      </c>
      <c r="D11" s="20" t="s">
        <v>29</v>
      </c>
      <c r="E11" s="20" t="s">
        <v>29</v>
      </c>
      <c r="F11" s="20" t="s">
        <v>29</v>
      </c>
      <c r="G11" s="60"/>
      <c r="H11" s="6" t="s">
        <v>59</v>
      </c>
      <c r="I11" s="17">
        <v>41855</v>
      </c>
      <c r="J11" s="446" t="s">
        <v>408</v>
      </c>
      <c r="K11" s="268"/>
      <c r="L11" s="290" t="s">
        <v>29</v>
      </c>
      <c r="M11" s="268"/>
      <c r="N11" s="290" t="s">
        <v>29</v>
      </c>
      <c r="O11" s="268"/>
      <c r="P11" s="290" t="s">
        <v>29</v>
      </c>
      <c r="Q11" s="268"/>
      <c r="R11" s="22" t="s">
        <v>60</v>
      </c>
      <c r="S11" s="11"/>
      <c r="T11" s="43">
        <v>1</v>
      </c>
      <c r="U11" s="310" t="s">
        <v>61</v>
      </c>
      <c r="V11" s="310"/>
      <c r="W11" s="310"/>
      <c r="X11" s="298" t="s">
        <v>29</v>
      </c>
      <c r="Y11" s="299"/>
      <c r="Z11" s="300"/>
    </row>
    <row r="12" spans="1:30" ht="15.75" customHeight="1" x14ac:dyDescent="0.2">
      <c r="A12" s="3" t="s">
        <v>49</v>
      </c>
      <c r="B12" s="20" t="s">
        <v>29</v>
      </c>
      <c r="C12" s="20" t="s">
        <v>29</v>
      </c>
      <c r="D12" s="20" t="s">
        <v>29</v>
      </c>
      <c r="E12" s="20" t="s">
        <v>29</v>
      </c>
      <c r="F12" s="20" t="s">
        <v>29</v>
      </c>
      <c r="G12" s="60"/>
      <c r="H12" s="6" t="s">
        <v>62</v>
      </c>
      <c r="I12" s="102">
        <v>41855</v>
      </c>
      <c r="J12" s="289">
        <v>618</v>
      </c>
      <c r="K12" s="268"/>
      <c r="L12" s="290" t="s">
        <v>29</v>
      </c>
      <c r="M12" s="268"/>
      <c r="N12" s="290" t="s">
        <v>29</v>
      </c>
      <c r="O12" s="268"/>
      <c r="P12" s="290" t="s">
        <v>29</v>
      </c>
      <c r="Q12" s="268"/>
      <c r="R12" s="22" t="s">
        <v>63</v>
      </c>
      <c r="S12" s="11"/>
      <c r="T12" s="168" t="s">
        <v>408</v>
      </c>
      <c r="U12" s="311" t="s">
        <v>64</v>
      </c>
      <c r="V12" s="311"/>
      <c r="W12" s="311"/>
      <c r="X12" s="301" t="s">
        <v>29</v>
      </c>
      <c r="Y12" s="302"/>
      <c r="Z12" s="303"/>
    </row>
    <row r="13" spans="1:30" ht="15.75" customHeight="1" x14ac:dyDescent="0.2">
      <c r="A13" s="3" t="s">
        <v>49</v>
      </c>
      <c r="B13" s="20" t="s">
        <v>29</v>
      </c>
      <c r="C13" s="20" t="s">
        <v>29</v>
      </c>
      <c r="D13" s="20" t="s">
        <v>29</v>
      </c>
      <c r="E13" s="20" t="s">
        <v>29</v>
      </c>
      <c r="F13" s="20" t="s">
        <v>29</v>
      </c>
      <c r="G13" s="60"/>
      <c r="H13" s="6" t="s">
        <v>65</v>
      </c>
      <c r="I13" s="10"/>
      <c r="J13" s="284" t="s">
        <v>29</v>
      </c>
      <c r="K13" s="268"/>
      <c r="L13" s="285" t="s">
        <v>29</v>
      </c>
      <c r="M13" s="268"/>
      <c r="N13" s="285" t="s">
        <v>29</v>
      </c>
      <c r="O13" s="268"/>
      <c r="P13" s="286" t="s">
        <v>29</v>
      </c>
      <c r="Q13" s="272"/>
      <c r="R13" s="424" t="s">
        <v>66</v>
      </c>
      <c r="S13" s="425"/>
      <c r="T13" s="425"/>
      <c r="U13" s="425"/>
      <c r="V13" s="425"/>
      <c r="W13" s="425"/>
      <c r="X13" s="425"/>
      <c r="Y13" s="425"/>
      <c r="Z13" s="426"/>
    </row>
    <row r="14" spans="1:30" ht="15.75" customHeight="1" x14ac:dyDescent="0.2">
      <c r="A14" s="3" t="s">
        <v>49</v>
      </c>
      <c r="B14" s="20" t="s">
        <v>29</v>
      </c>
      <c r="C14" s="20" t="s">
        <v>29</v>
      </c>
      <c r="D14" s="20" t="s">
        <v>29</v>
      </c>
      <c r="E14" s="20" t="s">
        <v>29</v>
      </c>
      <c r="F14" s="20" t="s">
        <v>29</v>
      </c>
      <c r="G14" s="60"/>
      <c r="H14" s="6" t="s">
        <v>67</v>
      </c>
      <c r="I14" s="10"/>
      <c r="J14" s="284" t="s">
        <v>29</v>
      </c>
      <c r="K14" s="268"/>
      <c r="L14" s="285" t="s">
        <v>29</v>
      </c>
      <c r="M14" s="268"/>
      <c r="N14" s="285" t="s">
        <v>29</v>
      </c>
      <c r="O14" s="268"/>
      <c r="P14" s="286" t="s">
        <v>29</v>
      </c>
      <c r="Q14" s="272"/>
      <c r="R14" s="427"/>
      <c r="S14" s="428"/>
      <c r="T14" s="428"/>
      <c r="U14" s="428"/>
      <c r="V14" s="428"/>
      <c r="W14" s="428"/>
      <c r="X14" s="428"/>
      <c r="Y14" s="428"/>
      <c r="Z14" s="428"/>
    </row>
    <row r="15" spans="1:30" ht="15.75" customHeight="1" x14ac:dyDescent="0.2">
      <c r="A15" s="3" t="s">
        <v>49</v>
      </c>
      <c r="B15" s="20" t="s">
        <v>29</v>
      </c>
      <c r="C15" s="20" t="s">
        <v>29</v>
      </c>
      <c r="D15" s="20" t="s">
        <v>29</v>
      </c>
      <c r="E15" s="20" t="s">
        <v>29</v>
      </c>
      <c r="F15" s="20" t="s">
        <v>29</v>
      </c>
      <c r="G15" s="60"/>
      <c r="H15" s="6" t="s">
        <v>68</v>
      </c>
      <c r="I15" s="10"/>
      <c r="J15" s="284" t="s">
        <v>29</v>
      </c>
      <c r="K15" s="268"/>
      <c r="L15" s="285" t="s">
        <v>29</v>
      </c>
      <c r="M15" s="268"/>
      <c r="N15" s="285" t="s">
        <v>29</v>
      </c>
      <c r="O15" s="268"/>
      <c r="P15" s="292" t="s">
        <v>29</v>
      </c>
      <c r="Q15" s="293"/>
      <c r="R15" s="305" t="s">
        <v>425</v>
      </c>
      <c r="S15" s="305"/>
      <c r="T15" s="305"/>
      <c r="U15" s="305"/>
      <c r="V15" s="305"/>
      <c r="W15" s="305"/>
      <c r="X15" s="305"/>
      <c r="Y15" s="305"/>
      <c r="Z15" s="305"/>
    </row>
    <row r="16" spans="1:30" ht="15.75" customHeight="1" x14ac:dyDescent="0.2">
      <c r="A16" s="14" t="s">
        <v>69</v>
      </c>
      <c r="B16" s="20"/>
      <c r="C16" s="93" t="s">
        <v>408</v>
      </c>
      <c r="D16" s="93" t="s">
        <v>408</v>
      </c>
      <c r="E16" s="93" t="s">
        <v>408</v>
      </c>
      <c r="F16" s="19"/>
      <c r="G16" s="15" t="e">
        <f>AVERAGE(C16:F16)</f>
        <v>#DIV/0!</v>
      </c>
      <c r="H16" s="6" t="s">
        <v>70</v>
      </c>
      <c r="I16" s="10"/>
      <c r="J16" s="286" t="s">
        <v>29</v>
      </c>
      <c r="K16" s="268"/>
      <c r="L16" s="321" t="s">
        <v>29</v>
      </c>
      <c r="M16" s="268"/>
      <c r="N16" s="322" t="s">
        <v>29</v>
      </c>
      <c r="O16" s="272"/>
      <c r="P16" s="297" t="s">
        <v>29</v>
      </c>
      <c r="Q16" s="261"/>
      <c r="R16" s="307"/>
      <c r="S16" s="307"/>
      <c r="T16" s="307"/>
      <c r="U16" s="307"/>
      <c r="V16" s="307"/>
      <c r="W16" s="307"/>
      <c r="X16" s="307"/>
      <c r="Y16" s="307"/>
      <c r="Z16" s="308"/>
    </row>
    <row r="17" spans="1:26" ht="15.75" customHeight="1" x14ac:dyDescent="0.2">
      <c r="A17" s="323" t="s">
        <v>71</v>
      </c>
      <c r="B17" s="324"/>
      <c r="C17" s="50">
        <v>41836</v>
      </c>
      <c r="D17" s="50">
        <v>41836</v>
      </c>
      <c r="E17" s="50">
        <v>41837</v>
      </c>
      <c r="F17" s="50">
        <v>41838</v>
      </c>
      <c r="G17" s="51">
        <f>AVERAGE(C17:E17)</f>
        <v>41836.333333333336</v>
      </c>
      <c r="H17" s="6" t="s">
        <v>72</v>
      </c>
      <c r="I17" s="10"/>
      <c r="J17" s="322" t="s">
        <v>29</v>
      </c>
      <c r="K17" s="272"/>
      <c r="L17" s="322" t="s">
        <v>29</v>
      </c>
      <c r="M17" s="272"/>
      <c r="N17" s="322" t="s">
        <v>29</v>
      </c>
      <c r="O17" s="272"/>
      <c r="P17" s="297" t="s">
        <v>29</v>
      </c>
      <c r="Q17" s="261"/>
      <c r="R17" s="307"/>
      <c r="S17" s="307"/>
      <c r="T17" s="307"/>
      <c r="U17" s="307"/>
      <c r="V17" s="307"/>
      <c r="W17" s="307"/>
      <c r="X17" s="307"/>
      <c r="Y17" s="307"/>
      <c r="Z17" s="308"/>
    </row>
    <row r="18" spans="1:26" ht="15.75" customHeight="1" x14ac:dyDescent="0.2">
      <c r="A18" s="327" t="s">
        <v>73</v>
      </c>
      <c r="B18" s="327"/>
      <c r="C18" s="325" t="s">
        <v>40</v>
      </c>
      <c r="D18" s="325" t="s">
        <v>41</v>
      </c>
      <c r="E18" s="325" t="s">
        <v>42</v>
      </c>
      <c r="F18" s="325" t="s">
        <v>43</v>
      </c>
      <c r="G18" s="326" t="s">
        <v>38</v>
      </c>
      <c r="H18" s="49" t="s">
        <v>78</v>
      </c>
      <c r="I18" s="10"/>
      <c r="J18" s="286" t="s">
        <v>29</v>
      </c>
      <c r="K18" s="268"/>
      <c r="L18" s="285" t="s">
        <v>29</v>
      </c>
      <c r="M18" s="268"/>
      <c r="N18" s="296" t="s">
        <v>29</v>
      </c>
      <c r="O18" s="272"/>
      <c r="P18" s="297" t="s">
        <v>29</v>
      </c>
      <c r="Q18" s="261"/>
      <c r="R18" s="307"/>
      <c r="S18" s="307"/>
      <c r="T18" s="307"/>
      <c r="U18" s="307"/>
      <c r="V18" s="307"/>
      <c r="W18" s="307"/>
      <c r="X18" s="307"/>
      <c r="Y18" s="307"/>
      <c r="Z18" s="308"/>
    </row>
    <row r="19" spans="1:26" ht="15" customHeight="1" x14ac:dyDescent="0.2">
      <c r="A19" s="328"/>
      <c r="B19" s="328"/>
      <c r="C19" s="261"/>
      <c r="D19" s="261"/>
      <c r="E19" s="261"/>
      <c r="F19" s="261"/>
      <c r="G19" s="261"/>
      <c r="H19" s="49" t="s">
        <v>67</v>
      </c>
      <c r="I19" s="10"/>
      <c r="J19" s="286" t="s">
        <v>29</v>
      </c>
      <c r="K19" s="268"/>
      <c r="L19" s="285" t="s">
        <v>29</v>
      </c>
      <c r="M19" s="268"/>
      <c r="N19" s="296" t="s">
        <v>29</v>
      </c>
      <c r="O19" s="272"/>
      <c r="P19" s="297" t="s">
        <v>29</v>
      </c>
      <c r="Q19" s="261"/>
      <c r="R19" s="307"/>
      <c r="S19" s="307"/>
      <c r="T19" s="307"/>
      <c r="U19" s="307"/>
      <c r="V19" s="307"/>
      <c r="W19" s="307"/>
      <c r="X19" s="307"/>
      <c r="Y19" s="307"/>
      <c r="Z19" s="308"/>
    </row>
    <row r="20" spans="1:26" ht="15.75" customHeight="1" x14ac:dyDescent="0.2">
      <c r="A20" s="312" t="s">
        <v>79</v>
      </c>
      <c r="B20" s="313"/>
      <c r="C20" s="122" t="s">
        <v>431</v>
      </c>
      <c r="D20" s="52" t="s">
        <v>29</v>
      </c>
      <c r="E20" s="52" t="s">
        <v>29</v>
      </c>
      <c r="F20" s="52" t="s">
        <v>29</v>
      </c>
      <c r="G20" s="52" t="s">
        <v>29</v>
      </c>
      <c r="H20" s="6" t="s">
        <v>68</v>
      </c>
      <c r="I20" s="10"/>
      <c r="J20" s="286" t="s">
        <v>29</v>
      </c>
      <c r="K20" s="268"/>
      <c r="L20" s="285" t="s">
        <v>29</v>
      </c>
      <c r="M20" s="268"/>
      <c r="N20" s="296" t="s">
        <v>29</v>
      </c>
      <c r="O20" s="272"/>
      <c r="P20" s="297" t="s">
        <v>29</v>
      </c>
      <c r="Q20" s="261"/>
      <c r="R20" s="307"/>
      <c r="S20" s="307"/>
      <c r="T20" s="307"/>
      <c r="U20" s="307"/>
      <c r="V20" s="307"/>
      <c r="W20" s="307"/>
      <c r="X20" s="307"/>
      <c r="Y20" s="307"/>
      <c r="Z20" s="308"/>
    </row>
    <row r="21" spans="1:26" ht="15.75" customHeight="1" x14ac:dyDescent="0.2">
      <c r="A21" s="312" t="s">
        <v>46</v>
      </c>
      <c r="B21" s="313"/>
      <c r="C21" s="28" t="s">
        <v>354</v>
      </c>
      <c r="D21" s="18" t="s">
        <v>29</v>
      </c>
      <c r="E21" s="18" t="s">
        <v>29</v>
      </c>
      <c r="F21" s="18" t="s">
        <v>29</v>
      </c>
      <c r="G21" s="18" t="s">
        <v>29</v>
      </c>
      <c r="H21" s="47" t="s">
        <v>80</v>
      </c>
      <c r="I21" s="10"/>
      <c r="J21" s="286" t="s">
        <v>29</v>
      </c>
      <c r="K21" s="268"/>
      <c r="L21" s="321" t="s">
        <v>29</v>
      </c>
      <c r="M21" s="268"/>
      <c r="N21" s="322" t="s">
        <v>29</v>
      </c>
      <c r="O21" s="272"/>
      <c r="P21" s="297" t="s">
        <v>29</v>
      </c>
      <c r="Q21" s="261"/>
      <c r="R21" s="307"/>
      <c r="S21" s="307"/>
      <c r="T21" s="307"/>
      <c r="U21" s="307"/>
      <c r="V21" s="307"/>
      <c r="W21" s="307"/>
      <c r="X21" s="307"/>
      <c r="Y21" s="307"/>
      <c r="Z21" s="308"/>
    </row>
    <row r="22" spans="1:26" ht="15.75" customHeight="1" x14ac:dyDescent="0.2">
      <c r="A22" s="312" t="s">
        <v>81</v>
      </c>
      <c r="B22" s="313"/>
      <c r="C22" s="121">
        <v>41855</v>
      </c>
      <c r="D22" s="43" t="s">
        <v>29</v>
      </c>
      <c r="E22" s="43" t="s">
        <v>29</v>
      </c>
      <c r="F22" s="43" t="s">
        <v>29</v>
      </c>
      <c r="G22" s="43" t="s">
        <v>29</v>
      </c>
      <c r="H22" s="48" t="s">
        <v>82</v>
      </c>
      <c r="I22" s="10"/>
      <c r="J22" s="322" t="s">
        <v>29</v>
      </c>
      <c r="K22" s="272"/>
      <c r="L22" s="322" t="s">
        <v>29</v>
      </c>
      <c r="M22" s="272"/>
      <c r="N22" s="322" t="s">
        <v>29</v>
      </c>
      <c r="O22" s="272"/>
      <c r="P22" s="297" t="s">
        <v>29</v>
      </c>
      <c r="Q22" s="261"/>
      <c r="R22" s="307"/>
      <c r="S22" s="307"/>
      <c r="T22" s="307"/>
      <c r="U22" s="307"/>
      <c r="V22" s="307"/>
      <c r="W22" s="307"/>
      <c r="X22" s="307"/>
      <c r="Y22" s="307"/>
      <c r="Z22" s="308"/>
    </row>
    <row r="23" spans="1:26" ht="15.75" customHeight="1" x14ac:dyDescent="0.2">
      <c r="A23" s="312" t="s">
        <v>12</v>
      </c>
      <c r="B23" s="313"/>
      <c r="C23" s="28">
        <v>220612780</v>
      </c>
      <c r="D23" s="43" t="s">
        <v>29</v>
      </c>
      <c r="E23" s="43" t="s">
        <v>29</v>
      </c>
      <c r="F23" s="43" t="s">
        <v>29</v>
      </c>
      <c r="G23" s="43" t="s">
        <v>29</v>
      </c>
      <c r="H23" s="48" t="s">
        <v>83</v>
      </c>
      <c r="I23" s="10"/>
      <c r="J23" s="286" t="s">
        <v>29</v>
      </c>
      <c r="K23" s="268"/>
      <c r="L23" s="321" t="s">
        <v>29</v>
      </c>
      <c r="M23" s="268"/>
      <c r="N23" s="322" t="s">
        <v>29</v>
      </c>
      <c r="O23" s="272"/>
      <c r="P23" s="297" t="s">
        <v>29</v>
      </c>
      <c r="Q23" s="261"/>
      <c r="R23" s="307"/>
      <c r="S23" s="307"/>
      <c r="T23" s="307"/>
      <c r="U23" s="307"/>
      <c r="V23" s="307"/>
      <c r="W23" s="307"/>
      <c r="X23" s="307"/>
      <c r="Y23" s="307"/>
      <c r="Z23" s="308"/>
    </row>
    <row r="24" spans="1:26" ht="15.75" customHeight="1" x14ac:dyDescent="0.2">
      <c r="A24" s="312" t="s">
        <v>84</v>
      </c>
      <c r="B24" s="313"/>
      <c r="C24" s="43" t="s">
        <v>29</v>
      </c>
      <c r="D24" s="43" t="s">
        <v>29</v>
      </c>
      <c r="E24" s="43" t="s">
        <v>29</v>
      </c>
      <c r="F24" s="43" t="s">
        <v>29</v>
      </c>
      <c r="G24" s="43" t="s">
        <v>29</v>
      </c>
      <c r="H24" s="48" t="s">
        <v>67</v>
      </c>
      <c r="I24" s="10"/>
      <c r="J24" s="447" t="s">
        <v>29</v>
      </c>
      <c r="K24" s="448"/>
      <c r="L24" s="449" t="s">
        <v>29</v>
      </c>
      <c r="M24" s="450"/>
      <c r="N24" s="451" t="s">
        <v>29</v>
      </c>
      <c r="O24" s="452"/>
      <c r="P24" s="453" t="s">
        <v>29</v>
      </c>
      <c r="Q24" s="454"/>
      <c r="R24" s="307"/>
      <c r="S24" s="307"/>
      <c r="T24" s="307"/>
      <c r="U24" s="307"/>
      <c r="V24" s="307"/>
      <c r="W24" s="307"/>
      <c r="X24" s="307"/>
      <c r="Y24" s="307"/>
      <c r="Z24" s="308"/>
    </row>
    <row r="25" spans="1:26" ht="15.75" customHeight="1" x14ac:dyDescent="0.2">
      <c r="A25" s="312" t="s">
        <v>11</v>
      </c>
      <c r="B25" s="313"/>
      <c r="C25" s="28" t="s">
        <v>447</v>
      </c>
      <c r="D25" s="43" t="s">
        <v>29</v>
      </c>
      <c r="E25" s="43" t="s">
        <v>29</v>
      </c>
      <c r="F25" s="43" t="s">
        <v>29</v>
      </c>
      <c r="G25" s="43" t="s">
        <v>29</v>
      </c>
      <c r="H25" s="48" t="s">
        <v>68</v>
      </c>
      <c r="I25" s="10"/>
      <c r="J25" s="286" t="s">
        <v>29</v>
      </c>
      <c r="K25" s="268"/>
      <c r="L25" s="321" t="s">
        <v>29</v>
      </c>
      <c r="M25" s="268"/>
      <c r="N25" s="322" t="s">
        <v>29</v>
      </c>
      <c r="O25" s="272"/>
      <c r="P25" s="297" t="s">
        <v>29</v>
      </c>
      <c r="Q25" s="261"/>
      <c r="R25" s="307"/>
      <c r="S25" s="307"/>
      <c r="T25" s="307"/>
      <c r="U25" s="307"/>
      <c r="V25" s="307"/>
      <c r="W25" s="307"/>
      <c r="X25" s="307"/>
      <c r="Y25" s="307"/>
      <c r="Z25" s="308"/>
    </row>
    <row r="26" spans="1:26" ht="15.75" customHeight="1" x14ac:dyDescent="0.2">
      <c r="A26" s="314" t="s">
        <v>85</v>
      </c>
      <c r="B26" s="315"/>
      <c r="C26" s="43" t="s">
        <v>29</v>
      </c>
      <c r="D26" s="43" t="s">
        <v>29</v>
      </c>
      <c r="E26" s="43" t="s">
        <v>29</v>
      </c>
      <c r="F26" s="43" t="s">
        <v>29</v>
      </c>
      <c r="G26" s="43" t="s">
        <v>29</v>
      </c>
      <c r="H26" s="48" t="s">
        <v>86</v>
      </c>
      <c r="I26" s="10"/>
      <c r="J26" s="286" t="s">
        <v>29</v>
      </c>
      <c r="K26" s="268"/>
      <c r="L26" s="321" t="s">
        <v>29</v>
      </c>
      <c r="M26" s="268"/>
      <c r="N26" s="322" t="s">
        <v>29</v>
      </c>
      <c r="O26" s="272"/>
      <c r="P26" s="297" t="s">
        <v>29</v>
      </c>
      <c r="Q26" s="261"/>
      <c r="R26" s="307"/>
      <c r="S26" s="307"/>
      <c r="T26" s="307"/>
      <c r="U26" s="307"/>
      <c r="V26" s="307"/>
      <c r="W26" s="307"/>
      <c r="X26" s="307"/>
      <c r="Y26" s="307"/>
      <c r="Z26" s="308"/>
    </row>
    <row r="27" spans="1:26" ht="15.75" customHeight="1" x14ac:dyDescent="0.2">
      <c r="A27" s="316" t="s">
        <v>87</v>
      </c>
      <c r="B27" s="317"/>
      <c r="C27" s="43" t="s">
        <v>29</v>
      </c>
      <c r="D27" s="43" t="s">
        <v>29</v>
      </c>
      <c r="E27" s="43" t="s">
        <v>29</v>
      </c>
      <c r="F27" s="43" t="s">
        <v>29</v>
      </c>
      <c r="G27" s="43" t="s">
        <v>29</v>
      </c>
      <c r="H27" s="48" t="s">
        <v>88</v>
      </c>
      <c r="I27" s="10"/>
      <c r="J27" s="286" t="s">
        <v>29</v>
      </c>
      <c r="K27" s="268"/>
      <c r="L27" s="321" t="s">
        <v>29</v>
      </c>
      <c r="M27" s="268"/>
      <c r="N27" s="322" t="s">
        <v>29</v>
      </c>
      <c r="O27" s="272"/>
      <c r="P27" s="297" t="s">
        <v>29</v>
      </c>
      <c r="Q27" s="261"/>
      <c r="R27" s="307"/>
      <c r="S27" s="307"/>
      <c r="T27" s="307"/>
      <c r="U27" s="307"/>
      <c r="V27" s="307"/>
      <c r="W27" s="307"/>
      <c r="X27" s="307"/>
      <c r="Y27" s="307"/>
      <c r="Z27" s="308"/>
    </row>
    <row r="28" spans="1:26" ht="15.75" customHeight="1" x14ac:dyDescent="0.2">
      <c r="A28" s="61"/>
      <c r="B28" s="7"/>
      <c r="C28" s="4"/>
      <c r="D28" s="4"/>
      <c r="E28" s="4"/>
      <c r="F28" s="4"/>
      <c r="G28" s="4"/>
      <c r="H28" s="46"/>
      <c r="I28" s="4"/>
      <c r="J28" s="4"/>
      <c r="K28" s="4"/>
      <c r="L28" s="4"/>
      <c r="M28" s="4"/>
      <c r="N28" s="4"/>
      <c r="O28" s="4"/>
      <c r="P28" s="46"/>
      <c r="Q28" s="46"/>
      <c r="R28" s="53"/>
      <c r="S28" s="30"/>
      <c r="T28" s="4"/>
      <c r="U28" s="4"/>
      <c r="V28" s="4"/>
      <c r="W28" s="26"/>
      <c r="X28" s="4"/>
      <c r="Y28" s="4"/>
      <c r="Z28" s="4"/>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B16" sqref="AB16"/>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24</v>
      </c>
      <c r="G1" s="226" t="s">
        <v>3</v>
      </c>
      <c r="H1" s="216"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296</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25</v>
      </c>
      <c r="G1" s="226" t="s">
        <v>3</v>
      </c>
      <c r="H1" s="216" t="s">
        <v>4</v>
      </c>
      <c r="I1" s="329" t="s">
        <v>5</v>
      </c>
      <c r="J1" s="261"/>
      <c r="K1" s="330" t="s">
        <v>313</v>
      </c>
      <c r="L1" s="382"/>
      <c r="M1" s="382"/>
      <c r="N1" s="382"/>
      <c r="O1" s="383"/>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197</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D22" sqref="AD22"/>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26</v>
      </c>
      <c r="G1" s="226" t="s">
        <v>3</v>
      </c>
      <c r="H1" s="216"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409" t="s">
        <v>297</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27</v>
      </c>
      <c r="G1" s="226" t="s">
        <v>3</v>
      </c>
      <c r="H1" s="216" t="s">
        <v>4</v>
      </c>
      <c r="I1" s="329" t="s">
        <v>5</v>
      </c>
      <c r="J1" s="261"/>
      <c r="K1" s="262" t="s">
        <v>314</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198</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1"/>
  <sheetViews>
    <sheetView topLeftCell="A10" workbookViewId="0">
      <selection activeCell="G31" sqref="G31"/>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58" t="s">
        <v>0</v>
      </c>
      <c r="B1" s="59">
        <v>2014</v>
      </c>
      <c r="C1" s="58" t="s">
        <v>1</v>
      </c>
      <c r="D1" s="59"/>
      <c r="E1" s="58" t="s">
        <v>2</v>
      </c>
      <c r="F1" s="55">
        <v>28</v>
      </c>
      <c r="G1" s="56" t="s">
        <v>3</v>
      </c>
      <c r="H1" s="55" t="s">
        <v>4</v>
      </c>
      <c r="I1" s="260" t="s">
        <v>5</v>
      </c>
      <c r="J1" s="261"/>
      <c r="K1" s="330" t="s">
        <v>315</v>
      </c>
      <c r="L1" s="382"/>
      <c r="M1" s="382"/>
      <c r="N1" s="382"/>
      <c r="O1" s="383"/>
      <c r="P1" s="263" t="s">
        <v>6</v>
      </c>
      <c r="Q1" s="261"/>
      <c r="R1" s="264"/>
      <c r="S1" s="265"/>
      <c r="T1" s="16"/>
      <c r="U1" s="16"/>
      <c r="V1" s="16"/>
      <c r="W1" s="16"/>
      <c r="X1" s="16"/>
      <c r="Y1" s="16"/>
      <c r="Z1" s="34"/>
    </row>
    <row r="2" spans="1:30" ht="27.75" customHeight="1" x14ac:dyDescent="0.2">
      <c r="A2" s="57" t="s">
        <v>8</v>
      </c>
      <c r="B2" s="54" t="s">
        <v>9</v>
      </c>
      <c r="C2" s="54" t="s">
        <v>10</v>
      </c>
      <c r="D2" s="54" t="s">
        <v>11</v>
      </c>
      <c r="E2" s="54" t="s">
        <v>12</v>
      </c>
      <c r="F2" s="54" t="s">
        <v>13</v>
      </c>
      <c r="G2" s="54" t="s">
        <v>14</v>
      </c>
      <c r="H2" s="54" t="s">
        <v>15</v>
      </c>
      <c r="I2" s="13" t="s">
        <v>16</v>
      </c>
      <c r="J2" s="54" t="s">
        <v>17</v>
      </c>
      <c r="K2" s="54" t="s">
        <v>18</v>
      </c>
      <c r="L2" s="266"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32" t="s">
        <v>90</v>
      </c>
      <c r="AD2" s="31" t="s">
        <v>95</v>
      </c>
    </row>
    <row r="3" spans="1:30" ht="15.75" customHeight="1" x14ac:dyDescent="0.2">
      <c r="A3" s="18" t="s">
        <v>29</v>
      </c>
      <c r="B3" s="64">
        <v>41799</v>
      </c>
      <c r="C3" s="28" t="s">
        <v>29</v>
      </c>
      <c r="D3" s="18" t="s">
        <v>29</v>
      </c>
      <c r="E3" s="28" t="s">
        <v>235</v>
      </c>
      <c r="F3" s="28" t="s">
        <v>235</v>
      </c>
      <c r="G3" s="28" t="s">
        <v>227</v>
      </c>
      <c r="H3" s="28" t="s">
        <v>228</v>
      </c>
      <c r="I3" s="18" t="s">
        <v>29</v>
      </c>
      <c r="J3" s="18" t="s">
        <v>29</v>
      </c>
      <c r="K3" s="18" t="s">
        <v>29</v>
      </c>
      <c r="L3" s="41" t="s">
        <v>29</v>
      </c>
      <c r="M3" s="41" t="s">
        <v>29</v>
      </c>
      <c r="N3" s="18" t="s">
        <v>29</v>
      </c>
      <c r="O3" s="18" t="s">
        <v>29</v>
      </c>
      <c r="P3" s="20" t="s">
        <v>29</v>
      </c>
      <c r="Q3" s="20" t="s">
        <v>29</v>
      </c>
      <c r="R3" s="20" t="s">
        <v>29</v>
      </c>
      <c r="S3" s="20" t="s">
        <v>29</v>
      </c>
      <c r="T3" s="20" t="s">
        <v>29</v>
      </c>
      <c r="U3" s="18" t="s">
        <v>29</v>
      </c>
      <c r="V3" s="18" t="s">
        <v>29</v>
      </c>
      <c r="W3" s="18" t="s">
        <v>29</v>
      </c>
      <c r="X3" s="20" t="s">
        <v>29</v>
      </c>
      <c r="Y3" s="33" t="s">
        <v>29</v>
      </c>
      <c r="Z3" s="33" t="s">
        <v>29</v>
      </c>
      <c r="AD3" s="69" t="s">
        <v>205</v>
      </c>
    </row>
    <row r="4" spans="1:30"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5" t="s">
        <v>26</v>
      </c>
      <c r="V4" s="27" t="s">
        <v>92</v>
      </c>
      <c r="W4" s="27" t="s">
        <v>93</v>
      </c>
      <c r="X4" s="5" t="s">
        <v>27</v>
      </c>
      <c r="Y4" s="271" t="s">
        <v>28</v>
      </c>
      <c r="Z4" s="272"/>
      <c r="AA4" s="31" t="s">
        <v>89</v>
      </c>
      <c r="AB4" s="31" t="s">
        <v>91</v>
      </c>
      <c r="AC4" s="32" t="s">
        <v>90</v>
      </c>
      <c r="AD4" s="31" t="s">
        <v>95</v>
      </c>
    </row>
    <row r="5" spans="1:30" ht="15.75" customHeight="1" x14ac:dyDescent="0.2">
      <c r="A5" s="28" t="s">
        <v>103</v>
      </c>
      <c r="B5" s="64">
        <v>41799</v>
      </c>
      <c r="C5" s="18" t="s">
        <v>29</v>
      </c>
      <c r="D5" s="18" t="s">
        <v>29</v>
      </c>
      <c r="E5" s="18" t="s">
        <v>29</v>
      </c>
      <c r="F5" s="28" t="s">
        <v>230</v>
      </c>
      <c r="G5" s="28" t="s">
        <v>211</v>
      </c>
      <c r="H5" s="28" t="s">
        <v>228</v>
      </c>
      <c r="I5" s="37" t="s">
        <v>29</v>
      </c>
      <c r="J5" s="37" t="s">
        <v>29</v>
      </c>
      <c r="K5" s="37" t="s">
        <v>29</v>
      </c>
      <c r="L5" s="42" t="s">
        <v>29</v>
      </c>
      <c r="M5" s="42" t="s">
        <v>29</v>
      </c>
      <c r="N5" s="37" t="s">
        <v>29</v>
      </c>
      <c r="O5" s="37" t="s">
        <v>29</v>
      </c>
      <c r="P5" s="38" t="s">
        <v>29</v>
      </c>
      <c r="Q5" s="38" t="s">
        <v>29</v>
      </c>
      <c r="R5" s="20" t="s">
        <v>29</v>
      </c>
      <c r="S5" s="20" t="s">
        <v>29</v>
      </c>
      <c r="T5" s="20" t="s">
        <v>29</v>
      </c>
      <c r="U5" s="18" t="s">
        <v>29</v>
      </c>
      <c r="V5" s="18" t="s">
        <v>29</v>
      </c>
      <c r="W5" s="18" t="s">
        <v>29</v>
      </c>
      <c r="X5" s="20" t="s">
        <v>29</v>
      </c>
      <c r="Y5" s="20" t="s">
        <v>29</v>
      </c>
      <c r="Z5" s="20" t="s">
        <v>29</v>
      </c>
      <c r="AD5" s="69" t="s">
        <v>205</v>
      </c>
    </row>
    <row r="6" spans="1:30" ht="16.5" customHeight="1" x14ac:dyDescent="0.2">
      <c r="A6" s="12" t="s">
        <v>33</v>
      </c>
      <c r="B6" s="5" t="s">
        <v>9</v>
      </c>
      <c r="C6" s="60" t="s">
        <v>34</v>
      </c>
      <c r="D6" s="60" t="s">
        <v>35</v>
      </c>
      <c r="E6" s="60" t="s">
        <v>36</v>
      </c>
      <c r="F6" s="60" t="s">
        <v>37</v>
      </c>
      <c r="G6" s="60" t="s">
        <v>38</v>
      </c>
      <c r="H6" s="36" t="s">
        <v>39</v>
      </c>
      <c r="I6" s="62" t="s">
        <v>9</v>
      </c>
      <c r="J6" s="280" t="s">
        <v>40</v>
      </c>
      <c r="K6" s="280"/>
      <c r="L6" s="280" t="s">
        <v>41</v>
      </c>
      <c r="M6" s="280"/>
      <c r="N6" s="280" t="s">
        <v>42</v>
      </c>
      <c r="O6" s="280"/>
      <c r="P6" s="280" t="s">
        <v>43</v>
      </c>
      <c r="Q6" s="280"/>
      <c r="R6" s="35"/>
      <c r="S6" s="273" t="s">
        <v>44</v>
      </c>
      <c r="T6" s="274"/>
      <c r="U6" s="274"/>
      <c r="V6" s="274"/>
      <c r="W6" s="275"/>
      <c r="X6" s="274"/>
      <c r="Y6" s="274"/>
      <c r="Z6" s="268"/>
    </row>
    <row r="7" spans="1:30" ht="15.75" customHeight="1" x14ac:dyDescent="0.2">
      <c r="A7" s="1" t="s">
        <v>45</v>
      </c>
      <c r="B7" s="20"/>
      <c r="C7" s="19">
        <v>41795</v>
      </c>
      <c r="D7" s="19">
        <v>41797</v>
      </c>
      <c r="E7" s="19">
        <v>41799</v>
      </c>
      <c r="F7" s="19">
        <v>41801</v>
      </c>
      <c r="G7" s="15">
        <f>AVERAGE(C7:F7)</f>
        <v>41798</v>
      </c>
      <c r="H7" s="6" t="s">
        <v>46</v>
      </c>
      <c r="I7" s="39"/>
      <c r="J7" s="276" t="s">
        <v>354</v>
      </c>
      <c r="K7" s="267"/>
      <c r="L7" s="346" t="s">
        <v>355</v>
      </c>
      <c r="M7" s="267"/>
      <c r="N7" s="346" t="s">
        <v>356</v>
      </c>
      <c r="O7" s="267"/>
      <c r="P7" s="347" t="s">
        <v>357</v>
      </c>
      <c r="Q7" s="267"/>
      <c r="R7" s="23" t="s">
        <v>47</v>
      </c>
      <c r="S7" s="24"/>
      <c r="T7" s="43">
        <v>4</v>
      </c>
      <c r="U7" s="279" t="s">
        <v>48</v>
      </c>
      <c r="V7" s="279"/>
      <c r="W7" s="279"/>
      <c r="X7" s="281" t="s">
        <v>29</v>
      </c>
      <c r="Y7" s="282"/>
      <c r="Z7" s="283"/>
    </row>
    <row r="8" spans="1:30" ht="15.75" customHeight="1" x14ac:dyDescent="0.2">
      <c r="A8" s="3" t="s">
        <v>49</v>
      </c>
      <c r="B8" s="20" t="s">
        <v>29</v>
      </c>
      <c r="C8" s="20" t="s">
        <v>29</v>
      </c>
      <c r="D8" s="20" t="s">
        <v>29</v>
      </c>
      <c r="E8" s="20" t="s">
        <v>29</v>
      </c>
      <c r="F8" s="20" t="s">
        <v>29</v>
      </c>
      <c r="G8" s="60"/>
      <c r="H8" s="6" t="s">
        <v>50</v>
      </c>
      <c r="I8" s="102">
        <v>41835</v>
      </c>
      <c r="J8" s="287">
        <f>IF(((I8-C16)&gt;0),(I8-C16),"/")</f>
        <v>4</v>
      </c>
      <c r="K8" s="268"/>
      <c r="L8" s="287">
        <f>IF(((I8-D16)&gt;0),(I8-D16),"/")</f>
        <v>4</v>
      </c>
      <c r="M8" s="268"/>
      <c r="N8" s="287">
        <f>IF(((I8-E16)&gt;0),(I8-E16),"/")</f>
        <v>3</v>
      </c>
      <c r="O8" s="268"/>
      <c r="P8" s="287" t="str">
        <f>IF(((I8-F16)&gt;0),(I8-F16),"/")</f>
        <v>/</v>
      </c>
      <c r="Q8" s="268"/>
      <c r="R8" s="22" t="s">
        <v>51</v>
      </c>
      <c r="S8" s="11"/>
      <c r="T8" s="43">
        <v>0</v>
      </c>
      <c r="U8" s="310" t="s">
        <v>52</v>
      </c>
      <c r="V8" s="310"/>
      <c r="W8" s="310"/>
      <c r="X8" s="298" t="s">
        <v>29</v>
      </c>
      <c r="Y8" s="299"/>
      <c r="Z8" s="300"/>
    </row>
    <row r="9" spans="1:30" ht="15.75" customHeight="1" x14ac:dyDescent="0.2">
      <c r="A9" s="3" t="s">
        <v>49</v>
      </c>
      <c r="B9" s="20" t="s">
        <v>29</v>
      </c>
      <c r="C9" s="20" t="s">
        <v>29</v>
      </c>
      <c r="D9" s="20" t="s">
        <v>29</v>
      </c>
      <c r="E9" s="20" t="s">
        <v>29</v>
      </c>
      <c r="F9" s="20" t="s">
        <v>29</v>
      </c>
      <c r="G9" s="60"/>
      <c r="H9" s="6" t="s">
        <v>53</v>
      </c>
      <c r="I9" s="102">
        <v>41835</v>
      </c>
      <c r="J9" s="289">
        <v>87</v>
      </c>
      <c r="K9" s="268"/>
      <c r="L9" s="290">
        <v>76</v>
      </c>
      <c r="M9" s="268"/>
      <c r="N9" s="290">
        <v>60</v>
      </c>
      <c r="O9" s="268"/>
      <c r="P9" s="291">
        <v>34</v>
      </c>
      <c r="Q9" s="268"/>
      <c r="R9" s="22" t="s">
        <v>54</v>
      </c>
      <c r="S9" s="11"/>
      <c r="T9" s="43">
        <v>4</v>
      </c>
      <c r="U9" s="310" t="s">
        <v>55</v>
      </c>
      <c r="V9" s="310"/>
      <c r="W9" s="310"/>
      <c r="X9" s="298" t="s">
        <v>29</v>
      </c>
      <c r="Y9" s="299"/>
      <c r="Z9" s="300"/>
    </row>
    <row r="10" spans="1:30" ht="15" customHeight="1" x14ac:dyDescent="0.2">
      <c r="A10" s="3" t="s">
        <v>49</v>
      </c>
      <c r="B10" s="20" t="s">
        <v>29</v>
      </c>
      <c r="C10" s="20" t="s">
        <v>29</v>
      </c>
      <c r="D10" s="20" t="s">
        <v>29</v>
      </c>
      <c r="E10" s="20" t="s">
        <v>29</v>
      </c>
      <c r="F10" s="20" t="s">
        <v>29</v>
      </c>
      <c r="G10" s="60"/>
      <c r="H10" s="6" t="s">
        <v>56</v>
      </c>
      <c r="I10" s="10"/>
      <c r="J10" s="284" t="s">
        <v>29</v>
      </c>
      <c r="K10" s="268"/>
      <c r="L10" s="285" t="s">
        <v>29</v>
      </c>
      <c r="M10" s="268"/>
      <c r="N10" s="285" t="s">
        <v>29</v>
      </c>
      <c r="O10" s="268"/>
      <c r="P10" s="286" t="s">
        <v>29</v>
      </c>
      <c r="Q10" s="268"/>
      <c r="R10" s="22" t="s">
        <v>57</v>
      </c>
      <c r="S10" s="11"/>
      <c r="T10" s="43">
        <v>2</v>
      </c>
      <c r="U10" s="310" t="s">
        <v>58</v>
      </c>
      <c r="V10" s="310"/>
      <c r="W10" s="310"/>
      <c r="X10" s="298" t="s">
        <v>29</v>
      </c>
      <c r="Y10" s="299"/>
      <c r="Z10" s="300"/>
    </row>
    <row r="11" spans="1:30" ht="15" customHeight="1" x14ac:dyDescent="0.2">
      <c r="A11" s="3" t="s">
        <v>49</v>
      </c>
      <c r="B11" s="20" t="s">
        <v>29</v>
      </c>
      <c r="C11" s="20" t="s">
        <v>29</v>
      </c>
      <c r="D11" s="20" t="s">
        <v>29</v>
      </c>
      <c r="E11" s="20" t="s">
        <v>29</v>
      </c>
      <c r="F11" s="20" t="s">
        <v>29</v>
      </c>
      <c r="G11" s="60"/>
      <c r="H11" s="6" t="s">
        <v>59</v>
      </c>
      <c r="I11" s="102">
        <v>41840</v>
      </c>
      <c r="J11" s="287">
        <f>I11-C16</f>
        <v>9</v>
      </c>
      <c r="K11" s="268"/>
      <c r="L11" s="287">
        <f>I11-D16</f>
        <v>9</v>
      </c>
      <c r="M11" s="268"/>
      <c r="N11" s="287">
        <f>I11-E16</f>
        <v>8</v>
      </c>
      <c r="O11" s="268"/>
      <c r="P11" s="288">
        <f>I11-F16</f>
        <v>5</v>
      </c>
      <c r="Q11" s="268"/>
      <c r="R11" s="22" t="s">
        <v>60</v>
      </c>
      <c r="S11" s="11"/>
      <c r="T11" s="43">
        <v>2</v>
      </c>
      <c r="U11" s="310" t="s">
        <v>61</v>
      </c>
      <c r="V11" s="310"/>
      <c r="W11" s="310"/>
      <c r="X11" s="298" t="s">
        <v>29</v>
      </c>
      <c r="Y11" s="299"/>
      <c r="Z11" s="300"/>
    </row>
    <row r="12" spans="1:30" ht="15.75" customHeight="1" x14ac:dyDescent="0.2">
      <c r="A12" s="3" t="s">
        <v>49</v>
      </c>
      <c r="B12" s="20" t="s">
        <v>29</v>
      </c>
      <c r="C12" s="20" t="s">
        <v>29</v>
      </c>
      <c r="D12" s="20" t="s">
        <v>29</v>
      </c>
      <c r="E12" s="20" t="s">
        <v>29</v>
      </c>
      <c r="F12" s="20" t="s">
        <v>29</v>
      </c>
      <c r="G12" s="60"/>
      <c r="H12" s="6" t="s">
        <v>62</v>
      </c>
      <c r="I12" s="102">
        <v>41840</v>
      </c>
      <c r="J12" s="291">
        <v>249</v>
      </c>
      <c r="K12" s="268"/>
      <c r="L12" s="290">
        <v>103</v>
      </c>
      <c r="M12" s="268"/>
      <c r="N12" s="320">
        <v>173</v>
      </c>
      <c r="O12" s="272"/>
      <c r="P12" s="309">
        <v>64</v>
      </c>
      <c r="Q12" s="261"/>
      <c r="R12" s="22" t="s">
        <v>63</v>
      </c>
      <c r="S12" s="11"/>
      <c r="T12" s="45">
        <v>2</v>
      </c>
      <c r="U12" s="311" t="s">
        <v>64</v>
      </c>
      <c r="V12" s="311"/>
      <c r="W12" s="311"/>
      <c r="X12" s="301" t="s">
        <v>29</v>
      </c>
      <c r="Y12" s="302"/>
      <c r="Z12" s="303"/>
    </row>
    <row r="13" spans="1:30" ht="15.75" customHeight="1" x14ac:dyDescent="0.2">
      <c r="A13" s="3" t="s">
        <v>49</v>
      </c>
      <c r="B13" s="20" t="s">
        <v>29</v>
      </c>
      <c r="C13" s="20" t="s">
        <v>29</v>
      </c>
      <c r="D13" s="20" t="s">
        <v>29</v>
      </c>
      <c r="E13" s="20" t="s">
        <v>29</v>
      </c>
      <c r="F13" s="20" t="s">
        <v>29</v>
      </c>
      <c r="G13" s="60"/>
      <c r="H13" s="6" t="s">
        <v>65</v>
      </c>
      <c r="I13" s="10"/>
      <c r="J13" s="284" t="s">
        <v>29</v>
      </c>
      <c r="K13" s="268"/>
      <c r="L13" s="285" t="s">
        <v>29</v>
      </c>
      <c r="M13" s="268"/>
      <c r="N13" s="285" t="s">
        <v>29</v>
      </c>
      <c r="O13" s="268"/>
      <c r="P13" s="286" t="s">
        <v>29</v>
      </c>
      <c r="Q13" s="272"/>
      <c r="R13" s="424" t="s">
        <v>66</v>
      </c>
      <c r="S13" s="425"/>
      <c r="T13" s="425"/>
      <c r="U13" s="425"/>
      <c r="V13" s="425"/>
      <c r="W13" s="425"/>
      <c r="X13" s="425"/>
      <c r="Y13" s="425"/>
      <c r="Z13" s="426"/>
    </row>
    <row r="14" spans="1:30" ht="15.75" customHeight="1" x14ac:dyDescent="0.2">
      <c r="A14" s="3" t="s">
        <v>49</v>
      </c>
      <c r="B14" s="20" t="s">
        <v>29</v>
      </c>
      <c r="C14" s="20" t="s">
        <v>29</v>
      </c>
      <c r="D14" s="20" t="s">
        <v>29</v>
      </c>
      <c r="E14" s="20" t="s">
        <v>29</v>
      </c>
      <c r="F14" s="20" t="s">
        <v>29</v>
      </c>
      <c r="G14" s="60"/>
      <c r="H14" s="6" t="s">
        <v>67</v>
      </c>
      <c r="I14" s="10"/>
      <c r="J14" s="284" t="s">
        <v>29</v>
      </c>
      <c r="K14" s="268"/>
      <c r="L14" s="285" t="s">
        <v>29</v>
      </c>
      <c r="M14" s="268"/>
      <c r="N14" s="285" t="s">
        <v>29</v>
      </c>
      <c r="O14" s="268"/>
      <c r="P14" s="286" t="s">
        <v>29</v>
      </c>
      <c r="Q14" s="272"/>
      <c r="R14" s="427"/>
      <c r="S14" s="428"/>
      <c r="T14" s="428"/>
      <c r="U14" s="428"/>
      <c r="V14" s="428"/>
      <c r="W14" s="428"/>
      <c r="X14" s="428"/>
      <c r="Y14" s="428"/>
      <c r="Z14" s="428"/>
    </row>
    <row r="15" spans="1:30" ht="15.75" customHeight="1" x14ac:dyDescent="0.2">
      <c r="A15" s="3" t="s">
        <v>49</v>
      </c>
      <c r="B15" s="20" t="s">
        <v>29</v>
      </c>
      <c r="C15" s="20" t="s">
        <v>29</v>
      </c>
      <c r="D15" s="20" t="s">
        <v>29</v>
      </c>
      <c r="E15" s="20" t="s">
        <v>29</v>
      </c>
      <c r="F15" s="20" t="s">
        <v>29</v>
      </c>
      <c r="G15" s="60"/>
      <c r="H15" s="6" t="s">
        <v>68</v>
      </c>
      <c r="I15" s="10"/>
      <c r="J15" s="284" t="s">
        <v>29</v>
      </c>
      <c r="K15" s="268"/>
      <c r="L15" s="285" t="s">
        <v>29</v>
      </c>
      <c r="M15" s="268"/>
      <c r="N15" s="285" t="s">
        <v>29</v>
      </c>
      <c r="O15" s="268"/>
      <c r="P15" s="292" t="s">
        <v>29</v>
      </c>
      <c r="Q15" s="293"/>
      <c r="R15" s="305" t="s">
        <v>485</v>
      </c>
      <c r="S15" s="305"/>
      <c r="T15" s="305"/>
      <c r="U15" s="305"/>
      <c r="V15" s="305"/>
      <c r="W15" s="305"/>
      <c r="X15" s="305"/>
      <c r="Y15" s="305"/>
      <c r="Z15" s="305"/>
    </row>
    <row r="16" spans="1:30" ht="15.75" customHeight="1" x14ac:dyDescent="0.2">
      <c r="A16" s="14" t="s">
        <v>69</v>
      </c>
      <c r="B16" s="20"/>
      <c r="C16" s="19">
        <v>41831</v>
      </c>
      <c r="D16" s="19">
        <v>41831</v>
      </c>
      <c r="E16" s="19">
        <v>41832</v>
      </c>
      <c r="F16" s="19">
        <v>41835</v>
      </c>
      <c r="G16" s="15">
        <f>AVERAGE(C16:F16)</f>
        <v>41832.25</v>
      </c>
      <c r="H16" s="6" t="s">
        <v>70</v>
      </c>
      <c r="I16" s="102">
        <v>41845</v>
      </c>
      <c r="J16" s="294">
        <f>I16-C16</f>
        <v>14</v>
      </c>
      <c r="K16" s="268"/>
      <c r="L16" s="294">
        <f>I16-D16</f>
        <v>14</v>
      </c>
      <c r="M16" s="268"/>
      <c r="N16" s="294">
        <f>I16-E16</f>
        <v>13</v>
      </c>
      <c r="O16" s="272"/>
      <c r="P16" s="295">
        <f>I16-F16</f>
        <v>10</v>
      </c>
      <c r="Q16" s="261"/>
      <c r="R16" s="307"/>
      <c r="S16" s="307"/>
      <c r="T16" s="307"/>
      <c r="U16" s="307"/>
      <c r="V16" s="307"/>
      <c r="W16" s="307"/>
      <c r="X16" s="307"/>
      <c r="Y16" s="307"/>
      <c r="Z16" s="308"/>
    </row>
    <row r="17" spans="1:26" ht="15.75" customHeight="1" x14ac:dyDescent="0.2">
      <c r="A17" s="323" t="s">
        <v>71</v>
      </c>
      <c r="B17" s="324"/>
      <c r="C17" s="50">
        <f>C16-C7</f>
        <v>36</v>
      </c>
      <c r="D17" s="50">
        <f>D16-D7</f>
        <v>34</v>
      </c>
      <c r="E17" s="50">
        <f>E16-E7</f>
        <v>33</v>
      </c>
      <c r="F17" s="50">
        <f>F16-F7</f>
        <v>34</v>
      </c>
      <c r="G17" s="51">
        <f>AVERAGE(C17:E17)</f>
        <v>34.333333333333336</v>
      </c>
      <c r="H17" s="6" t="s">
        <v>72</v>
      </c>
      <c r="I17" s="102">
        <v>41845</v>
      </c>
      <c r="J17" s="291">
        <v>467</v>
      </c>
      <c r="K17" s="268"/>
      <c r="L17" s="290">
        <v>190</v>
      </c>
      <c r="M17" s="268"/>
      <c r="N17" s="320">
        <v>307</v>
      </c>
      <c r="O17" s="272"/>
      <c r="P17" s="309">
        <v>94</v>
      </c>
      <c r="Q17" s="261"/>
      <c r="R17" s="307"/>
      <c r="S17" s="307"/>
      <c r="T17" s="307"/>
      <c r="U17" s="307"/>
      <c r="V17" s="307"/>
      <c r="W17" s="307"/>
      <c r="X17" s="307"/>
      <c r="Y17" s="307"/>
      <c r="Z17" s="308"/>
    </row>
    <row r="18" spans="1:26" ht="15.75" customHeight="1" x14ac:dyDescent="0.2">
      <c r="A18" s="327" t="s">
        <v>73</v>
      </c>
      <c r="B18" s="327"/>
      <c r="C18" s="325" t="s">
        <v>40</v>
      </c>
      <c r="D18" s="325" t="s">
        <v>41</v>
      </c>
      <c r="E18" s="325" t="s">
        <v>42</v>
      </c>
      <c r="F18" s="325" t="s">
        <v>43</v>
      </c>
      <c r="G18" s="326" t="s">
        <v>38</v>
      </c>
      <c r="H18" s="49" t="s">
        <v>78</v>
      </c>
      <c r="I18" s="10"/>
      <c r="J18" s="294" t="s">
        <v>369</v>
      </c>
      <c r="K18" s="268"/>
      <c r="L18" s="297" t="s">
        <v>29</v>
      </c>
      <c r="M18" s="261"/>
      <c r="N18" s="294" t="s">
        <v>369</v>
      </c>
      <c r="O18" s="268"/>
      <c r="P18" s="297" t="s">
        <v>29</v>
      </c>
      <c r="Q18" s="261"/>
      <c r="R18" s="307"/>
      <c r="S18" s="307"/>
      <c r="T18" s="307"/>
      <c r="U18" s="307"/>
      <c r="V18" s="307"/>
      <c r="W18" s="307"/>
      <c r="X18" s="307"/>
      <c r="Y18" s="307"/>
      <c r="Z18" s="308"/>
    </row>
    <row r="19" spans="1:26" ht="15" customHeight="1" x14ac:dyDescent="0.2">
      <c r="A19" s="328"/>
      <c r="B19" s="328"/>
      <c r="C19" s="261"/>
      <c r="D19" s="261"/>
      <c r="E19" s="261"/>
      <c r="F19" s="261"/>
      <c r="G19" s="261"/>
      <c r="H19" s="49" t="s">
        <v>67</v>
      </c>
      <c r="I19" s="10"/>
      <c r="J19" s="286" t="s">
        <v>29</v>
      </c>
      <c r="K19" s="268"/>
      <c r="L19" s="285" t="s">
        <v>29</v>
      </c>
      <c r="M19" s="268"/>
      <c r="N19" s="296" t="s">
        <v>29</v>
      </c>
      <c r="O19" s="272"/>
      <c r="P19" s="297" t="s">
        <v>29</v>
      </c>
      <c r="Q19" s="261"/>
      <c r="R19" s="307"/>
      <c r="S19" s="307"/>
      <c r="T19" s="307"/>
      <c r="U19" s="307"/>
      <c r="V19" s="307"/>
      <c r="W19" s="307"/>
      <c r="X19" s="307"/>
      <c r="Y19" s="307"/>
      <c r="Z19" s="308"/>
    </row>
    <row r="20" spans="1:26" ht="15.75" customHeight="1" x14ac:dyDescent="0.2">
      <c r="A20" s="312" t="s">
        <v>79</v>
      </c>
      <c r="B20" s="313"/>
      <c r="C20" s="122" t="s">
        <v>423</v>
      </c>
      <c r="D20" s="52" t="s">
        <v>29</v>
      </c>
      <c r="E20" s="122" t="s">
        <v>438</v>
      </c>
      <c r="F20" s="52" t="s">
        <v>29</v>
      </c>
      <c r="G20" s="52" t="s">
        <v>29</v>
      </c>
      <c r="H20" s="6" t="s">
        <v>68</v>
      </c>
      <c r="I20" s="10"/>
      <c r="J20" s="286" t="s">
        <v>29</v>
      </c>
      <c r="K20" s="268"/>
      <c r="L20" s="285" t="s">
        <v>29</v>
      </c>
      <c r="M20" s="268"/>
      <c r="N20" s="296" t="s">
        <v>29</v>
      </c>
      <c r="O20" s="272"/>
      <c r="P20" s="297" t="s">
        <v>29</v>
      </c>
      <c r="Q20" s="261"/>
      <c r="R20" s="307"/>
      <c r="S20" s="307"/>
      <c r="T20" s="307"/>
      <c r="U20" s="307"/>
      <c r="V20" s="307"/>
      <c r="W20" s="307"/>
      <c r="X20" s="307"/>
      <c r="Y20" s="307"/>
      <c r="Z20" s="308"/>
    </row>
    <row r="21" spans="1:26" ht="15.75" customHeight="1" x14ac:dyDescent="0.2">
      <c r="A21" s="312" t="s">
        <v>46</v>
      </c>
      <c r="B21" s="313"/>
      <c r="C21" s="28" t="s">
        <v>354</v>
      </c>
      <c r="D21" s="28" t="s">
        <v>355</v>
      </c>
      <c r="E21" s="28" t="s">
        <v>356</v>
      </c>
      <c r="F21" s="28" t="s">
        <v>407</v>
      </c>
      <c r="G21" s="18" t="s">
        <v>29</v>
      </c>
      <c r="H21" s="47" t="s">
        <v>80</v>
      </c>
      <c r="I21" s="17">
        <v>41850</v>
      </c>
      <c r="J21" s="294">
        <f>I21-C16</f>
        <v>19</v>
      </c>
      <c r="K21" s="268"/>
      <c r="L21" s="294">
        <f>I21-D16</f>
        <v>19</v>
      </c>
      <c r="M21" s="268"/>
      <c r="N21" s="294">
        <f>I21-E16</f>
        <v>18</v>
      </c>
      <c r="O21" s="272"/>
      <c r="P21" s="365" t="s">
        <v>410</v>
      </c>
      <c r="Q21" s="261"/>
      <c r="R21" s="307"/>
      <c r="S21" s="307"/>
      <c r="T21" s="307"/>
      <c r="U21" s="307"/>
      <c r="V21" s="307"/>
      <c r="W21" s="307"/>
      <c r="X21" s="307"/>
      <c r="Y21" s="307"/>
      <c r="Z21" s="308"/>
    </row>
    <row r="22" spans="1:26" ht="15.75" customHeight="1" x14ac:dyDescent="0.2">
      <c r="A22" s="312" t="s">
        <v>81</v>
      </c>
      <c r="B22" s="313"/>
      <c r="C22" s="121">
        <v>41855</v>
      </c>
      <c r="D22" s="29" t="s">
        <v>410</v>
      </c>
      <c r="E22" s="121">
        <v>41855</v>
      </c>
      <c r="F22" s="28" t="s">
        <v>410</v>
      </c>
      <c r="G22" s="43" t="s">
        <v>29</v>
      </c>
      <c r="H22" s="48" t="s">
        <v>82</v>
      </c>
      <c r="I22" s="17">
        <v>41850</v>
      </c>
      <c r="J22" s="429">
        <v>678</v>
      </c>
      <c r="K22" s="268"/>
      <c r="L22" s="430">
        <v>285</v>
      </c>
      <c r="M22" s="268"/>
      <c r="N22" s="431">
        <v>478</v>
      </c>
      <c r="O22" s="272"/>
      <c r="P22" s="367" t="s">
        <v>410</v>
      </c>
      <c r="Q22" s="261"/>
      <c r="R22" s="307"/>
      <c r="S22" s="307"/>
      <c r="T22" s="307"/>
      <c r="U22" s="307"/>
      <c r="V22" s="307"/>
      <c r="W22" s="307"/>
      <c r="X22" s="307"/>
      <c r="Y22" s="307"/>
      <c r="Z22" s="308"/>
    </row>
    <row r="23" spans="1:26" ht="15.75" customHeight="1" x14ac:dyDescent="0.2">
      <c r="A23" s="312" t="s">
        <v>12</v>
      </c>
      <c r="B23" s="313"/>
      <c r="C23" s="28">
        <v>194719201</v>
      </c>
      <c r="D23" s="28" t="s">
        <v>410</v>
      </c>
      <c r="E23" s="18">
        <v>220612779</v>
      </c>
      <c r="F23" s="28" t="s">
        <v>410</v>
      </c>
      <c r="G23" s="43" t="s">
        <v>29</v>
      </c>
      <c r="H23" s="48" t="s">
        <v>83</v>
      </c>
      <c r="I23" s="17">
        <v>41850</v>
      </c>
      <c r="J23" s="297" t="s">
        <v>29</v>
      </c>
      <c r="K23" s="261"/>
      <c r="L23" s="430" t="s">
        <v>369</v>
      </c>
      <c r="M23" s="268"/>
      <c r="N23" s="297" t="s">
        <v>29</v>
      </c>
      <c r="O23" s="261"/>
      <c r="P23" s="297" t="s">
        <v>29</v>
      </c>
      <c r="Q23" s="261"/>
      <c r="R23" s="307"/>
      <c r="S23" s="307"/>
      <c r="T23" s="307"/>
      <c r="U23" s="307"/>
      <c r="V23" s="307"/>
      <c r="W23" s="307"/>
      <c r="X23" s="307"/>
      <c r="Y23" s="307"/>
      <c r="Z23" s="308"/>
    </row>
    <row r="24" spans="1:26" ht="15.75" customHeight="1" x14ac:dyDescent="0.2">
      <c r="A24" s="312" t="s">
        <v>84</v>
      </c>
      <c r="B24" s="313"/>
      <c r="C24" s="28" t="s">
        <v>410</v>
      </c>
      <c r="D24" s="28" t="s">
        <v>410</v>
      </c>
      <c r="E24" s="28" t="s">
        <v>410</v>
      </c>
      <c r="F24" s="28" t="s">
        <v>410</v>
      </c>
      <c r="G24" s="43" t="s">
        <v>29</v>
      </c>
      <c r="H24" s="48" t="s">
        <v>67</v>
      </c>
      <c r="I24" s="10"/>
      <c r="J24" s="286" t="s">
        <v>29</v>
      </c>
      <c r="K24" s="268"/>
      <c r="L24" s="321" t="s">
        <v>29</v>
      </c>
      <c r="M24" s="268"/>
      <c r="N24" s="322" t="s">
        <v>29</v>
      </c>
      <c r="O24" s="272"/>
      <c r="P24" s="297" t="s">
        <v>29</v>
      </c>
      <c r="Q24" s="261"/>
      <c r="R24" s="307"/>
      <c r="S24" s="307"/>
      <c r="T24" s="307"/>
      <c r="U24" s="307"/>
      <c r="V24" s="307"/>
      <c r="W24" s="307"/>
      <c r="X24" s="307"/>
      <c r="Y24" s="307"/>
      <c r="Z24" s="308"/>
    </row>
    <row r="25" spans="1:26" ht="15.75" customHeight="1" x14ac:dyDescent="0.2">
      <c r="A25" s="312" t="s">
        <v>11</v>
      </c>
      <c r="B25" s="313"/>
      <c r="C25" s="28" t="s">
        <v>413</v>
      </c>
      <c r="D25" s="28" t="s">
        <v>410</v>
      </c>
      <c r="E25" s="28" t="s">
        <v>398</v>
      </c>
      <c r="F25" s="28" t="s">
        <v>410</v>
      </c>
      <c r="G25" s="43" t="s">
        <v>29</v>
      </c>
      <c r="H25" s="48" t="s">
        <v>68</v>
      </c>
      <c r="I25" s="10"/>
      <c r="J25" s="286" t="s">
        <v>29</v>
      </c>
      <c r="K25" s="268"/>
      <c r="L25" s="321" t="s">
        <v>29</v>
      </c>
      <c r="M25" s="268"/>
      <c r="N25" s="322" t="s">
        <v>29</v>
      </c>
      <c r="O25" s="272"/>
      <c r="P25" s="297" t="s">
        <v>29</v>
      </c>
      <c r="Q25" s="261"/>
      <c r="R25" s="307"/>
      <c r="S25" s="307"/>
      <c r="T25" s="307"/>
      <c r="U25" s="307"/>
      <c r="V25" s="307"/>
      <c r="W25" s="307"/>
      <c r="X25" s="307"/>
      <c r="Y25" s="307"/>
      <c r="Z25" s="308"/>
    </row>
    <row r="26" spans="1:26" ht="15.75" customHeight="1" x14ac:dyDescent="0.2">
      <c r="A26" s="314" t="s">
        <v>85</v>
      </c>
      <c r="B26" s="315"/>
      <c r="C26" s="28" t="s">
        <v>410</v>
      </c>
      <c r="D26" s="121">
        <v>41852</v>
      </c>
      <c r="E26" s="28" t="s">
        <v>410</v>
      </c>
      <c r="F26" s="121">
        <v>41848</v>
      </c>
      <c r="G26" s="43" t="s">
        <v>29</v>
      </c>
      <c r="H26" s="48" t="s">
        <v>86</v>
      </c>
      <c r="I26" s="10"/>
      <c r="J26" s="286" t="s">
        <v>29</v>
      </c>
      <c r="K26" s="268"/>
      <c r="L26" s="321" t="s">
        <v>29</v>
      </c>
      <c r="M26" s="268"/>
      <c r="N26" s="322" t="s">
        <v>29</v>
      </c>
      <c r="O26" s="272"/>
      <c r="P26" s="297" t="s">
        <v>29</v>
      </c>
      <c r="Q26" s="261"/>
      <c r="R26" s="307"/>
      <c r="S26" s="307"/>
      <c r="T26" s="307"/>
      <c r="U26" s="307"/>
      <c r="V26" s="307"/>
      <c r="W26" s="307"/>
      <c r="X26" s="307"/>
      <c r="Y26" s="307"/>
      <c r="Z26" s="308"/>
    </row>
    <row r="27" spans="1:26" ht="15.75" customHeight="1" x14ac:dyDescent="0.2">
      <c r="A27" s="316" t="s">
        <v>87</v>
      </c>
      <c r="B27" s="317"/>
      <c r="C27" s="28" t="s">
        <v>410</v>
      </c>
      <c r="D27" s="124">
        <v>22</v>
      </c>
      <c r="E27" s="28" t="s">
        <v>410</v>
      </c>
      <c r="F27" s="18">
        <v>14</v>
      </c>
      <c r="G27" s="43" t="s">
        <v>29</v>
      </c>
      <c r="H27" s="48" t="s">
        <v>88</v>
      </c>
      <c r="I27" s="10"/>
      <c r="J27" s="286" t="s">
        <v>29</v>
      </c>
      <c r="K27" s="268"/>
      <c r="L27" s="321" t="s">
        <v>29</v>
      </c>
      <c r="M27" s="268"/>
      <c r="N27" s="322" t="s">
        <v>29</v>
      </c>
      <c r="O27" s="272"/>
      <c r="P27" s="297" t="s">
        <v>29</v>
      </c>
      <c r="Q27" s="261"/>
      <c r="R27" s="307"/>
      <c r="S27" s="307"/>
      <c r="T27" s="307"/>
      <c r="U27" s="307"/>
      <c r="V27" s="307"/>
      <c r="W27" s="307"/>
      <c r="X27" s="307"/>
      <c r="Y27" s="307"/>
      <c r="Z27" s="308"/>
    </row>
    <row r="28" spans="1:26" ht="15.75" customHeight="1" x14ac:dyDescent="0.2">
      <c r="A28" s="61"/>
      <c r="B28" s="7"/>
      <c r="C28" s="4"/>
      <c r="D28" s="4"/>
      <c r="E28" s="4"/>
      <c r="F28" s="4"/>
      <c r="G28" s="4"/>
      <c r="H28" s="47" t="s">
        <v>80</v>
      </c>
      <c r="I28" s="17">
        <v>41855</v>
      </c>
      <c r="J28" s="294">
        <v>24</v>
      </c>
      <c r="K28" s="268"/>
      <c r="L28" s="294" t="s">
        <v>410</v>
      </c>
      <c r="M28" s="268"/>
      <c r="N28" s="294">
        <v>23</v>
      </c>
      <c r="O28" s="272"/>
      <c r="P28" s="365" t="s">
        <v>410</v>
      </c>
      <c r="Q28" s="261"/>
      <c r="R28" s="53"/>
      <c r="S28" s="30"/>
      <c r="T28" s="4"/>
      <c r="U28" s="4"/>
      <c r="V28" s="4"/>
      <c r="W28" s="26"/>
      <c r="X28" s="4"/>
      <c r="Y28" s="4"/>
      <c r="Z28" s="4"/>
    </row>
    <row r="29" spans="1:26" ht="18" customHeight="1" x14ac:dyDescent="0.2">
      <c r="H29" s="48" t="s">
        <v>82</v>
      </c>
      <c r="I29" s="17">
        <v>41855</v>
      </c>
      <c r="J29" s="429">
        <v>773</v>
      </c>
      <c r="K29" s="268"/>
      <c r="L29" s="430" t="s">
        <v>410</v>
      </c>
      <c r="M29" s="268"/>
      <c r="N29" s="431">
        <v>544</v>
      </c>
      <c r="O29" s="272"/>
      <c r="P29" s="367" t="s">
        <v>410</v>
      </c>
      <c r="Q29" s="261"/>
    </row>
    <row r="30" spans="1:26" ht="18" customHeight="1" x14ac:dyDescent="0.2">
      <c r="H30" s="48" t="s">
        <v>83</v>
      </c>
      <c r="I30" s="17">
        <v>41855</v>
      </c>
      <c r="J30" s="294" t="s">
        <v>369</v>
      </c>
      <c r="K30" s="268"/>
      <c r="L30" s="297" t="s">
        <v>29</v>
      </c>
      <c r="M30" s="261"/>
      <c r="N30" s="294" t="s">
        <v>369</v>
      </c>
      <c r="O30" s="268"/>
      <c r="P30" s="297" t="s">
        <v>29</v>
      </c>
      <c r="Q30" s="261"/>
    </row>
    <row r="31" spans="1:26" ht="18" customHeight="1" x14ac:dyDescent="0.2">
      <c r="H31" s="48" t="s">
        <v>67</v>
      </c>
      <c r="I31" s="10"/>
      <c r="J31" s="286" t="s">
        <v>29</v>
      </c>
      <c r="K31" s="268"/>
      <c r="L31" s="321" t="s">
        <v>29</v>
      </c>
      <c r="M31" s="268"/>
      <c r="N31" s="322" t="s">
        <v>29</v>
      </c>
      <c r="O31" s="272"/>
      <c r="P31" s="297" t="s">
        <v>29</v>
      </c>
      <c r="Q31" s="261"/>
    </row>
    <row r="32" spans="1:26" ht="18" customHeight="1" x14ac:dyDescent="0.2">
      <c r="H32" s="48" t="s">
        <v>68</v>
      </c>
      <c r="I32" s="10"/>
      <c r="J32" s="286" t="s">
        <v>29</v>
      </c>
      <c r="K32" s="268"/>
      <c r="L32" s="321" t="s">
        <v>29</v>
      </c>
      <c r="M32" s="268"/>
      <c r="N32" s="322" t="s">
        <v>29</v>
      </c>
      <c r="O32" s="272"/>
      <c r="P32" s="297" t="s">
        <v>29</v>
      </c>
      <c r="Q32" s="261"/>
    </row>
    <row r="33" spans="8:17" ht="18" customHeight="1" x14ac:dyDescent="0.2">
      <c r="H33" s="48" t="s">
        <v>86</v>
      </c>
      <c r="I33" s="10"/>
      <c r="J33" s="286" t="s">
        <v>29</v>
      </c>
      <c r="K33" s="268"/>
      <c r="L33" s="321" t="s">
        <v>29</v>
      </c>
      <c r="M33" s="268"/>
      <c r="N33" s="322" t="s">
        <v>29</v>
      </c>
      <c r="O33" s="272"/>
      <c r="P33" s="297" t="s">
        <v>29</v>
      </c>
      <c r="Q33" s="261"/>
    </row>
    <row r="34" spans="8:17" ht="18" customHeight="1" x14ac:dyDescent="0.2">
      <c r="H34" s="48" t="s">
        <v>88</v>
      </c>
      <c r="I34" s="10"/>
      <c r="J34" s="286" t="s">
        <v>29</v>
      </c>
      <c r="K34" s="268"/>
      <c r="L34" s="321" t="s">
        <v>29</v>
      </c>
      <c r="M34" s="268"/>
      <c r="N34" s="322" t="s">
        <v>29</v>
      </c>
      <c r="O34" s="272"/>
      <c r="P34" s="297" t="s">
        <v>29</v>
      </c>
      <c r="Q34" s="261"/>
    </row>
    <row r="35" spans="8:17" ht="18" customHeight="1" x14ac:dyDescent="0.2">
      <c r="H35" s="47" t="s">
        <v>80</v>
      </c>
      <c r="I35" s="17">
        <v>41862</v>
      </c>
      <c r="J35" s="294">
        <v>24</v>
      </c>
      <c r="K35" s="268"/>
      <c r="L35" s="294" t="s">
        <v>410</v>
      </c>
      <c r="M35" s="268"/>
      <c r="N35" s="294">
        <v>23</v>
      </c>
      <c r="O35" s="272"/>
      <c r="P35" s="365" t="s">
        <v>410</v>
      </c>
      <c r="Q35" s="261"/>
    </row>
    <row r="36" spans="8:17" ht="18" customHeight="1" x14ac:dyDescent="0.2">
      <c r="H36" s="48" t="s">
        <v>82</v>
      </c>
      <c r="I36" s="17">
        <v>41862</v>
      </c>
      <c r="J36" s="429">
        <v>608</v>
      </c>
      <c r="K36" s="268"/>
      <c r="L36" s="430" t="s">
        <v>410</v>
      </c>
      <c r="M36" s="268"/>
      <c r="N36" s="431">
        <v>416</v>
      </c>
      <c r="O36" s="272"/>
      <c r="P36" s="367" t="s">
        <v>410</v>
      </c>
      <c r="Q36" s="261"/>
    </row>
    <row r="37" spans="8:17" ht="18" customHeight="1" x14ac:dyDescent="0.2">
      <c r="H37" s="48" t="s">
        <v>83</v>
      </c>
      <c r="I37" s="10"/>
      <c r="J37" s="286" t="s">
        <v>29</v>
      </c>
      <c r="K37" s="268"/>
      <c r="L37" s="297" t="s">
        <v>29</v>
      </c>
      <c r="M37" s="261"/>
      <c r="N37" s="286" t="s">
        <v>29</v>
      </c>
      <c r="O37" s="268"/>
      <c r="P37" s="297" t="s">
        <v>29</v>
      </c>
      <c r="Q37" s="261"/>
    </row>
    <row r="38" spans="8:17" ht="18" customHeight="1" x14ac:dyDescent="0.2">
      <c r="H38" s="48" t="s">
        <v>67</v>
      </c>
      <c r="I38" s="10"/>
      <c r="J38" s="286" t="s">
        <v>29</v>
      </c>
      <c r="K38" s="268"/>
      <c r="L38" s="321" t="s">
        <v>29</v>
      </c>
      <c r="M38" s="268"/>
      <c r="N38" s="322" t="s">
        <v>29</v>
      </c>
      <c r="O38" s="272"/>
      <c r="P38" s="297" t="s">
        <v>29</v>
      </c>
      <c r="Q38" s="261"/>
    </row>
    <row r="39" spans="8:17" ht="18" customHeight="1" x14ac:dyDescent="0.2">
      <c r="H39" s="48" t="s">
        <v>68</v>
      </c>
      <c r="I39" s="10"/>
      <c r="J39" s="286" t="s">
        <v>29</v>
      </c>
      <c r="K39" s="268"/>
      <c r="L39" s="321" t="s">
        <v>29</v>
      </c>
      <c r="M39" s="268"/>
      <c r="N39" s="322" t="s">
        <v>29</v>
      </c>
      <c r="O39" s="272"/>
      <c r="P39" s="297" t="s">
        <v>29</v>
      </c>
      <c r="Q39" s="261"/>
    </row>
    <row r="40" spans="8:17" ht="18" customHeight="1" x14ac:dyDescent="0.2">
      <c r="H40" s="48" t="s">
        <v>86</v>
      </c>
      <c r="I40" s="10"/>
      <c r="J40" s="286" t="s">
        <v>29</v>
      </c>
      <c r="K40" s="268"/>
      <c r="L40" s="321" t="s">
        <v>29</v>
      </c>
      <c r="M40" s="268"/>
      <c r="N40" s="322" t="s">
        <v>29</v>
      </c>
      <c r="O40" s="272"/>
      <c r="P40" s="297" t="s">
        <v>29</v>
      </c>
      <c r="Q40" s="261"/>
    </row>
    <row r="41" spans="8:17" ht="18" customHeight="1" x14ac:dyDescent="0.2">
      <c r="H41" s="48" t="s">
        <v>88</v>
      </c>
      <c r="I41" s="10"/>
      <c r="J41" s="286" t="s">
        <v>29</v>
      </c>
      <c r="K41" s="268"/>
      <c r="L41" s="321" t="s">
        <v>29</v>
      </c>
      <c r="M41" s="268"/>
      <c r="N41" s="322" t="s">
        <v>29</v>
      </c>
      <c r="O41" s="272"/>
      <c r="P41" s="297" t="s">
        <v>29</v>
      </c>
      <c r="Q41" s="261"/>
    </row>
  </sheetData>
  <mergeCells count="184">
    <mergeCell ref="J40:K40"/>
    <mergeCell ref="L40:M40"/>
    <mergeCell ref="N40:O40"/>
    <mergeCell ref="P40:Q40"/>
    <mergeCell ref="J41:K41"/>
    <mergeCell ref="L41:M41"/>
    <mergeCell ref="N41:O41"/>
    <mergeCell ref="P41:Q41"/>
    <mergeCell ref="J34:K34"/>
    <mergeCell ref="L34:M34"/>
    <mergeCell ref="N34:O34"/>
    <mergeCell ref="P34:Q34"/>
    <mergeCell ref="J38:K38"/>
    <mergeCell ref="L38:M38"/>
    <mergeCell ref="N38:O38"/>
    <mergeCell ref="P38:Q38"/>
    <mergeCell ref="J39:K39"/>
    <mergeCell ref="L39:M39"/>
    <mergeCell ref="N39:O39"/>
    <mergeCell ref="P39:Q39"/>
    <mergeCell ref="J35:K35"/>
    <mergeCell ref="L35:M35"/>
    <mergeCell ref="N35:O35"/>
    <mergeCell ref="P35:Q35"/>
    <mergeCell ref="N31:O31"/>
    <mergeCell ref="P31:Q31"/>
    <mergeCell ref="J32:K32"/>
    <mergeCell ref="L32:M32"/>
    <mergeCell ref="N32:O32"/>
    <mergeCell ref="P32:Q32"/>
    <mergeCell ref="J33:K33"/>
    <mergeCell ref="L33:M33"/>
    <mergeCell ref="N33:O33"/>
    <mergeCell ref="P33:Q33"/>
    <mergeCell ref="J31:K31"/>
    <mergeCell ref="L31:M31"/>
    <mergeCell ref="L28:M28"/>
    <mergeCell ref="N28:O28"/>
    <mergeCell ref="P28:Q28"/>
    <mergeCell ref="J29:K29"/>
    <mergeCell ref="L29:M29"/>
    <mergeCell ref="N29:O29"/>
    <mergeCell ref="P29:Q29"/>
    <mergeCell ref="J30:K30"/>
    <mergeCell ref="L30:M30"/>
    <mergeCell ref="N30:O30"/>
    <mergeCell ref="P30:Q30"/>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R1:S1"/>
    <mergeCell ref="L2:M2"/>
    <mergeCell ref="Q2:R2"/>
    <mergeCell ref="Y2:Z2"/>
    <mergeCell ref="L4:M4"/>
    <mergeCell ref="Q4:R4"/>
    <mergeCell ref="Y4:Z4"/>
    <mergeCell ref="J6:K6"/>
    <mergeCell ref="L6:M6"/>
    <mergeCell ref="N6:O6"/>
    <mergeCell ref="P6:Q6"/>
    <mergeCell ref="S6:Z6"/>
    <mergeCell ref="J36:K36"/>
    <mergeCell ref="L36:M36"/>
    <mergeCell ref="N36:O36"/>
    <mergeCell ref="P36:Q36"/>
    <mergeCell ref="J37:K37"/>
    <mergeCell ref="L37:M37"/>
    <mergeCell ref="N37:O37"/>
    <mergeCell ref="P37:Q37"/>
    <mergeCell ref="I1:J1"/>
    <mergeCell ref="K1:O1"/>
    <mergeCell ref="P1:Q1"/>
    <mergeCell ref="J8:K8"/>
    <mergeCell ref="L8:M8"/>
    <mergeCell ref="N8:O8"/>
    <mergeCell ref="P8:Q8"/>
    <mergeCell ref="J12:K12"/>
    <mergeCell ref="L12:M12"/>
    <mergeCell ref="N12:O12"/>
    <mergeCell ref="P12:Q12"/>
    <mergeCell ref="J15:K15"/>
    <mergeCell ref="L15:M15"/>
    <mergeCell ref="N15:O15"/>
    <mergeCell ref="P15:Q15"/>
    <mergeCell ref="J28:K28"/>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U28" sqref="U28"/>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29</v>
      </c>
      <c r="G1" s="226" t="s">
        <v>3</v>
      </c>
      <c r="H1" s="216"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231</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XFD1048576"/>
    </sheetView>
  </sheetViews>
  <sheetFormatPr defaultColWidth="11.85546875" defaultRowHeight="18" customHeight="1" x14ac:dyDescent="0.2"/>
  <cols>
    <col min="1" max="1" width="9.140625" style="25" customWidth="1"/>
    <col min="2" max="2" width="8.140625" style="25" bestFit="1"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30</v>
      </c>
      <c r="G1" s="226" t="s">
        <v>3</v>
      </c>
      <c r="H1" s="216" t="s">
        <v>4</v>
      </c>
      <c r="I1" s="329" t="s">
        <v>5</v>
      </c>
      <c r="J1" s="261"/>
      <c r="K1" s="262" t="s">
        <v>316</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144">
        <v>41802</v>
      </c>
      <c r="C3" s="71" t="s">
        <v>29</v>
      </c>
      <c r="D3" s="71" t="s">
        <v>29</v>
      </c>
      <c r="E3" s="71" t="s">
        <v>235</v>
      </c>
      <c r="F3" s="71" t="s">
        <v>235</v>
      </c>
      <c r="G3" s="71" t="s">
        <v>227</v>
      </c>
      <c r="H3" s="71" t="s">
        <v>212</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D3" s="69" t="s">
        <v>205</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144">
        <v>41802</v>
      </c>
      <c r="C5" s="71" t="s">
        <v>29</v>
      </c>
      <c r="D5" s="71" t="s">
        <v>29</v>
      </c>
      <c r="E5" s="71" t="s">
        <v>29</v>
      </c>
      <c r="F5" s="71" t="s">
        <v>213</v>
      </c>
      <c r="G5" s="71" t="s">
        <v>211</v>
      </c>
      <c r="H5" s="71" t="s">
        <v>212</v>
      </c>
      <c r="I5" s="80" t="s">
        <v>29</v>
      </c>
      <c r="J5" s="80" t="s">
        <v>29</v>
      </c>
      <c r="K5" s="80" t="s">
        <v>29</v>
      </c>
      <c r="L5" s="91" t="s">
        <v>29</v>
      </c>
      <c r="M5" s="91" t="s">
        <v>29</v>
      </c>
      <c r="N5" s="80" t="s">
        <v>29</v>
      </c>
      <c r="O5" s="80" t="s">
        <v>29</v>
      </c>
      <c r="P5" s="145" t="s">
        <v>29</v>
      </c>
      <c r="Q5" s="145" t="s">
        <v>29</v>
      </c>
      <c r="R5" s="145" t="s">
        <v>29</v>
      </c>
      <c r="S5" s="145" t="s">
        <v>29</v>
      </c>
      <c r="T5" s="145" t="s">
        <v>29</v>
      </c>
      <c r="U5" s="80" t="s">
        <v>29</v>
      </c>
      <c r="V5" s="80" t="s">
        <v>29</v>
      </c>
      <c r="W5" s="80" t="s">
        <v>29</v>
      </c>
      <c r="X5" s="145" t="s">
        <v>29</v>
      </c>
      <c r="Y5" s="145" t="s">
        <v>29</v>
      </c>
      <c r="Z5" s="145" t="s">
        <v>29</v>
      </c>
      <c r="AD5" s="69" t="s">
        <v>205</v>
      </c>
    </row>
    <row r="6" spans="1:30" ht="16.5" customHeight="1" x14ac:dyDescent="0.2">
      <c r="A6" s="149" t="s">
        <v>33</v>
      </c>
      <c r="B6" s="139" t="s">
        <v>9</v>
      </c>
      <c r="C6" s="228" t="s">
        <v>34</v>
      </c>
      <c r="D6" s="228" t="s">
        <v>35</v>
      </c>
      <c r="E6" s="228" t="s">
        <v>36</v>
      </c>
      <c r="F6" s="228" t="s">
        <v>37</v>
      </c>
      <c r="G6" s="228" t="s">
        <v>38</v>
      </c>
      <c r="H6" s="190" t="s">
        <v>39</v>
      </c>
      <c r="I6" s="230" t="s">
        <v>9</v>
      </c>
      <c r="J6" s="420" t="s">
        <v>40</v>
      </c>
      <c r="K6" s="420"/>
      <c r="L6" s="420" t="s">
        <v>41</v>
      </c>
      <c r="M6" s="420"/>
      <c r="N6" s="420" t="s">
        <v>42</v>
      </c>
      <c r="O6" s="420"/>
      <c r="P6" s="420" t="s">
        <v>43</v>
      </c>
      <c r="Q6" s="420"/>
      <c r="R6" s="74"/>
      <c r="S6" s="421" t="s">
        <v>44</v>
      </c>
      <c r="T6" s="422"/>
      <c r="U6" s="422"/>
      <c r="V6" s="422"/>
      <c r="W6" s="422"/>
      <c r="X6" s="422"/>
      <c r="Y6" s="422"/>
      <c r="Z6" s="267"/>
    </row>
    <row r="7" spans="1:30" ht="15.75" customHeight="1" x14ac:dyDescent="0.2">
      <c r="A7" s="154" t="s">
        <v>45</v>
      </c>
      <c r="B7" s="142"/>
      <c r="C7" s="251" t="s">
        <v>260</v>
      </c>
      <c r="D7" s="251" t="s">
        <v>260</v>
      </c>
      <c r="E7" s="251" t="s">
        <v>260</v>
      </c>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362</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6" ht="15.75" customHeight="1" x14ac:dyDescent="0.2">
      <c r="A17" s="338" t="s">
        <v>71</v>
      </c>
      <c r="B17" s="368"/>
      <c r="C17" s="172" t="e">
        <f>C16-C7</f>
        <v>#VALUE!</v>
      </c>
      <c r="D17" s="172" t="e">
        <f>D16-D7</f>
        <v>#VALUE!</v>
      </c>
      <c r="E17" s="172" t="e">
        <f>E16-E7</f>
        <v>#VALUE!</v>
      </c>
      <c r="F17" s="172">
        <f>F16-F7</f>
        <v>0</v>
      </c>
      <c r="G17" s="173" t="e">
        <f>AVERAGE(C17:E17)</f>
        <v>#VALUE!</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6"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6"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6"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6"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6"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6"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6"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6"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6"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6" ht="15.75" customHeight="1" x14ac:dyDescent="0.2">
      <c r="A28" s="219"/>
      <c r="B28" s="180"/>
      <c r="C28" s="181"/>
      <c r="D28" s="181"/>
      <c r="E28" s="181"/>
      <c r="F28" s="181"/>
      <c r="G28" s="181"/>
      <c r="H28" s="252"/>
      <c r="I28" s="181"/>
      <c r="J28" s="181"/>
      <c r="K28" s="181"/>
      <c r="L28" s="181"/>
      <c r="M28" s="181"/>
      <c r="N28" s="181"/>
      <c r="O28" s="181"/>
      <c r="P28" s="252"/>
      <c r="Q28" s="252"/>
      <c r="R28" s="182"/>
      <c r="S28" s="181"/>
      <c r="T28" s="181"/>
      <c r="U28" s="181"/>
      <c r="V28" s="181"/>
      <c r="W28" s="181"/>
      <c r="X28" s="181"/>
      <c r="Y28" s="181"/>
      <c r="Z28" s="181"/>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0"/>
  <sheetViews>
    <sheetView topLeftCell="A4" workbookViewId="0">
      <selection activeCell="G31" sqref="G31"/>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9.28515625" style="25" bestFit="1"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6.42578125" style="25" bestFit="1" customWidth="1"/>
    <col min="28" max="29" width="11.85546875" style="25"/>
    <col min="30" max="30" width="12.5703125" style="25" customWidth="1"/>
    <col min="31" max="16384" width="11.85546875" style="25"/>
  </cols>
  <sheetData>
    <row r="1" spans="1:33" ht="12.75" x14ac:dyDescent="0.2">
      <c r="A1" s="132" t="s">
        <v>0</v>
      </c>
      <c r="B1" s="216">
        <v>2014</v>
      </c>
      <c r="C1" s="132" t="s">
        <v>1</v>
      </c>
      <c r="D1" s="216"/>
      <c r="E1" s="132" t="s">
        <v>2</v>
      </c>
      <c r="F1" s="216">
        <v>31</v>
      </c>
      <c r="G1" s="226" t="s">
        <v>3</v>
      </c>
      <c r="H1" s="216" t="s">
        <v>4</v>
      </c>
      <c r="I1" s="329" t="s">
        <v>5</v>
      </c>
      <c r="J1" s="261"/>
      <c r="K1" s="262" t="s">
        <v>247</v>
      </c>
      <c r="L1" s="261"/>
      <c r="M1" s="261"/>
      <c r="N1" s="261"/>
      <c r="O1" s="261"/>
      <c r="P1" s="333" t="s">
        <v>6</v>
      </c>
      <c r="Q1" s="261"/>
      <c r="R1" s="334"/>
      <c r="S1" s="272"/>
      <c r="T1" s="135"/>
      <c r="U1" s="135"/>
      <c r="V1" s="135"/>
      <c r="W1" s="135"/>
      <c r="X1" s="135"/>
      <c r="Y1" s="135"/>
      <c r="Z1" s="136"/>
    </row>
    <row r="2" spans="1:33"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c r="AE2" s="95" t="s">
        <v>346</v>
      </c>
      <c r="AF2" s="95" t="s">
        <v>347</v>
      </c>
      <c r="AG2" s="95" t="s">
        <v>348</v>
      </c>
    </row>
    <row r="3" spans="1:33" ht="15.75" customHeight="1" x14ac:dyDescent="0.2">
      <c r="A3" s="71" t="s">
        <v>103</v>
      </c>
      <c r="B3" s="144">
        <v>41780</v>
      </c>
      <c r="C3" s="71" t="s">
        <v>108</v>
      </c>
      <c r="D3" s="71" t="s">
        <v>29</v>
      </c>
      <c r="E3" s="71">
        <v>220609895</v>
      </c>
      <c r="F3" s="71" t="s">
        <v>122</v>
      </c>
      <c r="G3" s="71" t="s">
        <v>215</v>
      </c>
      <c r="H3" s="71" t="s">
        <v>29</v>
      </c>
      <c r="I3" s="71" t="s">
        <v>29</v>
      </c>
      <c r="J3" s="71">
        <v>685</v>
      </c>
      <c r="K3" s="71">
        <v>5</v>
      </c>
      <c r="L3" s="141" t="s">
        <v>29</v>
      </c>
      <c r="M3" s="141" t="s">
        <v>29</v>
      </c>
      <c r="N3" s="71">
        <v>325</v>
      </c>
      <c r="O3" s="71">
        <v>150</v>
      </c>
      <c r="P3" s="142" t="s">
        <v>29</v>
      </c>
      <c r="Q3" s="142" t="s">
        <v>29</v>
      </c>
      <c r="R3" s="142" t="s">
        <v>29</v>
      </c>
      <c r="S3" s="142" t="s">
        <v>29</v>
      </c>
      <c r="T3" s="142" t="s">
        <v>29</v>
      </c>
      <c r="U3" s="71" t="s">
        <v>4</v>
      </c>
      <c r="V3" s="71" t="s">
        <v>120</v>
      </c>
      <c r="W3" s="71" t="s">
        <v>121</v>
      </c>
      <c r="X3" s="142" t="s">
        <v>29</v>
      </c>
      <c r="Y3" s="143" t="s">
        <v>29</v>
      </c>
      <c r="Z3" s="143" t="s">
        <v>29</v>
      </c>
      <c r="AA3" s="66" t="s">
        <v>112</v>
      </c>
      <c r="AB3" s="69" t="s">
        <v>205</v>
      </c>
      <c r="AC3" s="96"/>
      <c r="AD3" s="96"/>
      <c r="AE3" s="69" t="s">
        <v>216</v>
      </c>
      <c r="AF3" s="96">
        <v>42</v>
      </c>
      <c r="AG3" s="96">
        <v>4.5999999999999996</v>
      </c>
    </row>
    <row r="4" spans="1:33" ht="15.75" customHeight="1" x14ac:dyDescent="0.2">
      <c r="A4" s="71" t="s">
        <v>103</v>
      </c>
      <c r="B4" s="144">
        <v>41806</v>
      </c>
      <c r="C4" s="71"/>
      <c r="D4" s="71"/>
      <c r="E4" s="71"/>
      <c r="F4" s="71" t="s">
        <v>238</v>
      </c>
      <c r="G4" s="71" t="s">
        <v>227</v>
      </c>
      <c r="H4" s="71" t="s">
        <v>212</v>
      </c>
      <c r="I4" s="71"/>
      <c r="J4" s="71"/>
      <c r="K4" s="71"/>
      <c r="L4" s="192"/>
      <c r="M4" s="193"/>
      <c r="N4" s="71"/>
      <c r="O4" s="71"/>
      <c r="P4" s="142"/>
      <c r="Q4" s="222"/>
      <c r="R4" s="232"/>
      <c r="S4" s="142"/>
      <c r="T4" s="142"/>
      <c r="U4" s="71"/>
      <c r="V4" s="71"/>
      <c r="W4" s="71"/>
      <c r="X4" s="142"/>
      <c r="Y4" s="195"/>
      <c r="Z4" s="196"/>
      <c r="AA4" s="66"/>
      <c r="AB4" s="96"/>
      <c r="AC4" s="96"/>
      <c r="AD4" s="69" t="s">
        <v>205</v>
      </c>
      <c r="AE4" s="96"/>
      <c r="AF4" s="96"/>
      <c r="AG4" s="96"/>
    </row>
    <row r="5" spans="1:33" ht="27.75" customHeight="1" x14ac:dyDescent="0.2">
      <c r="A5" s="68" t="s">
        <v>30</v>
      </c>
      <c r="B5" s="139" t="s">
        <v>9</v>
      </c>
      <c r="C5" s="139" t="s">
        <v>10</v>
      </c>
      <c r="D5" s="139" t="s">
        <v>11</v>
      </c>
      <c r="E5" s="139" t="s">
        <v>12</v>
      </c>
      <c r="F5" s="139" t="s">
        <v>13</v>
      </c>
      <c r="G5" s="139" t="s">
        <v>14</v>
      </c>
      <c r="H5" s="139" t="s">
        <v>15</v>
      </c>
      <c r="I5" s="139" t="s">
        <v>16</v>
      </c>
      <c r="J5" s="139" t="s">
        <v>31</v>
      </c>
      <c r="K5" s="139" t="s">
        <v>32</v>
      </c>
      <c r="L5" s="338" t="s">
        <v>19</v>
      </c>
      <c r="M5" s="336"/>
      <c r="N5" s="139" t="s">
        <v>20</v>
      </c>
      <c r="O5" s="139" t="s">
        <v>21</v>
      </c>
      <c r="P5" s="139" t="s">
        <v>22</v>
      </c>
      <c r="Q5" s="338" t="s">
        <v>23</v>
      </c>
      <c r="R5" s="336"/>
      <c r="S5" s="139" t="s">
        <v>24</v>
      </c>
      <c r="T5" s="139" t="s">
        <v>25</v>
      </c>
      <c r="U5" s="139" t="s">
        <v>26</v>
      </c>
      <c r="V5" s="139" t="s">
        <v>92</v>
      </c>
      <c r="W5" s="139" t="s">
        <v>93</v>
      </c>
      <c r="X5" s="139" t="s">
        <v>27</v>
      </c>
      <c r="Y5" s="338" t="s">
        <v>28</v>
      </c>
      <c r="Z5" s="272"/>
      <c r="AA5" s="31" t="s">
        <v>89</v>
      </c>
      <c r="AB5" s="31" t="s">
        <v>91</v>
      </c>
      <c r="AC5" s="32" t="s">
        <v>90</v>
      </c>
      <c r="AD5" s="31" t="s">
        <v>95</v>
      </c>
      <c r="AE5" s="95" t="s">
        <v>346</v>
      </c>
      <c r="AF5" s="95" t="s">
        <v>347</v>
      </c>
      <c r="AG5" s="95" t="s">
        <v>348</v>
      </c>
    </row>
    <row r="6" spans="1:33" ht="15.75" customHeight="1" x14ac:dyDescent="0.2">
      <c r="A6" s="71" t="s">
        <v>103</v>
      </c>
      <c r="B6" s="144">
        <v>41780</v>
      </c>
      <c r="C6" s="71" t="s">
        <v>105</v>
      </c>
      <c r="D6" s="71" t="s">
        <v>29</v>
      </c>
      <c r="E6" s="71" t="s">
        <v>125</v>
      </c>
      <c r="F6" s="71" t="s">
        <v>126</v>
      </c>
      <c r="G6" s="71" t="s">
        <v>215</v>
      </c>
      <c r="H6" s="71" t="s">
        <v>29</v>
      </c>
      <c r="I6" s="80" t="s">
        <v>29</v>
      </c>
      <c r="J6" s="80">
        <v>965</v>
      </c>
      <c r="K6" s="80">
        <v>4</v>
      </c>
      <c r="L6" s="91" t="s">
        <v>29</v>
      </c>
      <c r="M6" s="91" t="s">
        <v>29</v>
      </c>
      <c r="N6" s="80">
        <v>354</v>
      </c>
      <c r="O6" s="80">
        <v>166</v>
      </c>
      <c r="P6" s="145" t="s">
        <v>29</v>
      </c>
      <c r="Q6" s="145" t="s">
        <v>29</v>
      </c>
      <c r="R6" s="145" t="s">
        <v>29</v>
      </c>
      <c r="S6" s="145" t="s">
        <v>29</v>
      </c>
      <c r="T6" s="145" t="s">
        <v>29</v>
      </c>
      <c r="U6" s="80" t="s">
        <v>4</v>
      </c>
      <c r="V6" s="80" t="s">
        <v>123</v>
      </c>
      <c r="W6" s="80" t="s">
        <v>124</v>
      </c>
      <c r="X6" s="145" t="s">
        <v>29</v>
      </c>
      <c r="Y6" s="145" t="s">
        <v>29</v>
      </c>
      <c r="Z6" s="145" t="s">
        <v>29</v>
      </c>
      <c r="AA6" s="66" t="s">
        <v>112</v>
      </c>
      <c r="AB6" s="69" t="s">
        <v>205</v>
      </c>
      <c r="AC6" s="96"/>
      <c r="AD6" s="96"/>
      <c r="AE6" s="69" t="s">
        <v>216</v>
      </c>
      <c r="AF6" s="96">
        <v>54</v>
      </c>
      <c r="AG6" s="96">
        <v>6.2</v>
      </c>
    </row>
    <row r="7" spans="1:33" ht="15.75" customHeight="1" x14ac:dyDescent="0.2">
      <c r="A7" s="71"/>
      <c r="B7" s="144">
        <v>41848</v>
      </c>
      <c r="C7" s="71"/>
      <c r="D7" s="71"/>
      <c r="E7" s="71"/>
      <c r="F7" s="71" t="s">
        <v>382</v>
      </c>
      <c r="G7" s="71" t="s">
        <v>227</v>
      </c>
      <c r="H7" s="224" t="s">
        <v>212</v>
      </c>
      <c r="I7" s="225"/>
      <c r="J7" s="225"/>
      <c r="K7" s="225"/>
      <c r="L7" s="147"/>
      <c r="M7" s="147"/>
      <c r="N7" s="225"/>
      <c r="O7" s="225"/>
      <c r="P7" s="223"/>
      <c r="Q7" s="223"/>
      <c r="R7" s="223"/>
      <c r="S7" s="223"/>
      <c r="T7" s="223"/>
      <c r="U7" s="225"/>
      <c r="V7" s="225"/>
      <c r="W7" s="225"/>
      <c r="X7" s="223"/>
      <c r="Y7" s="223"/>
      <c r="Z7" s="223"/>
      <c r="AA7" s="66"/>
      <c r="AB7" s="69"/>
      <c r="AC7" s="96"/>
      <c r="AD7" s="96"/>
      <c r="AE7" s="69"/>
      <c r="AF7" s="96"/>
      <c r="AG7" s="96"/>
    </row>
    <row r="8" spans="1:33" ht="16.5" customHeight="1" x14ac:dyDescent="0.2">
      <c r="A8" s="149" t="s">
        <v>33</v>
      </c>
      <c r="B8" s="139" t="s">
        <v>9</v>
      </c>
      <c r="C8" s="228" t="s">
        <v>34</v>
      </c>
      <c r="D8" s="228" t="s">
        <v>35</v>
      </c>
      <c r="E8" s="228" t="s">
        <v>36</v>
      </c>
      <c r="F8" s="228" t="s">
        <v>37</v>
      </c>
      <c r="G8" s="228" t="s">
        <v>38</v>
      </c>
      <c r="H8" s="190" t="s">
        <v>39</v>
      </c>
      <c r="I8" s="230" t="s">
        <v>9</v>
      </c>
      <c r="J8" s="420" t="s">
        <v>40</v>
      </c>
      <c r="K8" s="420"/>
      <c r="L8" s="420" t="s">
        <v>41</v>
      </c>
      <c r="M8" s="420"/>
      <c r="N8" s="420" t="s">
        <v>42</v>
      </c>
      <c r="O8" s="420"/>
      <c r="P8" s="420" t="s">
        <v>43</v>
      </c>
      <c r="Q8" s="420"/>
      <c r="R8" s="74"/>
      <c r="S8" s="421" t="s">
        <v>44</v>
      </c>
      <c r="T8" s="422"/>
      <c r="U8" s="422"/>
      <c r="V8" s="422"/>
      <c r="W8" s="422"/>
      <c r="X8" s="422"/>
      <c r="Y8" s="422"/>
      <c r="Z8" s="267"/>
      <c r="AE8" s="96"/>
      <c r="AF8" s="96"/>
      <c r="AG8" s="96"/>
    </row>
    <row r="9" spans="1:33" ht="15.75" customHeight="1" x14ac:dyDescent="0.2">
      <c r="A9" s="154" t="s">
        <v>45</v>
      </c>
      <c r="B9" s="142"/>
      <c r="C9" s="155">
        <v>41794</v>
      </c>
      <c r="D9" s="155">
        <v>41796</v>
      </c>
      <c r="E9" s="155">
        <v>41798</v>
      </c>
      <c r="F9" s="155">
        <v>41800</v>
      </c>
      <c r="G9" s="156">
        <f>AVERAGE(C9:F9)</f>
        <v>41797</v>
      </c>
      <c r="H9" s="157" t="s">
        <v>46</v>
      </c>
      <c r="I9" s="158"/>
      <c r="J9" s="276" t="s">
        <v>354</v>
      </c>
      <c r="K9" s="267"/>
      <c r="L9" s="346" t="s">
        <v>355</v>
      </c>
      <c r="M9" s="267"/>
      <c r="N9" s="346" t="s">
        <v>29</v>
      </c>
      <c r="O9" s="267"/>
      <c r="P9" s="347" t="s">
        <v>29</v>
      </c>
      <c r="Q9" s="267"/>
      <c r="R9" s="159" t="s">
        <v>47</v>
      </c>
      <c r="S9" s="160"/>
      <c r="T9" s="224">
        <v>3</v>
      </c>
      <c r="U9" s="348" t="s">
        <v>48</v>
      </c>
      <c r="V9" s="348"/>
      <c r="W9" s="348"/>
      <c r="X9" s="349" t="s">
        <v>29</v>
      </c>
      <c r="Y9" s="350"/>
      <c r="Z9" s="351"/>
    </row>
    <row r="10" spans="1:33" ht="15.75" customHeight="1" x14ac:dyDescent="0.2">
      <c r="A10" s="161" t="s">
        <v>49</v>
      </c>
      <c r="B10" s="142" t="s">
        <v>29</v>
      </c>
      <c r="C10" s="142" t="s">
        <v>29</v>
      </c>
      <c r="D10" s="142" t="s">
        <v>29</v>
      </c>
      <c r="E10" s="142" t="s">
        <v>29</v>
      </c>
      <c r="F10" s="142" t="s">
        <v>29</v>
      </c>
      <c r="G10" s="228"/>
      <c r="H10" s="157" t="s">
        <v>50</v>
      </c>
      <c r="I10" s="163">
        <v>41841</v>
      </c>
      <c r="J10" s="341">
        <f>IF(((I10-C18)&gt;0),(I10-C18),"/")</f>
        <v>41841</v>
      </c>
      <c r="K10" s="336"/>
      <c r="L10" s="341">
        <f>IF(((I10-D18)&gt;0),(I10-D18),"/")</f>
        <v>41841</v>
      </c>
      <c r="M10" s="336"/>
      <c r="N10" s="341">
        <f>IF(((I10-E18)&gt;0),(I10-E18),"/")</f>
        <v>41841</v>
      </c>
      <c r="O10" s="336"/>
      <c r="P10" s="341">
        <f>IF(((I10-F18)&gt;0),(I10-F18),"/")</f>
        <v>41841</v>
      </c>
      <c r="Q10" s="336"/>
      <c r="R10" s="164" t="s">
        <v>51</v>
      </c>
      <c r="S10" s="165"/>
      <c r="T10" s="224">
        <v>1</v>
      </c>
      <c r="U10" s="342" t="s">
        <v>52</v>
      </c>
      <c r="V10" s="342"/>
      <c r="W10" s="342"/>
      <c r="X10" s="343" t="s">
        <v>29</v>
      </c>
      <c r="Y10" s="344"/>
      <c r="Z10" s="345"/>
    </row>
    <row r="11" spans="1:33" ht="15.75" customHeight="1" x14ac:dyDescent="0.2">
      <c r="A11" s="161" t="s">
        <v>49</v>
      </c>
      <c r="B11" s="142" t="s">
        <v>29</v>
      </c>
      <c r="C11" s="142" t="s">
        <v>29</v>
      </c>
      <c r="D11" s="142" t="s">
        <v>29</v>
      </c>
      <c r="E11" s="142" t="s">
        <v>29</v>
      </c>
      <c r="F11" s="142" t="s">
        <v>29</v>
      </c>
      <c r="G11" s="228"/>
      <c r="H11" s="157" t="s">
        <v>53</v>
      </c>
      <c r="I11" s="166">
        <v>41841</v>
      </c>
      <c r="J11" s="355">
        <v>148</v>
      </c>
      <c r="K11" s="336"/>
      <c r="L11" s="356">
        <v>137</v>
      </c>
      <c r="M11" s="336"/>
      <c r="N11" s="356" t="s">
        <v>29</v>
      </c>
      <c r="O11" s="336"/>
      <c r="P11" s="357" t="s">
        <v>29</v>
      </c>
      <c r="Q11" s="336"/>
      <c r="R11" s="164" t="s">
        <v>54</v>
      </c>
      <c r="S11" s="165"/>
      <c r="T11" s="224">
        <v>2</v>
      </c>
      <c r="U11" s="342" t="s">
        <v>55</v>
      </c>
      <c r="V11" s="342"/>
      <c r="W11" s="342"/>
      <c r="X11" s="343" t="s">
        <v>29</v>
      </c>
      <c r="Y11" s="344"/>
      <c r="Z11" s="345"/>
    </row>
    <row r="12" spans="1:33" ht="15" customHeight="1" x14ac:dyDescent="0.2">
      <c r="A12" s="161" t="s">
        <v>49</v>
      </c>
      <c r="B12" s="142" t="s">
        <v>29</v>
      </c>
      <c r="C12" s="142" t="s">
        <v>29</v>
      </c>
      <c r="D12" s="142" t="s">
        <v>29</v>
      </c>
      <c r="E12" s="142" t="s">
        <v>29</v>
      </c>
      <c r="F12" s="142" t="s">
        <v>29</v>
      </c>
      <c r="G12" s="228"/>
      <c r="H12" s="157" t="s">
        <v>56</v>
      </c>
      <c r="I12" s="167"/>
      <c r="J12" s="352" t="s">
        <v>29</v>
      </c>
      <c r="K12" s="336"/>
      <c r="L12" s="353" t="s">
        <v>29</v>
      </c>
      <c r="M12" s="336"/>
      <c r="N12" s="353" t="s">
        <v>29</v>
      </c>
      <c r="O12" s="336"/>
      <c r="P12" s="354" t="s">
        <v>29</v>
      </c>
      <c r="Q12" s="336"/>
      <c r="R12" s="164" t="s">
        <v>57</v>
      </c>
      <c r="S12" s="165"/>
      <c r="T12" s="224">
        <v>1</v>
      </c>
      <c r="U12" s="342" t="s">
        <v>58</v>
      </c>
      <c r="V12" s="342"/>
      <c r="W12" s="342"/>
      <c r="X12" s="343" t="s">
        <v>29</v>
      </c>
      <c r="Y12" s="344"/>
      <c r="Z12" s="345"/>
    </row>
    <row r="13" spans="1:33" ht="15" customHeight="1" x14ac:dyDescent="0.2">
      <c r="A13" s="161" t="s">
        <v>49</v>
      </c>
      <c r="B13" s="142" t="s">
        <v>29</v>
      </c>
      <c r="C13" s="142" t="s">
        <v>29</v>
      </c>
      <c r="D13" s="142" t="s">
        <v>29</v>
      </c>
      <c r="E13" s="142" t="s">
        <v>29</v>
      </c>
      <c r="F13" s="142" t="s">
        <v>29</v>
      </c>
      <c r="G13" s="228"/>
      <c r="H13" s="157" t="s">
        <v>59</v>
      </c>
      <c r="I13" s="163">
        <v>41848</v>
      </c>
      <c r="J13" s="341">
        <f>I13-C18</f>
        <v>41848</v>
      </c>
      <c r="K13" s="336"/>
      <c r="L13" s="341">
        <f>I13-D18</f>
        <v>41848</v>
      </c>
      <c r="M13" s="336"/>
      <c r="N13" s="341">
        <f>I13-E18</f>
        <v>41848</v>
      </c>
      <c r="O13" s="336"/>
      <c r="P13" s="362">
        <f>I13-F18</f>
        <v>41848</v>
      </c>
      <c r="Q13" s="336"/>
      <c r="R13" s="164" t="s">
        <v>60</v>
      </c>
      <c r="S13" s="165"/>
      <c r="T13" s="224">
        <v>1</v>
      </c>
      <c r="U13" s="342" t="s">
        <v>61</v>
      </c>
      <c r="V13" s="342"/>
      <c r="W13" s="342"/>
      <c r="X13" s="343" t="s">
        <v>29</v>
      </c>
      <c r="Y13" s="344"/>
      <c r="Z13" s="345"/>
    </row>
    <row r="14" spans="1:33" ht="15.75" customHeight="1" x14ac:dyDescent="0.2">
      <c r="A14" s="161" t="s">
        <v>49</v>
      </c>
      <c r="B14" s="142" t="s">
        <v>29</v>
      </c>
      <c r="C14" s="142" t="s">
        <v>29</v>
      </c>
      <c r="D14" s="142" t="s">
        <v>29</v>
      </c>
      <c r="E14" s="142" t="s">
        <v>29</v>
      </c>
      <c r="F14" s="142" t="s">
        <v>29</v>
      </c>
      <c r="G14" s="228"/>
      <c r="H14" s="157" t="s">
        <v>62</v>
      </c>
      <c r="I14" s="166">
        <v>41848</v>
      </c>
      <c r="J14" s="355">
        <v>324</v>
      </c>
      <c r="K14" s="336"/>
      <c r="L14" s="356">
        <v>305</v>
      </c>
      <c r="M14" s="336"/>
      <c r="N14" s="356" t="s">
        <v>29</v>
      </c>
      <c r="O14" s="336"/>
      <c r="P14" s="357" t="s">
        <v>29</v>
      </c>
      <c r="Q14" s="336"/>
      <c r="R14" s="164" t="s">
        <v>63</v>
      </c>
      <c r="S14" s="165"/>
      <c r="T14" s="168">
        <v>1</v>
      </c>
      <c r="U14" s="358" t="s">
        <v>64</v>
      </c>
      <c r="V14" s="358"/>
      <c r="W14" s="358"/>
      <c r="X14" s="359" t="s">
        <v>29</v>
      </c>
      <c r="Y14" s="360"/>
      <c r="Z14" s="361"/>
    </row>
    <row r="15" spans="1:33" ht="15.75" customHeight="1" x14ac:dyDescent="0.2">
      <c r="A15" s="161" t="s">
        <v>49</v>
      </c>
      <c r="B15" s="142" t="s">
        <v>29</v>
      </c>
      <c r="C15" s="142" t="s">
        <v>29</v>
      </c>
      <c r="D15" s="142" t="s">
        <v>29</v>
      </c>
      <c r="E15" s="142" t="s">
        <v>29</v>
      </c>
      <c r="F15" s="142" t="s">
        <v>29</v>
      </c>
      <c r="G15" s="228"/>
      <c r="H15" s="157" t="s">
        <v>65</v>
      </c>
      <c r="I15" s="167"/>
      <c r="J15" s="352" t="s">
        <v>29</v>
      </c>
      <c r="K15" s="336"/>
      <c r="L15" s="353" t="s">
        <v>29</v>
      </c>
      <c r="M15" s="336"/>
      <c r="N15" s="353" t="s">
        <v>29</v>
      </c>
      <c r="O15" s="336"/>
      <c r="P15" s="354" t="s">
        <v>29</v>
      </c>
      <c r="Q15" s="272"/>
      <c r="R15" s="329" t="s">
        <v>66</v>
      </c>
      <c r="S15" s="329"/>
      <c r="T15" s="329"/>
      <c r="U15" s="329"/>
      <c r="V15" s="329"/>
      <c r="W15" s="329"/>
      <c r="X15" s="329"/>
      <c r="Y15" s="329"/>
      <c r="Z15" s="329"/>
    </row>
    <row r="16" spans="1:33" ht="15.75" customHeight="1" x14ac:dyDescent="0.2">
      <c r="A16" s="161" t="s">
        <v>49</v>
      </c>
      <c r="B16" s="142" t="s">
        <v>29</v>
      </c>
      <c r="C16" s="142" t="s">
        <v>29</v>
      </c>
      <c r="D16" s="142" t="s">
        <v>29</v>
      </c>
      <c r="E16" s="142" t="s">
        <v>29</v>
      </c>
      <c r="F16" s="142" t="s">
        <v>29</v>
      </c>
      <c r="G16" s="228"/>
      <c r="H16" s="157" t="s">
        <v>67</v>
      </c>
      <c r="I16" s="167"/>
      <c r="J16" s="352" t="s">
        <v>29</v>
      </c>
      <c r="K16" s="336"/>
      <c r="L16" s="353" t="s">
        <v>29</v>
      </c>
      <c r="M16" s="336"/>
      <c r="N16" s="353" t="s">
        <v>29</v>
      </c>
      <c r="O16" s="336"/>
      <c r="P16" s="354" t="s">
        <v>29</v>
      </c>
      <c r="Q16" s="272"/>
      <c r="R16" s="329"/>
      <c r="S16" s="329"/>
      <c r="T16" s="329"/>
      <c r="U16" s="329"/>
      <c r="V16" s="329"/>
      <c r="W16" s="329"/>
      <c r="X16" s="329"/>
      <c r="Y16" s="329"/>
      <c r="Z16" s="329"/>
    </row>
    <row r="17" spans="1:26" ht="15.75" customHeight="1" x14ac:dyDescent="0.2">
      <c r="A17" s="161" t="s">
        <v>49</v>
      </c>
      <c r="B17" s="142" t="s">
        <v>29</v>
      </c>
      <c r="C17" s="142" t="s">
        <v>29</v>
      </c>
      <c r="D17" s="142" t="s">
        <v>29</v>
      </c>
      <c r="E17" s="142" t="s">
        <v>29</v>
      </c>
      <c r="F17" s="142" t="s">
        <v>29</v>
      </c>
      <c r="G17" s="228"/>
      <c r="H17" s="157" t="s">
        <v>68</v>
      </c>
      <c r="I17" s="167"/>
      <c r="J17" s="352" t="s">
        <v>29</v>
      </c>
      <c r="K17" s="336"/>
      <c r="L17" s="353" t="s">
        <v>29</v>
      </c>
      <c r="M17" s="336"/>
      <c r="N17" s="353" t="s">
        <v>29</v>
      </c>
      <c r="O17" s="336"/>
      <c r="P17" s="363" t="s">
        <v>29</v>
      </c>
      <c r="Q17" s="293"/>
      <c r="R17" s="305" t="s">
        <v>482</v>
      </c>
      <c r="S17" s="305"/>
      <c r="T17" s="305"/>
      <c r="U17" s="305"/>
      <c r="V17" s="305"/>
      <c r="W17" s="305"/>
      <c r="X17" s="305"/>
      <c r="Y17" s="305"/>
      <c r="Z17" s="306"/>
    </row>
    <row r="18" spans="1:26" ht="15.75" customHeight="1" x14ac:dyDescent="0.2">
      <c r="A18" s="171" t="s">
        <v>69</v>
      </c>
      <c r="B18" s="142"/>
      <c r="C18" s="155"/>
      <c r="D18" s="155"/>
      <c r="E18" s="155"/>
      <c r="F18" s="155"/>
      <c r="G18" s="156" t="e">
        <f>AVERAGE(C18:F18)</f>
        <v>#DIV/0!</v>
      </c>
      <c r="H18" s="157" t="s">
        <v>70</v>
      </c>
      <c r="I18" s="163">
        <v>41862</v>
      </c>
      <c r="J18" s="364">
        <f>I18-C18</f>
        <v>41862</v>
      </c>
      <c r="K18" s="336"/>
      <c r="L18" s="364">
        <f>I18-D18</f>
        <v>41862</v>
      </c>
      <c r="M18" s="336"/>
      <c r="N18" s="364">
        <f>I18-E18</f>
        <v>41862</v>
      </c>
      <c r="O18" s="272"/>
      <c r="P18" s="365">
        <f>I18-F18</f>
        <v>41862</v>
      </c>
      <c r="Q18" s="261"/>
      <c r="R18" s="307"/>
      <c r="S18" s="307"/>
      <c r="T18" s="307"/>
      <c r="U18" s="307"/>
      <c r="V18" s="307"/>
      <c r="W18" s="307"/>
      <c r="X18" s="307"/>
      <c r="Y18" s="307"/>
      <c r="Z18" s="308"/>
    </row>
    <row r="19" spans="1:26" ht="15.75" customHeight="1" x14ac:dyDescent="0.2">
      <c r="A19" s="338" t="s">
        <v>71</v>
      </c>
      <c r="B19" s="368"/>
      <c r="C19" s="172">
        <f>C18-C9</f>
        <v>-41794</v>
      </c>
      <c r="D19" s="172">
        <f>D18-D9</f>
        <v>-41796</v>
      </c>
      <c r="E19" s="172">
        <f>E18-E9</f>
        <v>-41798</v>
      </c>
      <c r="F19" s="172">
        <f>F18-F9</f>
        <v>-41800</v>
      </c>
      <c r="G19" s="173">
        <f>AVERAGE(C19:E19)</f>
        <v>-41796</v>
      </c>
      <c r="H19" s="157" t="s">
        <v>72</v>
      </c>
      <c r="I19" s="166">
        <v>41862</v>
      </c>
      <c r="J19" s="357">
        <v>388</v>
      </c>
      <c r="K19" s="336"/>
      <c r="L19" s="356" t="s">
        <v>29</v>
      </c>
      <c r="M19" s="336"/>
      <c r="N19" s="366" t="s">
        <v>29</v>
      </c>
      <c r="O19" s="272"/>
      <c r="P19" s="367" t="s">
        <v>29</v>
      </c>
      <c r="Q19" s="261"/>
      <c r="R19" s="307"/>
      <c r="S19" s="307"/>
      <c r="T19" s="307"/>
      <c r="U19" s="307"/>
      <c r="V19" s="307"/>
      <c r="W19" s="307"/>
      <c r="X19" s="307"/>
      <c r="Y19" s="307"/>
      <c r="Z19" s="308"/>
    </row>
    <row r="20" spans="1:26" ht="15.75" customHeight="1" x14ac:dyDescent="0.2">
      <c r="A20" s="340" t="s">
        <v>73</v>
      </c>
      <c r="B20" s="340"/>
      <c r="C20" s="339" t="s">
        <v>40</v>
      </c>
      <c r="D20" s="339" t="s">
        <v>41</v>
      </c>
      <c r="E20" s="339" t="s">
        <v>42</v>
      </c>
      <c r="F20" s="339" t="s">
        <v>43</v>
      </c>
      <c r="G20" s="339" t="s">
        <v>38</v>
      </c>
      <c r="H20" s="167" t="s">
        <v>78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 customHeight="1" x14ac:dyDescent="0.2">
      <c r="A21" s="369"/>
      <c r="B21" s="369"/>
      <c r="C21" s="261"/>
      <c r="D21" s="261"/>
      <c r="E21" s="261"/>
      <c r="F21" s="261"/>
      <c r="G21" s="261"/>
      <c r="H21" s="167" t="s">
        <v>67</v>
      </c>
      <c r="I21" s="167"/>
      <c r="J21" s="354" t="s">
        <v>29</v>
      </c>
      <c r="K21" s="336"/>
      <c r="L21" s="353" t="s">
        <v>29</v>
      </c>
      <c r="M21" s="336"/>
      <c r="N21" s="370" t="s">
        <v>29</v>
      </c>
      <c r="O21" s="272"/>
      <c r="P21" s="371" t="s">
        <v>29</v>
      </c>
      <c r="Q21" s="261"/>
      <c r="R21" s="307"/>
      <c r="S21" s="307"/>
      <c r="T21" s="307"/>
      <c r="U21" s="307"/>
      <c r="V21" s="307"/>
      <c r="W21" s="307"/>
      <c r="X21" s="307"/>
      <c r="Y21" s="307"/>
      <c r="Z21" s="308"/>
    </row>
    <row r="22" spans="1:26" ht="15.75" customHeight="1" x14ac:dyDescent="0.2">
      <c r="A22" s="372" t="s">
        <v>79</v>
      </c>
      <c r="B22" s="373"/>
      <c r="C22" s="122" t="s">
        <v>481</v>
      </c>
      <c r="D22" s="122" t="s">
        <v>483</v>
      </c>
      <c r="E22" s="122" t="s">
        <v>29</v>
      </c>
      <c r="F22" s="122" t="s">
        <v>29</v>
      </c>
      <c r="G22" s="122" t="s">
        <v>29</v>
      </c>
      <c r="H22" s="157" t="s">
        <v>68</v>
      </c>
      <c r="I22" s="167"/>
      <c r="J22" s="354" t="s">
        <v>29</v>
      </c>
      <c r="K22" s="336"/>
      <c r="L22" s="353" t="s">
        <v>29</v>
      </c>
      <c r="M22" s="336"/>
      <c r="N22" s="370" t="s">
        <v>29</v>
      </c>
      <c r="O22" s="272"/>
      <c r="P22" s="371" t="s">
        <v>29</v>
      </c>
      <c r="Q22" s="261"/>
      <c r="R22" s="307"/>
      <c r="S22" s="307"/>
      <c r="T22" s="307"/>
      <c r="U22" s="307"/>
      <c r="V22" s="307"/>
      <c r="W22" s="307"/>
      <c r="X22" s="307"/>
      <c r="Y22" s="307"/>
      <c r="Z22" s="308"/>
    </row>
    <row r="23" spans="1:26" ht="15.75" customHeight="1" x14ac:dyDescent="0.2">
      <c r="A23" s="372" t="s">
        <v>46</v>
      </c>
      <c r="B23" s="373"/>
      <c r="C23" s="71" t="s">
        <v>29</v>
      </c>
      <c r="D23" s="71" t="s">
        <v>29</v>
      </c>
      <c r="E23" s="71" t="s">
        <v>29</v>
      </c>
      <c r="F23" s="71" t="s">
        <v>29</v>
      </c>
      <c r="G23" s="71" t="s">
        <v>29</v>
      </c>
      <c r="H23" s="176" t="s">
        <v>80</v>
      </c>
      <c r="I23" s="163">
        <v>40775</v>
      </c>
      <c r="J23" s="364">
        <f>I23-C18</f>
        <v>40775</v>
      </c>
      <c r="K23" s="336"/>
      <c r="L23" s="364">
        <f>I23-D18</f>
        <v>40775</v>
      </c>
      <c r="M23" s="336"/>
      <c r="N23" s="364">
        <f>I23-E18</f>
        <v>40775</v>
      </c>
      <c r="O23" s="272"/>
      <c r="P23" s="365">
        <f>I23-F18</f>
        <v>40775</v>
      </c>
      <c r="Q23" s="261"/>
      <c r="R23" s="307"/>
      <c r="S23" s="307"/>
      <c r="T23" s="307"/>
      <c r="U23" s="307"/>
      <c r="V23" s="307"/>
      <c r="W23" s="307"/>
      <c r="X23" s="307"/>
      <c r="Y23" s="307"/>
      <c r="Z23" s="308"/>
    </row>
    <row r="24" spans="1:26" ht="15.75" customHeight="1" x14ac:dyDescent="0.2">
      <c r="A24" s="372" t="s">
        <v>81</v>
      </c>
      <c r="B24" s="373"/>
      <c r="C24" s="177">
        <v>42227</v>
      </c>
      <c r="D24" s="71" t="s">
        <v>29</v>
      </c>
      <c r="E24" s="71" t="s">
        <v>29</v>
      </c>
      <c r="F24" s="71" t="s">
        <v>29</v>
      </c>
      <c r="G24" s="224" t="s">
        <v>29</v>
      </c>
      <c r="H24" s="178" t="s">
        <v>82</v>
      </c>
      <c r="I24" s="179"/>
      <c r="J24" s="357" t="s">
        <v>29</v>
      </c>
      <c r="K24" s="336"/>
      <c r="L24" s="356" t="s">
        <v>29</v>
      </c>
      <c r="M24" s="336"/>
      <c r="N24" s="366" t="s">
        <v>29</v>
      </c>
      <c r="O24" s="272"/>
      <c r="P24" s="367" t="s">
        <v>29</v>
      </c>
      <c r="Q24" s="261"/>
      <c r="R24" s="307"/>
      <c r="S24" s="307"/>
      <c r="T24" s="307"/>
      <c r="U24" s="307"/>
      <c r="V24" s="307"/>
      <c r="W24" s="307"/>
      <c r="X24" s="307"/>
      <c r="Y24" s="307"/>
      <c r="Z24" s="308"/>
    </row>
    <row r="25" spans="1:26" ht="15.75" customHeight="1" x14ac:dyDescent="0.2">
      <c r="A25" s="372" t="s">
        <v>12</v>
      </c>
      <c r="B25" s="373"/>
      <c r="C25" s="71">
        <v>220613000</v>
      </c>
      <c r="D25" s="71" t="s">
        <v>29</v>
      </c>
      <c r="E25" s="71" t="s">
        <v>29</v>
      </c>
      <c r="F25" s="71" t="s">
        <v>29</v>
      </c>
      <c r="G25" s="224" t="s">
        <v>29</v>
      </c>
      <c r="H25" s="178" t="s">
        <v>83</v>
      </c>
      <c r="I25" s="179"/>
      <c r="J25" s="357" t="s">
        <v>29</v>
      </c>
      <c r="K25" s="336"/>
      <c r="L25" s="356" t="s">
        <v>29</v>
      </c>
      <c r="M25" s="336"/>
      <c r="N25" s="366" t="s">
        <v>29</v>
      </c>
      <c r="O25" s="272"/>
      <c r="P25" s="367" t="s">
        <v>29</v>
      </c>
      <c r="Q25" s="261"/>
      <c r="R25" s="307"/>
      <c r="S25" s="307"/>
      <c r="T25" s="307"/>
      <c r="U25" s="307"/>
      <c r="V25" s="307"/>
      <c r="W25" s="307"/>
      <c r="X25" s="307"/>
      <c r="Y25" s="307"/>
      <c r="Z25" s="308"/>
    </row>
    <row r="26" spans="1:26" ht="15.75" customHeight="1" x14ac:dyDescent="0.2">
      <c r="A26" s="372" t="s">
        <v>84</v>
      </c>
      <c r="B26" s="373"/>
      <c r="C26" s="71" t="s">
        <v>29</v>
      </c>
      <c r="D26" s="71" t="s">
        <v>29</v>
      </c>
      <c r="E26" s="71" t="s">
        <v>29</v>
      </c>
      <c r="F26" s="71" t="s">
        <v>29</v>
      </c>
      <c r="G26" s="224" t="s">
        <v>29</v>
      </c>
      <c r="H26" s="178" t="s">
        <v>67</v>
      </c>
      <c r="I26" s="167"/>
      <c r="J26" s="354" t="s">
        <v>29</v>
      </c>
      <c r="K26" s="336"/>
      <c r="L26" s="372" t="s">
        <v>29</v>
      </c>
      <c r="M26" s="336"/>
      <c r="N26" s="380" t="s">
        <v>29</v>
      </c>
      <c r="O26" s="272"/>
      <c r="P26" s="371" t="s">
        <v>29</v>
      </c>
      <c r="Q26" s="261"/>
      <c r="R26" s="307"/>
      <c r="S26" s="307"/>
      <c r="T26" s="307"/>
      <c r="U26" s="307"/>
      <c r="V26" s="307"/>
      <c r="W26" s="307"/>
      <c r="X26" s="307"/>
      <c r="Y26" s="307"/>
      <c r="Z26" s="308"/>
    </row>
    <row r="27" spans="1:26" ht="15.75" customHeight="1" x14ac:dyDescent="0.2">
      <c r="A27" s="372" t="s">
        <v>11</v>
      </c>
      <c r="B27" s="373"/>
      <c r="C27" s="71" t="s">
        <v>413</v>
      </c>
      <c r="D27" s="71" t="s">
        <v>29</v>
      </c>
      <c r="E27" s="71" t="s">
        <v>29</v>
      </c>
      <c r="F27" s="71" t="s">
        <v>29</v>
      </c>
      <c r="G27" s="224" t="s">
        <v>29</v>
      </c>
      <c r="H27" s="178" t="s">
        <v>68</v>
      </c>
      <c r="I27" s="167"/>
      <c r="J27" s="354" t="s">
        <v>29</v>
      </c>
      <c r="K27" s="336"/>
      <c r="L27" s="372" t="s">
        <v>29</v>
      </c>
      <c r="M27" s="336"/>
      <c r="N27" s="380" t="s">
        <v>29</v>
      </c>
      <c r="O27" s="272"/>
      <c r="P27" s="371" t="s">
        <v>29</v>
      </c>
      <c r="Q27" s="261"/>
      <c r="R27" s="307"/>
      <c r="S27" s="307"/>
      <c r="T27" s="307"/>
      <c r="U27" s="307"/>
      <c r="V27" s="307"/>
      <c r="W27" s="307"/>
      <c r="X27" s="307"/>
      <c r="Y27" s="307"/>
      <c r="Z27" s="308"/>
    </row>
    <row r="28" spans="1:26" ht="15.75" customHeight="1" x14ac:dyDescent="0.2">
      <c r="A28" s="374" t="s">
        <v>85</v>
      </c>
      <c r="B28" s="375"/>
      <c r="C28" s="71" t="s">
        <v>29</v>
      </c>
      <c r="D28" s="71" t="s">
        <v>408</v>
      </c>
      <c r="E28" s="71" t="s">
        <v>29</v>
      </c>
      <c r="F28" s="71" t="s">
        <v>29</v>
      </c>
      <c r="G28" s="224" t="s">
        <v>29</v>
      </c>
      <c r="H28" s="178" t="s">
        <v>86</v>
      </c>
      <c r="I28" s="179"/>
      <c r="J28" s="357" t="s">
        <v>29</v>
      </c>
      <c r="K28" s="336"/>
      <c r="L28" s="376" t="s">
        <v>29</v>
      </c>
      <c r="M28" s="336"/>
      <c r="N28" s="377" t="s">
        <v>29</v>
      </c>
      <c r="O28" s="272"/>
      <c r="P28" s="367" t="s">
        <v>29</v>
      </c>
      <c r="Q28" s="261"/>
      <c r="R28" s="307"/>
      <c r="S28" s="307"/>
      <c r="T28" s="307"/>
      <c r="U28" s="307"/>
      <c r="V28" s="307"/>
      <c r="W28" s="307"/>
      <c r="X28" s="307"/>
      <c r="Y28" s="307"/>
      <c r="Z28" s="308"/>
    </row>
    <row r="29" spans="1:26" ht="15.75" customHeight="1" x14ac:dyDescent="0.2">
      <c r="A29" s="378" t="s">
        <v>87</v>
      </c>
      <c r="B29" s="379"/>
      <c r="C29" s="71" t="s">
        <v>29</v>
      </c>
      <c r="D29" s="71" t="s">
        <v>410</v>
      </c>
      <c r="E29" s="71" t="s">
        <v>29</v>
      </c>
      <c r="F29" s="71" t="s">
        <v>29</v>
      </c>
      <c r="G29" s="224" t="s">
        <v>29</v>
      </c>
      <c r="H29" s="178" t="s">
        <v>88</v>
      </c>
      <c r="I29" s="179"/>
      <c r="J29" s="357" t="s">
        <v>29</v>
      </c>
      <c r="K29" s="336"/>
      <c r="L29" s="356" t="s">
        <v>29</v>
      </c>
      <c r="M29" s="336"/>
      <c r="N29" s="366" t="s">
        <v>29</v>
      </c>
      <c r="O29" s="272"/>
      <c r="P29" s="367" t="s">
        <v>29</v>
      </c>
      <c r="Q29" s="261"/>
      <c r="R29" s="307"/>
      <c r="S29" s="307"/>
      <c r="T29" s="307"/>
      <c r="U29" s="307"/>
      <c r="V29" s="307"/>
      <c r="W29" s="307"/>
      <c r="X29" s="307"/>
      <c r="Y29" s="307"/>
      <c r="Z29" s="308"/>
    </row>
    <row r="30" spans="1:26" ht="15.75" customHeight="1" x14ac:dyDescent="0.2">
      <c r="A30" s="218"/>
      <c r="B30" s="7"/>
      <c r="C30" s="4"/>
      <c r="D30" s="4"/>
      <c r="E30" s="4"/>
      <c r="F30" s="4"/>
      <c r="G30" s="4"/>
      <c r="H30" s="46"/>
      <c r="I30" s="4"/>
      <c r="J30" s="4"/>
      <c r="K30" s="4"/>
      <c r="L30" s="4"/>
      <c r="M30" s="4"/>
      <c r="N30" s="4"/>
      <c r="O30" s="4"/>
      <c r="P30" s="46"/>
      <c r="Q30" s="46"/>
      <c r="R30" s="53"/>
      <c r="S30" s="30"/>
      <c r="T30" s="4"/>
      <c r="U30" s="4"/>
      <c r="V30" s="4"/>
      <c r="W30" s="26"/>
      <c r="X30" s="4"/>
      <c r="Y30" s="4"/>
      <c r="Z30" s="4"/>
    </row>
  </sheetData>
  <mergeCells count="128">
    <mergeCell ref="A26:B26"/>
    <mergeCell ref="J26:K26"/>
    <mergeCell ref="L26:M26"/>
    <mergeCell ref="N26:O26"/>
    <mergeCell ref="P26:Q26"/>
    <mergeCell ref="A27:B27"/>
    <mergeCell ref="J27:K27"/>
    <mergeCell ref="L27:M27"/>
    <mergeCell ref="N27:O27"/>
    <mergeCell ref="P27:Q27"/>
    <mergeCell ref="A28:B28"/>
    <mergeCell ref="J28:K28"/>
    <mergeCell ref="L28:M28"/>
    <mergeCell ref="N28:O28"/>
    <mergeCell ref="P28:Q28"/>
    <mergeCell ref="A29:B29"/>
    <mergeCell ref="J29:K29"/>
    <mergeCell ref="L29:M29"/>
    <mergeCell ref="N29:O29"/>
    <mergeCell ref="P29:Q29"/>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4:B24"/>
    <mergeCell ref="J24:K24"/>
    <mergeCell ref="A19:B19"/>
    <mergeCell ref="J19:K19"/>
    <mergeCell ref="L19:M19"/>
    <mergeCell ref="N19:O19"/>
    <mergeCell ref="P19:Q19"/>
    <mergeCell ref="A20:B21"/>
    <mergeCell ref="C20:C21"/>
    <mergeCell ref="D20:D21"/>
    <mergeCell ref="E20:E21"/>
    <mergeCell ref="F20:F21"/>
    <mergeCell ref="G20:G21"/>
    <mergeCell ref="J20:K20"/>
    <mergeCell ref="L20:M20"/>
    <mergeCell ref="N20:O20"/>
    <mergeCell ref="P20:Q20"/>
    <mergeCell ref="J21:K21"/>
    <mergeCell ref="L21:M21"/>
    <mergeCell ref="N21:O21"/>
    <mergeCell ref="P21:Q21"/>
    <mergeCell ref="J17:K17"/>
    <mergeCell ref="L17:M17"/>
    <mergeCell ref="N17:O17"/>
    <mergeCell ref="P17:Q17"/>
    <mergeCell ref="R17:Z29"/>
    <mergeCell ref="J18:K18"/>
    <mergeCell ref="L18:M18"/>
    <mergeCell ref="N18:O18"/>
    <mergeCell ref="P18:Q18"/>
    <mergeCell ref="L24:M24"/>
    <mergeCell ref="N24:O24"/>
    <mergeCell ref="P24:Q24"/>
    <mergeCell ref="J15:K15"/>
    <mergeCell ref="L15:M15"/>
    <mergeCell ref="N15:O15"/>
    <mergeCell ref="P15:Q15"/>
    <mergeCell ref="R15:Z16"/>
    <mergeCell ref="J16:K16"/>
    <mergeCell ref="L16:M16"/>
    <mergeCell ref="N16:O16"/>
    <mergeCell ref="P16:Q16"/>
    <mergeCell ref="J14:K14"/>
    <mergeCell ref="L14:M14"/>
    <mergeCell ref="N14:O14"/>
    <mergeCell ref="P14:Q14"/>
    <mergeCell ref="U14:W14"/>
    <mergeCell ref="X14:Z14"/>
    <mergeCell ref="J13:K13"/>
    <mergeCell ref="L13:M13"/>
    <mergeCell ref="N13:O13"/>
    <mergeCell ref="P13:Q13"/>
    <mergeCell ref="U13:W13"/>
    <mergeCell ref="X13:Z13"/>
    <mergeCell ref="J12:K12"/>
    <mergeCell ref="L12:M12"/>
    <mergeCell ref="N12:O12"/>
    <mergeCell ref="P12:Q12"/>
    <mergeCell ref="U12:W12"/>
    <mergeCell ref="X12:Z12"/>
    <mergeCell ref="J11:K11"/>
    <mergeCell ref="L11:M11"/>
    <mergeCell ref="N11:O11"/>
    <mergeCell ref="P11:Q11"/>
    <mergeCell ref="U11:W11"/>
    <mergeCell ref="X11:Z11"/>
    <mergeCell ref="J8:K8"/>
    <mergeCell ref="L8:M8"/>
    <mergeCell ref="N8:O8"/>
    <mergeCell ref="P8:Q8"/>
    <mergeCell ref="S8:Z8"/>
    <mergeCell ref="J10:K10"/>
    <mergeCell ref="L10:M10"/>
    <mergeCell ref="N10:O10"/>
    <mergeCell ref="P10:Q10"/>
    <mergeCell ref="U10:W10"/>
    <mergeCell ref="X10:Z10"/>
    <mergeCell ref="J9:K9"/>
    <mergeCell ref="L9:M9"/>
    <mergeCell ref="N9:O9"/>
    <mergeCell ref="P9:Q9"/>
    <mergeCell ref="U9:W9"/>
    <mergeCell ref="X9:Z9"/>
    <mergeCell ref="I1:J1"/>
    <mergeCell ref="K1:O1"/>
    <mergeCell ref="P1:Q1"/>
    <mergeCell ref="R1:S1"/>
    <mergeCell ref="L2:M2"/>
    <mergeCell ref="Q2:R2"/>
    <mergeCell ref="Y2:Z2"/>
    <mergeCell ref="L5:M5"/>
    <mergeCell ref="Q5:R5"/>
    <mergeCell ref="Y5:Z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C20" sqref="AC20"/>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32</v>
      </c>
      <c r="G1" s="226" t="s">
        <v>3</v>
      </c>
      <c r="H1" s="216" t="s">
        <v>4</v>
      </c>
      <c r="I1" s="329" t="s">
        <v>5</v>
      </c>
      <c r="J1" s="261"/>
      <c r="K1" s="262" t="s">
        <v>317</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15.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27.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5.7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6.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7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7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409" t="s">
        <v>192</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49"/>
  <sheetViews>
    <sheetView topLeftCell="A13" workbookViewId="0">
      <selection activeCell="R16" sqref="R16:Z28"/>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7109375" style="25" bestFit="1"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3" ht="12.75" x14ac:dyDescent="0.2">
      <c r="A1" s="58" t="s">
        <v>0</v>
      </c>
      <c r="B1" s="59">
        <v>2014</v>
      </c>
      <c r="C1" s="58" t="s">
        <v>1</v>
      </c>
      <c r="D1" s="59"/>
      <c r="E1" s="58" t="s">
        <v>2</v>
      </c>
      <c r="F1" s="55">
        <v>33</v>
      </c>
      <c r="G1" s="56" t="s">
        <v>3</v>
      </c>
      <c r="H1" s="55" t="s">
        <v>4</v>
      </c>
      <c r="I1" s="260" t="s">
        <v>5</v>
      </c>
      <c r="J1" s="261"/>
      <c r="K1" s="262" t="s">
        <v>318</v>
      </c>
      <c r="L1" s="261"/>
      <c r="M1" s="261"/>
      <c r="N1" s="261"/>
      <c r="O1" s="261"/>
      <c r="P1" s="263" t="s">
        <v>6</v>
      </c>
      <c r="Q1" s="261"/>
      <c r="R1" s="264"/>
      <c r="S1" s="265"/>
      <c r="T1" s="16"/>
      <c r="U1" s="16"/>
      <c r="V1" s="16"/>
      <c r="W1" s="16"/>
      <c r="X1" s="16"/>
      <c r="Y1" s="16"/>
      <c r="Z1" s="34"/>
    </row>
    <row r="2" spans="1:33" ht="27.75" customHeight="1" x14ac:dyDescent="0.2">
      <c r="A2" s="57" t="s">
        <v>8</v>
      </c>
      <c r="B2" s="54" t="s">
        <v>9</v>
      </c>
      <c r="C2" s="54" t="s">
        <v>10</v>
      </c>
      <c r="D2" s="54" t="s">
        <v>11</v>
      </c>
      <c r="E2" s="54" t="s">
        <v>12</v>
      </c>
      <c r="F2" s="54" t="s">
        <v>13</v>
      </c>
      <c r="G2" s="54" t="s">
        <v>14</v>
      </c>
      <c r="H2" s="54" t="s">
        <v>15</v>
      </c>
      <c r="I2" s="13" t="s">
        <v>16</v>
      </c>
      <c r="J2" s="54" t="s">
        <v>17</v>
      </c>
      <c r="K2" s="54" t="s">
        <v>18</v>
      </c>
      <c r="L2" s="266"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32" t="s">
        <v>90</v>
      </c>
      <c r="AD2" s="31" t="s">
        <v>95</v>
      </c>
    </row>
    <row r="3" spans="1:33" ht="15.75" customHeight="1" x14ac:dyDescent="0.2">
      <c r="A3" s="28" t="s">
        <v>103</v>
      </c>
      <c r="B3" s="64">
        <v>41796</v>
      </c>
      <c r="C3" s="28" t="s">
        <v>29</v>
      </c>
      <c r="D3" s="18" t="s">
        <v>29</v>
      </c>
      <c r="E3" s="28" t="s">
        <v>235</v>
      </c>
      <c r="F3" s="28" t="s">
        <v>235</v>
      </c>
      <c r="G3" s="28" t="s">
        <v>225</v>
      </c>
      <c r="H3" s="18" t="s">
        <v>29</v>
      </c>
      <c r="I3" s="18" t="s">
        <v>29</v>
      </c>
      <c r="J3" s="18" t="s">
        <v>29</v>
      </c>
      <c r="K3" s="18" t="s">
        <v>29</v>
      </c>
      <c r="L3" s="41" t="s">
        <v>29</v>
      </c>
      <c r="M3" s="41" t="s">
        <v>29</v>
      </c>
      <c r="N3" s="18" t="s">
        <v>29</v>
      </c>
      <c r="O3" s="18" t="s">
        <v>29</v>
      </c>
      <c r="P3" s="20" t="s">
        <v>29</v>
      </c>
      <c r="Q3" s="20" t="s">
        <v>29</v>
      </c>
      <c r="R3" s="20" t="s">
        <v>29</v>
      </c>
      <c r="S3" s="20" t="s">
        <v>29</v>
      </c>
      <c r="T3" s="20" t="s">
        <v>29</v>
      </c>
      <c r="U3" s="18" t="s">
        <v>29</v>
      </c>
      <c r="V3" s="18" t="s">
        <v>29</v>
      </c>
      <c r="W3" s="18" t="s">
        <v>29</v>
      </c>
      <c r="X3" s="20" t="s">
        <v>29</v>
      </c>
      <c r="Y3" s="33" t="s">
        <v>29</v>
      </c>
      <c r="Z3" s="33" t="s">
        <v>29</v>
      </c>
      <c r="AD3" s="69" t="s">
        <v>205</v>
      </c>
    </row>
    <row r="4" spans="1:33"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5" t="s">
        <v>26</v>
      </c>
      <c r="V4" s="27" t="s">
        <v>92</v>
      </c>
      <c r="W4" s="27" t="s">
        <v>93</v>
      </c>
      <c r="X4" s="5" t="s">
        <v>27</v>
      </c>
      <c r="Y4" s="271" t="s">
        <v>28</v>
      </c>
      <c r="Z4" s="272"/>
      <c r="AA4" s="31" t="s">
        <v>89</v>
      </c>
      <c r="AB4" s="31" t="s">
        <v>91</v>
      </c>
      <c r="AC4" s="32" t="s">
        <v>90</v>
      </c>
      <c r="AD4" s="31" t="s">
        <v>95</v>
      </c>
      <c r="AE4" s="95" t="s">
        <v>346</v>
      </c>
      <c r="AF4" s="95" t="s">
        <v>347</v>
      </c>
      <c r="AG4" s="95" t="s">
        <v>348</v>
      </c>
    </row>
    <row r="5" spans="1:33" ht="15.75" customHeight="1" x14ac:dyDescent="0.2">
      <c r="A5" s="28" t="s">
        <v>103</v>
      </c>
      <c r="B5" s="18" t="s">
        <v>29</v>
      </c>
      <c r="C5" s="28" t="s">
        <v>108</v>
      </c>
      <c r="D5" s="18" t="s">
        <v>29</v>
      </c>
      <c r="E5" s="70">
        <v>98741386</v>
      </c>
      <c r="F5" s="90" t="s">
        <v>244</v>
      </c>
      <c r="G5" s="28" t="s">
        <v>215</v>
      </c>
      <c r="H5" s="18" t="s">
        <v>29</v>
      </c>
      <c r="I5" s="37" t="s">
        <v>29</v>
      </c>
      <c r="J5" s="37">
        <v>940</v>
      </c>
      <c r="K5" s="37">
        <v>4</v>
      </c>
      <c r="L5" s="42" t="s">
        <v>29</v>
      </c>
      <c r="M5" s="42" t="s">
        <v>29</v>
      </c>
      <c r="N5" s="37">
        <v>365</v>
      </c>
      <c r="O5" s="37">
        <v>173</v>
      </c>
      <c r="P5" s="38" t="s">
        <v>29</v>
      </c>
      <c r="Q5" s="38" t="s">
        <v>29</v>
      </c>
      <c r="R5" s="38" t="s">
        <v>29</v>
      </c>
      <c r="S5" s="38" t="s">
        <v>29</v>
      </c>
      <c r="T5" s="38" t="s">
        <v>29</v>
      </c>
      <c r="U5" s="80" t="s">
        <v>4</v>
      </c>
      <c r="V5" s="80" t="s">
        <v>117</v>
      </c>
      <c r="W5" s="80" t="s">
        <v>118</v>
      </c>
      <c r="X5" s="38" t="s">
        <v>29</v>
      </c>
      <c r="Y5" s="38" t="s">
        <v>29</v>
      </c>
      <c r="Z5" s="38" t="s">
        <v>29</v>
      </c>
      <c r="AA5" s="66" t="s">
        <v>112</v>
      </c>
      <c r="AD5" s="69" t="s">
        <v>119</v>
      </c>
      <c r="AE5" s="69" t="s">
        <v>216</v>
      </c>
      <c r="AF5" s="96">
        <v>47</v>
      </c>
      <c r="AG5" s="96">
        <v>5.8</v>
      </c>
    </row>
    <row r="6" spans="1:33" ht="15.75" customHeight="1" x14ac:dyDescent="0.2">
      <c r="A6" s="71" t="s">
        <v>103</v>
      </c>
      <c r="B6" s="72">
        <v>41796</v>
      </c>
      <c r="C6" s="71"/>
      <c r="D6" s="73"/>
      <c r="E6" s="88"/>
      <c r="F6" s="89" t="s">
        <v>243</v>
      </c>
      <c r="G6" s="71" t="s">
        <v>225</v>
      </c>
      <c r="H6" s="43"/>
      <c r="I6" s="75"/>
      <c r="J6" s="75"/>
      <c r="K6" s="75"/>
      <c r="L6" s="76"/>
      <c r="M6" s="76"/>
      <c r="N6" s="75"/>
      <c r="O6" s="75"/>
      <c r="P6" s="77"/>
      <c r="Q6" s="77"/>
      <c r="R6" s="77"/>
      <c r="S6" s="77"/>
      <c r="T6" s="77"/>
      <c r="U6" s="81"/>
      <c r="V6" s="81"/>
      <c r="W6" s="81"/>
      <c r="X6" s="77"/>
      <c r="Y6" s="77"/>
      <c r="Z6" s="77"/>
      <c r="AA6" s="66"/>
      <c r="AD6" s="69" t="s">
        <v>205</v>
      </c>
      <c r="AE6" s="96"/>
      <c r="AF6" s="96"/>
      <c r="AG6" s="96"/>
    </row>
    <row r="7" spans="1:33" ht="16.5" customHeight="1" x14ac:dyDescent="0.2">
      <c r="A7" s="12" t="s">
        <v>33</v>
      </c>
      <c r="B7" s="5" t="s">
        <v>9</v>
      </c>
      <c r="C7" s="60" t="s">
        <v>34</v>
      </c>
      <c r="D7" s="60" t="s">
        <v>35</v>
      </c>
      <c r="E7" s="60" t="s">
        <v>36</v>
      </c>
      <c r="F7" s="60" t="s">
        <v>37</v>
      </c>
      <c r="G7" s="60" t="s">
        <v>38</v>
      </c>
      <c r="H7" s="36" t="s">
        <v>39</v>
      </c>
      <c r="I7" s="87" t="s">
        <v>9</v>
      </c>
      <c r="J7" s="455" t="s">
        <v>40</v>
      </c>
      <c r="K7" s="455"/>
      <c r="L7" s="455" t="s">
        <v>41</v>
      </c>
      <c r="M7" s="455"/>
      <c r="N7" s="455" t="s">
        <v>42</v>
      </c>
      <c r="O7" s="455"/>
      <c r="P7" s="455" t="s">
        <v>43</v>
      </c>
      <c r="Q7" s="455"/>
      <c r="R7" s="74"/>
      <c r="S7" s="456" t="s">
        <v>44</v>
      </c>
      <c r="T7" s="422"/>
      <c r="U7" s="422"/>
      <c r="V7" s="422"/>
      <c r="W7" s="422"/>
      <c r="X7" s="422"/>
      <c r="Y7" s="422"/>
      <c r="Z7" s="267"/>
    </row>
    <row r="8" spans="1:33" ht="15.75" customHeight="1" x14ac:dyDescent="0.2">
      <c r="A8" s="1" t="s">
        <v>45</v>
      </c>
      <c r="B8" s="20"/>
      <c r="C8" s="19">
        <v>41792</v>
      </c>
      <c r="D8" s="19">
        <v>41794</v>
      </c>
      <c r="E8" s="19">
        <v>41796</v>
      </c>
      <c r="F8" s="19">
        <v>41798</v>
      </c>
      <c r="G8" s="15">
        <f>AVERAGE(C8:F8)</f>
        <v>41795</v>
      </c>
      <c r="H8" s="6" t="s">
        <v>46</v>
      </c>
      <c r="I8" s="39"/>
      <c r="J8" s="276" t="s">
        <v>354</v>
      </c>
      <c r="K8" s="267"/>
      <c r="L8" s="346" t="s">
        <v>355</v>
      </c>
      <c r="M8" s="267"/>
      <c r="N8" s="346" t="s">
        <v>356</v>
      </c>
      <c r="O8" s="267"/>
      <c r="P8" s="278" t="s">
        <v>29</v>
      </c>
      <c r="Q8" s="267"/>
      <c r="R8" s="23" t="s">
        <v>47</v>
      </c>
      <c r="S8" s="24"/>
      <c r="T8" s="43">
        <v>4</v>
      </c>
      <c r="U8" s="279" t="s">
        <v>48</v>
      </c>
      <c r="V8" s="279"/>
      <c r="W8" s="279"/>
      <c r="X8" s="281" t="s">
        <v>29</v>
      </c>
      <c r="Y8" s="282"/>
      <c r="Z8" s="283"/>
    </row>
    <row r="9" spans="1:33" ht="15.75" customHeight="1" x14ac:dyDescent="0.2">
      <c r="A9" s="3" t="s">
        <v>49</v>
      </c>
      <c r="B9" s="20" t="s">
        <v>29</v>
      </c>
      <c r="C9" s="20" t="s">
        <v>29</v>
      </c>
      <c r="D9" s="20" t="s">
        <v>29</v>
      </c>
      <c r="E9" s="20" t="s">
        <v>29</v>
      </c>
      <c r="F9" s="20" t="s">
        <v>29</v>
      </c>
      <c r="G9" s="60"/>
      <c r="H9" s="6" t="s">
        <v>50</v>
      </c>
      <c r="I9" s="17">
        <v>41833</v>
      </c>
      <c r="J9" s="287">
        <v>2</v>
      </c>
      <c r="K9" s="268"/>
      <c r="L9" s="287">
        <v>2</v>
      </c>
      <c r="M9" s="268"/>
      <c r="N9" s="287">
        <v>1</v>
      </c>
      <c r="O9" s="268"/>
      <c r="P9" s="278" t="s">
        <v>29</v>
      </c>
      <c r="Q9" s="267"/>
      <c r="R9" s="22" t="s">
        <v>51</v>
      </c>
      <c r="S9" s="11"/>
      <c r="T9" s="43">
        <v>1</v>
      </c>
      <c r="U9" s="310" t="s">
        <v>52</v>
      </c>
      <c r="V9" s="310"/>
      <c r="W9" s="310"/>
      <c r="X9" s="298" t="s">
        <v>29</v>
      </c>
      <c r="Y9" s="299"/>
      <c r="Z9" s="300"/>
    </row>
    <row r="10" spans="1:33" ht="15.75" customHeight="1" x14ac:dyDescent="0.2">
      <c r="A10" s="3" t="s">
        <v>49</v>
      </c>
      <c r="B10" s="20" t="s">
        <v>29</v>
      </c>
      <c r="C10" s="20" t="s">
        <v>29</v>
      </c>
      <c r="D10" s="20" t="s">
        <v>29</v>
      </c>
      <c r="E10" s="20" t="s">
        <v>29</v>
      </c>
      <c r="F10" s="20" t="s">
        <v>29</v>
      </c>
      <c r="G10" s="60"/>
      <c r="H10" s="6" t="s">
        <v>53</v>
      </c>
      <c r="I10" s="102">
        <v>41833</v>
      </c>
      <c r="J10" s="289">
        <v>49</v>
      </c>
      <c r="K10" s="268"/>
      <c r="L10" s="290">
        <v>45</v>
      </c>
      <c r="M10" s="268"/>
      <c r="N10" s="290">
        <v>40</v>
      </c>
      <c r="O10" s="268"/>
      <c r="P10" s="291" t="s">
        <v>29</v>
      </c>
      <c r="Q10" s="268"/>
      <c r="R10" s="22" t="s">
        <v>54</v>
      </c>
      <c r="S10" s="11"/>
      <c r="T10" s="43">
        <v>3</v>
      </c>
      <c r="U10" s="310" t="s">
        <v>55</v>
      </c>
      <c r="V10" s="310"/>
      <c r="W10" s="310"/>
      <c r="X10" s="298" t="s">
        <v>29</v>
      </c>
      <c r="Y10" s="299"/>
      <c r="Z10" s="300"/>
    </row>
    <row r="11" spans="1:33" ht="15" customHeight="1" x14ac:dyDescent="0.2">
      <c r="A11" s="3" t="s">
        <v>49</v>
      </c>
      <c r="B11" s="20" t="s">
        <v>29</v>
      </c>
      <c r="C11" s="20" t="s">
        <v>29</v>
      </c>
      <c r="D11" s="20" t="s">
        <v>29</v>
      </c>
      <c r="E11" s="20" t="s">
        <v>29</v>
      </c>
      <c r="F11" s="20" t="s">
        <v>29</v>
      </c>
      <c r="G11" s="60"/>
      <c r="H11" s="6" t="s">
        <v>56</v>
      </c>
      <c r="I11" s="10"/>
      <c r="J11" s="284" t="s">
        <v>29</v>
      </c>
      <c r="K11" s="268"/>
      <c r="L11" s="285" t="s">
        <v>29</v>
      </c>
      <c r="M11" s="268"/>
      <c r="N11" s="285" t="s">
        <v>29</v>
      </c>
      <c r="O11" s="268"/>
      <c r="P11" s="286" t="s">
        <v>29</v>
      </c>
      <c r="Q11" s="268"/>
      <c r="R11" s="22" t="s">
        <v>57</v>
      </c>
      <c r="S11" s="11"/>
      <c r="T11" s="43">
        <v>1</v>
      </c>
      <c r="U11" s="310" t="s">
        <v>58</v>
      </c>
      <c r="V11" s="310"/>
      <c r="W11" s="310"/>
      <c r="X11" s="298" t="s">
        <v>29</v>
      </c>
      <c r="Y11" s="299"/>
      <c r="Z11" s="300"/>
    </row>
    <row r="12" spans="1:33" ht="15" customHeight="1" x14ac:dyDescent="0.2">
      <c r="A12" s="3" t="s">
        <v>49</v>
      </c>
      <c r="B12" s="20" t="s">
        <v>29</v>
      </c>
      <c r="C12" s="20" t="s">
        <v>29</v>
      </c>
      <c r="D12" s="20" t="s">
        <v>29</v>
      </c>
      <c r="E12" s="20" t="s">
        <v>29</v>
      </c>
      <c r="F12" s="20" t="s">
        <v>29</v>
      </c>
      <c r="G12" s="60"/>
      <c r="H12" s="6" t="s">
        <v>59</v>
      </c>
      <c r="I12" s="17">
        <v>41836</v>
      </c>
      <c r="J12" s="287">
        <v>3</v>
      </c>
      <c r="K12" s="268"/>
      <c r="L12" s="287">
        <v>3</v>
      </c>
      <c r="M12" s="268"/>
      <c r="N12" s="287">
        <v>4</v>
      </c>
      <c r="O12" s="268"/>
      <c r="P12" s="278" t="s">
        <v>29</v>
      </c>
      <c r="Q12" s="267"/>
      <c r="R12" s="22" t="s">
        <v>60</v>
      </c>
      <c r="S12" s="11"/>
      <c r="T12" s="43">
        <v>1</v>
      </c>
      <c r="U12" s="310" t="s">
        <v>61</v>
      </c>
      <c r="V12" s="310"/>
      <c r="W12" s="310"/>
      <c r="X12" s="298" t="s">
        <v>29</v>
      </c>
      <c r="Y12" s="299"/>
      <c r="Z12" s="300"/>
    </row>
    <row r="13" spans="1:33" ht="15.75" customHeight="1" x14ac:dyDescent="0.2">
      <c r="A13" s="3" t="s">
        <v>49</v>
      </c>
      <c r="B13" s="20" t="s">
        <v>29</v>
      </c>
      <c r="C13" s="20" t="s">
        <v>29</v>
      </c>
      <c r="D13" s="20" t="s">
        <v>29</v>
      </c>
      <c r="E13" s="20" t="s">
        <v>29</v>
      </c>
      <c r="F13" s="20" t="s">
        <v>29</v>
      </c>
      <c r="G13" s="60"/>
      <c r="H13" s="6" t="s">
        <v>62</v>
      </c>
      <c r="I13" s="102">
        <v>41836</v>
      </c>
      <c r="J13" s="289">
        <v>109</v>
      </c>
      <c r="K13" s="268"/>
      <c r="L13" s="290">
        <v>100</v>
      </c>
      <c r="M13" s="268"/>
      <c r="N13" s="290">
        <v>85</v>
      </c>
      <c r="O13" s="268"/>
      <c r="P13" s="291" t="s">
        <v>29</v>
      </c>
      <c r="Q13" s="268"/>
      <c r="R13" s="22" t="s">
        <v>63</v>
      </c>
      <c r="S13" s="11"/>
      <c r="T13" s="45">
        <v>2</v>
      </c>
      <c r="U13" s="457" t="s">
        <v>64</v>
      </c>
      <c r="V13" s="458"/>
      <c r="W13" s="459"/>
      <c r="X13" s="301" t="s">
        <v>29</v>
      </c>
      <c r="Y13" s="302"/>
      <c r="Z13" s="303"/>
    </row>
    <row r="14" spans="1:33" ht="15.75" customHeight="1" x14ac:dyDescent="0.2">
      <c r="A14" s="3" t="s">
        <v>49</v>
      </c>
      <c r="B14" s="20" t="s">
        <v>29</v>
      </c>
      <c r="C14" s="20" t="s">
        <v>29</v>
      </c>
      <c r="D14" s="20" t="s">
        <v>29</v>
      </c>
      <c r="E14" s="20" t="s">
        <v>29</v>
      </c>
      <c r="F14" s="20" t="s">
        <v>29</v>
      </c>
      <c r="G14" s="60"/>
      <c r="H14" s="6" t="s">
        <v>65</v>
      </c>
      <c r="I14" s="10"/>
      <c r="J14" s="284" t="s">
        <v>29</v>
      </c>
      <c r="K14" s="268"/>
      <c r="L14" s="285" t="s">
        <v>29</v>
      </c>
      <c r="M14" s="268"/>
      <c r="N14" s="285" t="s">
        <v>29</v>
      </c>
      <c r="O14" s="268"/>
      <c r="P14" s="286" t="s">
        <v>29</v>
      </c>
      <c r="Q14" s="272"/>
      <c r="R14" s="424" t="s">
        <v>66</v>
      </c>
      <c r="S14" s="425"/>
      <c r="T14" s="425"/>
      <c r="U14" s="425"/>
      <c r="V14" s="425"/>
      <c r="W14" s="425"/>
      <c r="X14" s="425"/>
      <c r="Y14" s="425"/>
      <c r="Z14" s="425"/>
    </row>
    <row r="15" spans="1:33" ht="15.75" customHeight="1" x14ac:dyDescent="0.2">
      <c r="A15" s="3" t="s">
        <v>49</v>
      </c>
      <c r="B15" s="20" t="s">
        <v>29</v>
      </c>
      <c r="C15" s="20" t="s">
        <v>29</v>
      </c>
      <c r="D15" s="20" t="s">
        <v>29</v>
      </c>
      <c r="E15" s="20" t="s">
        <v>29</v>
      </c>
      <c r="F15" s="20" t="s">
        <v>29</v>
      </c>
      <c r="G15" s="60"/>
      <c r="H15" s="6" t="s">
        <v>67</v>
      </c>
      <c r="I15" s="10"/>
      <c r="J15" s="284" t="s">
        <v>29</v>
      </c>
      <c r="K15" s="268"/>
      <c r="L15" s="285" t="s">
        <v>29</v>
      </c>
      <c r="M15" s="268"/>
      <c r="N15" s="285" t="s">
        <v>29</v>
      </c>
      <c r="O15" s="268"/>
      <c r="P15" s="286" t="s">
        <v>29</v>
      </c>
      <c r="Q15" s="272"/>
      <c r="R15" s="427"/>
      <c r="S15" s="428"/>
      <c r="T15" s="428"/>
      <c r="U15" s="428"/>
      <c r="V15" s="428"/>
      <c r="W15" s="428"/>
      <c r="X15" s="428"/>
      <c r="Y15" s="428"/>
      <c r="Z15" s="428"/>
    </row>
    <row r="16" spans="1:33" ht="15.75" customHeight="1" x14ac:dyDescent="0.2">
      <c r="A16" s="3" t="s">
        <v>49</v>
      </c>
      <c r="B16" s="20" t="s">
        <v>29</v>
      </c>
      <c r="C16" s="20" t="s">
        <v>29</v>
      </c>
      <c r="D16" s="20" t="s">
        <v>29</v>
      </c>
      <c r="E16" s="20" t="s">
        <v>29</v>
      </c>
      <c r="F16" s="20" t="s">
        <v>29</v>
      </c>
      <c r="G16" s="60"/>
      <c r="H16" s="6" t="s">
        <v>68</v>
      </c>
      <c r="I16" s="10"/>
      <c r="J16" s="284" t="s">
        <v>29</v>
      </c>
      <c r="K16" s="268"/>
      <c r="L16" s="285" t="s">
        <v>29</v>
      </c>
      <c r="M16" s="268"/>
      <c r="N16" s="285" t="s">
        <v>29</v>
      </c>
      <c r="O16" s="268"/>
      <c r="P16" s="292" t="s">
        <v>29</v>
      </c>
      <c r="Q16" s="293"/>
      <c r="R16" s="305" t="s">
        <v>473</v>
      </c>
      <c r="S16" s="305"/>
      <c r="T16" s="305"/>
      <c r="U16" s="305"/>
      <c r="V16" s="305"/>
      <c r="W16" s="305"/>
      <c r="X16" s="305"/>
      <c r="Y16" s="305"/>
      <c r="Z16" s="306"/>
    </row>
    <row r="17" spans="1:26" ht="15.75" customHeight="1" x14ac:dyDescent="0.2">
      <c r="A17" s="14" t="s">
        <v>69</v>
      </c>
      <c r="B17" s="20"/>
      <c r="C17" s="19">
        <v>41831</v>
      </c>
      <c r="D17" s="19">
        <v>41831</v>
      </c>
      <c r="E17" s="19">
        <v>41832</v>
      </c>
      <c r="F17" s="93" t="s">
        <v>410</v>
      </c>
      <c r="G17" s="15">
        <f>AVERAGE(C17:F17)</f>
        <v>41831.333333333336</v>
      </c>
      <c r="H17" s="6" t="s">
        <v>70</v>
      </c>
      <c r="I17" s="17">
        <v>41841</v>
      </c>
      <c r="J17" s="294">
        <v>8</v>
      </c>
      <c r="K17" s="268"/>
      <c r="L17" s="294">
        <v>8</v>
      </c>
      <c r="M17" s="268"/>
      <c r="N17" s="294">
        <v>9</v>
      </c>
      <c r="O17" s="272"/>
      <c r="P17" s="278" t="s">
        <v>29</v>
      </c>
      <c r="Q17" s="267"/>
      <c r="R17" s="307"/>
      <c r="S17" s="307"/>
      <c r="T17" s="307"/>
      <c r="U17" s="307"/>
      <c r="V17" s="307"/>
      <c r="W17" s="307"/>
      <c r="X17" s="307"/>
      <c r="Y17" s="307"/>
      <c r="Z17" s="308"/>
    </row>
    <row r="18" spans="1:26" ht="15.75" customHeight="1" x14ac:dyDescent="0.2">
      <c r="A18" s="323" t="s">
        <v>71</v>
      </c>
      <c r="B18" s="324"/>
      <c r="C18" s="50">
        <f>C17-C8</f>
        <v>39</v>
      </c>
      <c r="D18" s="50">
        <f>D17-D8</f>
        <v>37</v>
      </c>
      <c r="E18" s="50">
        <f>E17-E8</f>
        <v>36</v>
      </c>
      <c r="F18" s="50" t="e">
        <f>F17-F8</f>
        <v>#VALUE!</v>
      </c>
      <c r="G18" s="51">
        <f>AVERAGE(C18:E18)</f>
        <v>37.333333333333336</v>
      </c>
      <c r="H18" s="6" t="s">
        <v>72</v>
      </c>
      <c r="I18" s="102">
        <v>41841</v>
      </c>
      <c r="J18" s="291">
        <v>268</v>
      </c>
      <c r="K18" s="268"/>
      <c r="L18" s="290">
        <v>260</v>
      </c>
      <c r="M18" s="268"/>
      <c r="N18" s="320">
        <v>223</v>
      </c>
      <c r="O18" s="272"/>
      <c r="P18" s="309" t="s">
        <v>29</v>
      </c>
      <c r="Q18" s="261"/>
      <c r="R18" s="307"/>
      <c r="S18" s="307"/>
      <c r="T18" s="307"/>
      <c r="U18" s="307"/>
      <c r="V18" s="307"/>
      <c r="W18" s="307"/>
      <c r="X18" s="307"/>
      <c r="Y18" s="307"/>
      <c r="Z18" s="308"/>
    </row>
    <row r="19" spans="1:26" ht="15.75" customHeight="1" x14ac:dyDescent="0.2">
      <c r="A19" s="327" t="s">
        <v>73</v>
      </c>
      <c r="B19" s="327"/>
      <c r="C19" s="325" t="s">
        <v>40</v>
      </c>
      <c r="D19" s="325" t="s">
        <v>41</v>
      </c>
      <c r="E19" s="325" t="s">
        <v>42</v>
      </c>
      <c r="F19" s="325" t="s">
        <v>43</v>
      </c>
      <c r="G19" s="326" t="s">
        <v>38</v>
      </c>
      <c r="H19" s="49" t="s">
        <v>78</v>
      </c>
      <c r="I19" s="10"/>
      <c r="J19" s="286" t="s">
        <v>29</v>
      </c>
      <c r="K19" s="268"/>
      <c r="L19" s="285" t="s">
        <v>29</v>
      </c>
      <c r="M19" s="268"/>
      <c r="N19" s="296" t="s">
        <v>29</v>
      </c>
      <c r="O19" s="272"/>
      <c r="P19" s="297" t="s">
        <v>29</v>
      </c>
      <c r="Q19" s="261"/>
      <c r="R19" s="307"/>
      <c r="S19" s="307"/>
      <c r="T19" s="307"/>
      <c r="U19" s="307"/>
      <c r="V19" s="307"/>
      <c r="W19" s="307"/>
      <c r="X19" s="307"/>
      <c r="Y19" s="307"/>
      <c r="Z19" s="308"/>
    </row>
    <row r="20" spans="1:26" ht="15" customHeight="1" x14ac:dyDescent="0.2">
      <c r="A20" s="328"/>
      <c r="B20" s="328"/>
      <c r="C20" s="261"/>
      <c r="D20" s="261"/>
      <c r="E20" s="261"/>
      <c r="F20" s="261"/>
      <c r="G20" s="261"/>
      <c r="H20" s="49" t="s">
        <v>67</v>
      </c>
      <c r="I20" s="10"/>
      <c r="J20" s="286" t="s">
        <v>29</v>
      </c>
      <c r="K20" s="268"/>
      <c r="L20" s="285" t="s">
        <v>29</v>
      </c>
      <c r="M20" s="268"/>
      <c r="N20" s="296" t="s">
        <v>29</v>
      </c>
      <c r="O20" s="272"/>
      <c r="P20" s="297" t="s">
        <v>29</v>
      </c>
      <c r="Q20" s="261"/>
      <c r="R20" s="307"/>
      <c r="S20" s="307"/>
      <c r="T20" s="307"/>
      <c r="U20" s="307"/>
      <c r="V20" s="307"/>
      <c r="W20" s="307"/>
      <c r="X20" s="307"/>
      <c r="Y20" s="307"/>
      <c r="Z20" s="308"/>
    </row>
    <row r="21" spans="1:26" ht="15.75" customHeight="1" x14ac:dyDescent="0.2">
      <c r="A21" s="312" t="s">
        <v>79</v>
      </c>
      <c r="B21" s="313"/>
      <c r="C21" s="122" t="s">
        <v>469</v>
      </c>
      <c r="D21" s="52" t="s">
        <v>29</v>
      </c>
      <c r="E21" s="122" t="s">
        <v>394</v>
      </c>
      <c r="F21" s="52" t="s">
        <v>29</v>
      </c>
      <c r="G21" s="52" t="s">
        <v>29</v>
      </c>
      <c r="H21" s="6" t="s">
        <v>68</v>
      </c>
      <c r="I21" s="10"/>
      <c r="J21" s="286" t="s">
        <v>29</v>
      </c>
      <c r="K21" s="268"/>
      <c r="L21" s="285" t="s">
        <v>29</v>
      </c>
      <c r="M21" s="268"/>
      <c r="N21" s="296" t="s">
        <v>29</v>
      </c>
      <c r="O21" s="272"/>
      <c r="P21" s="297" t="s">
        <v>29</v>
      </c>
      <c r="Q21" s="261"/>
      <c r="R21" s="307"/>
      <c r="S21" s="307"/>
      <c r="T21" s="307"/>
      <c r="U21" s="307"/>
      <c r="V21" s="307"/>
      <c r="W21" s="307"/>
      <c r="X21" s="307"/>
      <c r="Y21" s="307"/>
      <c r="Z21" s="308"/>
    </row>
    <row r="22" spans="1:26" ht="15.75" customHeight="1" x14ac:dyDescent="0.2">
      <c r="A22" s="312" t="s">
        <v>46</v>
      </c>
      <c r="B22" s="313"/>
      <c r="C22" s="107" t="s">
        <v>354</v>
      </c>
      <c r="D22" s="122" t="s">
        <v>355</v>
      </c>
      <c r="E22" s="122" t="s">
        <v>356</v>
      </c>
      <c r="F22" s="18" t="s">
        <v>29</v>
      </c>
      <c r="G22" s="18" t="s">
        <v>29</v>
      </c>
      <c r="H22" s="47" t="s">
        <v>80</v>
      </c>
      <c r="I22" s="17">
        <v>41846</v>
      </c>
      <c r="J22" s="294">
        <v>13</v>
      </c>
      <c r="K22" s="268"/>
      <c r="L22" s="294">
        <v>13</v>
      </c>
      <c r="M22" s="268"/>
      <c r="N22" s="294">
        <v>14</v>
      </c>
      <c r="O22" s="272"/>
      <c r="P22" s="278" t="s">
        <v>29</v>
      </c>
      <c r="Q22" s="267"/>
      <c r="R22" s="307"/>
      <c r="S22" s="307"/>
      <c r="T22" s="307"/>
      <c r="U22" s="307"/>
      <c r="V22" s="307"/>
      <c r="W22" s="307"/>
      <c r="X22" s="307"/>
      <c r="Y22" s="307"/>
      <c r="Z22" s="308"/>
    </row>
    <row r="23" spans="1:26" ht="15.75" customHeight="1" x14ac:dyDescent="0.2">
      <c r="A23" s="312" t="s">
        <v>81</v>
      </c>
      <c r="B23" s="313"/>
      <c r="C23" s="121">
        <v>41861</v>
      </c>
      <c r="D23" s="28" t="s">
        <v>410</v>
      </c>
      <c r="E23" s="18"/>
      <c r="F23" s="43" t="s">
        <v>29</v>
      </c>
      <c r="G23" s="43" t="s">
        <v>29</v>
      </c>
      <c r="H23" s="48" t="s">
        <v>82</v>
      </c>
      <c r="I23" s="8"/>
      <c r="J23" s="291">
        <v>452</v>
      </c>
      <c r="K23" s="268"/>
      <c r="L23" s="290">
        <v>487</v>
      </c>
      <c r="M23" s="268"/>
      <c r="N23" s="320">
        <v>452</v>
      </c>
      <c r="O23" s="272"/>
      <c r="P23" s="309" t="s">
        <v>29</v>
      </c>
      <c r="Q23" s="261"/>
      <c r="R23" s="307"/>
      <c r="S23" s="307"/>
      <c r="T23" s="307"/>
      <c r="U23" s="307"/>
      <c r="V23" s="307"/>
      <c r="W23" s="307"/>
      <c r="X23" s="307"/>
      <c r="Y23" s="307"/>
      <c r="Z23" s="308"/>
    </row>
    <row r="24" spans="1:26" ht="15.75" customHeight="1" x14ac:dyDescent="0.2">
      <c r="A24" s="312" t="s">
        <v>12</v>
      </c>
      <c r="B24" s="313"/>
      <c r="C24" s="18">
        <v>220613000</v>
      </c>
      <c r="D24" s="18" t="s">
        <v>410</v>
      </c>
      <c r="E24" s="18" t="s">
        <v>410</v>
      </c>
      <c r="F24" s="43" t="s">
        <v>29</v>
      </c>
      <c r="G24" s="43" t="s">
        <v>29</v>
      </c>
      <c r="H24" s="48" t="s">
        <v>83</v>
      </c>
      <c r="I24" s="8"/>
      <c r="J24" s="429" t="s">
        <v>369</v>
      </c>
      <c r="K24" s="268"/>
      <c r="L24" s="430" t="s">
        <v>369</v>
      </c>
      <c r="M24" s="268"/>
      <c r="N24" s="431" t="s">
        <v>369</v>
      </c>
      <c r="O24" s="272"/>
      <c r="P24" s="309" t="s">
        <v>29</v>
      </c>
      <c r="Q24" s="261"/>
      <c r="R24" s="307"/>
      <c r="S24" s="307"/>
      <c r="T24" s="307"/>
      <c r="U24" s="307"/>
      <c r="V24" s="307"/>
      <c r="W24" s="307"/>
      <c r="X24" s="307"/>
      <c r="Y24" s="307"/>
      <c r="Z24" s="308"/>
    </row>
    <row r="25" spans="1:26" ht="15.75" customHeight="1" x14ac:dyDescent="0.2">
      <c r="A25" s="312" t="s">
        <v>84</v>
      </c>
      <c r="B25" s="313"/>
      <c r="C25" s="18" t="s">
        <v>410</v>
      </c>
      <c r="D25" s="18" t="s">
        <v>410</v>
      </c>
      <c r="E25" s="18" t="s">
        <v>410</v>
      </c>
      <c r="F25" s="43" t="s">
        <v>29</v>
      </c>
      <c r="G25" s="43" t="s">
        <v>29</v>
      </c>
      <c r="H25" s="48" t="s">
        <v>67</v>
      </c>
      <c r="I25" s="10"/>
      <c r="J25" s="286" t="s">
        <v>29</v>
      </c>
      <c r="K25" s="268"/>
      <c r="L25" s="321" t="s">
        <v>29</v>
      </c>
      <c r="M25" s="268"/>
      <c r="N25" s="322" t="s">
        <v>29</v>
      </c>
      <c r="O25" s="272"/>
      <c r="P25" s="297" t="s">
        <v>29</v>
      </c>
      <c r="Q25" s="261"/>
      <c r="R25" s="307"/>
      <c r="S25" s="307"/>
      <c r="T25" s="307"/>
      <c r="U25" s="307"/>
      <c r="V25" s="307"/>
      <c r="W25" s="307"/>
      <c r="X25" s="307"/>
      <c r="Y25" s="307"/>
      <c r="Z25" s="308"/>
    </row>
    <row r="26" spans="1:26" ht="15.75" customHeight="1" x14ac:dyDescent="0.2">
      <c r="A26" s="312" t="s">
        <v>11</v>
      </c>
      <c r="B26" s="313"/>
      <c r="C26" s="28" t="s">
        <v>447</v>
      </c>
      <c r="D26" s="18" t="s">
        <v>410</v>
      </c>
      <c r="E26" s="18" t="s">
        <v>410</v>
      </c>
      <c r="F26" s="43" t="s">
        <v>29</v>
      </c>
      <c r="G26" s="43" t="s">
        <v>29</v>
      </c>
      <c r="H26" s="48" t="s">
        <v>68</v>
      </c>
      <c r="I26" s="10"/>
      <c r="J26" s="286" t="s">
        <v>29</v>
      </c>
      <c r="K26" s="268"/>
      <c r="L26" s="321" t="s">
        <v>29</v>
      </c>
      <c r="M26" s="268"/>
      <c r="N26" s="322" t="s">
        <v>29</v>
      </c>
      <c r="O26" s="272"/>
      <c r="P26" s="297" t="s">
        <v>29</v>
      </c>
      <c r="Q26" s="261"/>
      <c r="R26" s="307"/>
      <c r="S26" s="307"/>
      <c r="T26" s="307"/>
      <c r="U26" s="307"/>
      <c r="V26" s="307"/>
      <c r="W26" s="307"/>
      <c r="X26" s="307"/>
      <c r="Y26" s="307"/>
      <c r="Z26" s="308"/>
    </row>
    <row r="27" spans="1:26" ht="15.75" customHeight="1" x14ac:dyDescent="0.2">
      <c r="A27" s="314" t="s">
        <v>85</v>
      </c>
      <c r="B27" s="315"/>
      <c r="C27" s="18" t="s">
        <v>410</v>
      </c>
      <c r="D27" s="121">
        <v>41855</v>
      </c>
      <c r="E27" s="29">
        <v>41855</v>
      </c>
      <c r="F27" s="43" t="s">
        <v>29</v>
      </c>
      <c r="G27" s="43" t="s">
        <v>29</v>
      </c>
      <c r="H27" s="48" t="s">
        <v>86</v>
      </c>
      <c r="I27" s="10"/>
      <c r="J27" s="286" t="s">
        <v>29</v>
      </c>
      <c r="K27" s="268"/>
      <c r="L27" s="321" t="s">
        <v>29</v>
      </c>
      <c r="M27" s="268"/>
      <c r="N27" s="322" t="s">
        <v>29</v>
      </c>
      <c r="O27" s="272"/>
      <c r="P27" s="297" t="s">
        <v>29</v>
      </c>
      <c r="Q27" s="261"/>
      <c r="R27" s="307"/>
      <c r="S27" s="307"/>
      <c r="T27" s="307"/>
      <c r="U27" s="307"/>
      <c r="V27" s="307"/>
      <c r="W27" s="307"/>
      <c r="X27" s="307"/>
      <c r="Y27" s="307"/>
      <c r="Z27" s="308"/>
    </row>
    <row r="28" spans="1:26" ht="15.75" customHeight="1" x14ac:dyDescent="0.2">
      <c r="A28" s="316" t="s">
        <v>87</v>
      </c>
      <c r="B28" s="317"/>
      <c r="C28" s="18" t="s">
        <v>410</v>
      </c>
      <c r="D28" s="18">
        <v>23</v>
      </c>
      <c r="E28" s="213">
        <f>E27-E17</f>
        <v>23</v>
      </c>
      <c r="F28" s="43" t="s">
        <v>29</v>
      </c>
      <c r="G28" s="43" t="s">
        <v>29</v>
      </c>
      <c r="H28" s="48" t="s">
        <v>88</v>
      </c>
      <c r="I28" s="10"/>
      <c r="J28" s="286" t="s">
        <v>29</v>
      </c>
      <c r="K28" s="268"/>
      <c r="L28" s="321" t="s">
        <v>29</v>
      </c>
      <c r="M28" s="268"/>
      <c r="N28" s="322" t="s">
        <v>29</v>
      </c>
      <c r="O28" s="272"/>
      <c r="P28" s="297" t="s">
        <v>29</v>
      </c>
      <c r="Q28" s="261"/>
      <c r="R28" s="307"/>
      <c r="S28" s="307"/>
      <c r="T28" s="307"/>
      <c r="U28" s="307"/>
      <c r="V28" s="307"/>
      <c r="W28" s="307"/>
      <c r="X28" s="307"/>
      <c r="Y28" s="307"/>
      <c r="Z28" s="308"/>
    </row>
    <row r="29" spans="1:26" ht="15.75" customHeight="1" x14ac:dyDescent="0.2">
      <c r="A29" s="61"/>
      <c r="B29" s="7"/>
      <c r="C29" s="4"/>
      <c r="D29" s="4"/>
      <c r="E29" s="4"/>
      <c r="F29" s="4"/>
      <c r="G29" s="4"/>
      <c r="H29" s="104" t="s">
        <v>372</v>
      </c>
      <c r="I29" s="17">
        <v>41851</v>
      </c>
      <c r="J29" s="294">
        <v>18</v>
      </c>
      <c r="K29" s="268"/>
      <c r="L29" s="294">
        <v>18</v>
      </c>
      <c r="M29" s="268"/>
      <c r="N29" s="294">
        <v>19</v>
      </c>
      <c r="O29" s="272"/>
      <c r="P29" s="278" t="s">
        <v>29</v>
      </c>
      <c r="Q29" s="267"/>
      <c r="R29" s="53"/>
      <c r="S29" s="30"/>
      <c r="T29" s="4"/>
      <c r="U29" s="4"/>
      <c r="V29" s="4"/>
      <c r="W29" s="26"/>
      <c r="X29" s="4"/>
      <c r="Y29" s="4"/>
      <c r="Z29" s="4"/>
    </row>
    <row r="30" spans="1:26" ht="18" customHeight="1" x14ac:dyDescent="0.2">
      <c r="H30" s="103" t="s">
        <v>415</v>
      </c>
      <c r="I30" s="8"/>
      <c r="J30" s="291">
        <v>509</v>
      </c>
      <c r="K30" s="268"/>
      <c r="L30" s="290">
        <v>605</v>
      </c>
      <c r="M30" s="268"/>
      <c r="N30" s="320">
        <v>663</v>
      </c>
      <c r="O30" s="272"/>
      <c r="P30" s="309" t="s">
        <v>29</v>
      </c>
      <c r="Q30" s="261"/>
    </row>
    <row r="31" spans="1:26" ht="18" customHeight="1" x14ac:dyDescent="0.2">
      <c r="H31" s="48" t="s">
        <v>83</v>
      </c>
      <c r="I31" s="10"/>
      <c r="J31" s="286" t="s">
        <v>29</v>
      </c>
      <c r="K31" s="268"/>
      <c r="L31" s="321" t="s">
        <v>29</v>
      </c>
      <c r="M31" s="268"/>
      <c r="N31" s="322" t="s">
        <v>29</v>
      </c>
      <c r="O31" s="272"/>
      <c r="P31" s="297" t="s">
        <v>29</v>
      </c>
      <c r="Q31" s="261"/>
    </row>
    <row r="32" spans="1:26" ht="18" customHeight="1" x14ac:dyDescent="0.2">
      <c r="H32" s="48" t="s">
        <v>67</v>
      </c>
      <c r="I32" s="10"/>
      <c r="J32" s="286" t="s">
        <v>29</v>
      </c>
      <c r="K32" s="268"/>
      <c r="L32" s="321" t="s">
        <v>29</v>
      </c>
      <c r="M32" s="268"/>
      <c r="N32" s="322" t="s">
        <v>29</v>
      </c>
      <c r="O32" s="272"/>
      <c r="P32" s="297" t="s">
        <v>29</v>
      </c>
      <c r="Q32" s="261"/>
    </row>
    <row r="33" spans="8:17" ht="18" customHeight="1" x14ac:dyDescent="0.2">
      <c r="H33" s="48" t="s">
        <v>68</v>
      </c>
      <c r="I33" s="10"/>
      <c r="J33" s="286" t="s">
        <v>29</v>
      </c>
      <c r="K33" s="268"/>
      <c r="L33" s="321" t="s">
        <v>29</v>
      </c>
      <c r="M33" s="268"/>
      <c r="N33" s="322" t="s">
        <v>29</v>
      </c>
      <c r="O33" s="272"/>
      <c r="P33" s="297" t="s">
        <v>29</v>
      </c>
      <c r="Q33" s="261"/>
    </row>
    <row r="34" spans="8:17" ht="18" customHeight="1" x14ac:dyDescent="0.2">
      <c r="H34" s="48" t="s">
        <v>86</v>
      </c>
      <c r="I34" s="10"/>
      <c r="J34" s="286" t="s">
        <v>29</v>
      </c>
      <c r="K34" s="268"/>
      <c r="L34" s="321" t="s">
        <v>29</v>
      </c>
      <c r="M34" s="268"/>
      <c r="N34" s="322" t="s">
        <v>29</v>
      </c>
      <c r="O34" s="272"/>
      <c r="P34" s="297" t="s">
        <v>29</v>
      </c>
      <c r="Q34" s="261"/>
    </row>
    <row r="35" spans="8:17" ht="18" customHeight="1" x14ac:dyDescent="0.2">
      <c r="H35" s="48" t="s">
        <v>88</v>
      </c>
      <c r="I35" s="10"/>
      <c r="J35" s="286" t="s">
        <v>29</v>
      </c>
      <c r="K35" s="268"/>
      <c r="L35" s="321" t="s">
        <v>29</v>
      </c>
      <c r="M35" s="268"/>
      <c r="N35" s="322" t="s">
        <v>29</v>
      </c>
      <c r="O35" s="272"/>
      <c r="P35" s="297" t="s">
        <v>29</v>
      </c>
      <c r="Q35" s="261"/>
    </row>
    <row r="36" spans="8:17" ht="18" customHeight="1" x14ac:dyDescent="0.2">
      <c r="H36" s="104" t="s">
        <v>414</v>
      </c>
      <c r="I36" s="17">
        <v>41856</v>
      </c>
      <c r="J36" s="294">
        <v>23</v>
      </c>
      <c r="K36" s="268"/>
      <c r="L36" s="294">
        <v>25</v>
      </c>
      <c r="M36" s="268"/>
      <c r="N36" s="294" t="s">
        <v>410</v>
      </c>
      <c r="O36" s="272"/>
      <c r="P36" s="278" t="s">
        <v>29</v>
      </c>
      <c r="Q36" s="267"/>
    </row>
    <row r="37" spans="8:17" ht="18" customHeight="1" x14ac:dyDescent="0.2">
      <c r="H37" s="103" t="s">
        <v>415</v>
      </c>
      <c r="I37" s="17">
        <v>41856</v>
      </c>
      <c r="J37" s="291">
        <v>435</v>
      </c>
      <c r="K37" s="268"/>
      <c r="L37" s="290">
        <v>456</v>
      </c>
      <c r="M37" s="268"/>
      <c r="N37" s="431" t="s">
        <v>410</v>
      </c>
      <c r="O37" s="272"/>
      <c r="P37" s="309" t="s">
        <v>29</v>
      </c>
      <c r="Q37" s="261"/>
    </row>
    <row r="38" spans="8:17" ht="18" customHeight="1" x14ac:dyDescent="0.2">
      <c r="H38" s="48" t="s">
        <v>83</v>
      </c>
      <c r="I38" s="17">
        <v>41856</v>
      </c>
      <c r="J38" s="429" t="s">
        <v>369</v>
      </c>
      <c r="K38" s="268"/>
      <c r="L38" s="430" t="s">
        <v>369</v>
      </c>
      <c r="M38" s="268"/>
      <c r="N38" s="322" t="s">
        <v>29</v>
      </c>
      <c r="O38" s="272"/>
      <c r="P38" s="297" t="s">
        <v>29</v>
      </c>
      <c r="Q38" s="261"/>
    </row>
    <row r="39" spans="8:17" ht="18" customHeight="1" x14ac:dyDescent="0.2">
      <c r="H39" s="48" t="s">
        <v>67</v>
      </c>
      <c r="I39" s="10"/>
      <c r="J39" s="286" t="s">
        <v>29</v>
      </c>
      <c r="K39" s="268"/>
      <c r="L39" s="321" t="s">
        <v>29</v>
      </c>
      <c r="M39" s="268"/>
      <c r="N39" s="322" t="s">
        <v>29</v>
      </c>
      <c r="O39" s="272"/>
      <c r="P39" s="297" t="s">
        <v>29</v>
      </c>
      <c r="Q39" s="261"/>
    </row>
    <row r="40" spans="8:17" ht="18" customHeight="1" x14ac:dyDescent="0.2">
      <c r="H40" s="48" t="s">
        <v>68</v>
      </c>
      <c r="I40" s="10"/>
      <c r="J40" s="286" t="s">
        <v>29</v>
      </c>
      <c r="K40" s="268"/>
      <c r="L40" s="321" t="s">
        <v>29</v>
      </c>
      <c r="M40" s="268"/>
      <c r="N40" s="322" t="s">
        <v>29</v>
      </c>
      <c r="O40" s="272"/>
      <c r="P40" s="297" t="s">
        <v>29</v>
      </c>
      <c r="Q40" s="261"/>
    </row>
    <row r="41" spans="8:17" ht="18" customHeight="1" x14ac:dyDescent="0.2">
      <c r="H41" s="48" t="s">
        <v>86</v>
      </c>
      <c r="I41" s="10"/>
      <c r="J41" s="286" t="s">
        <v>29</v>
      </c>
      <c r="K41" s="268"/>
      <c r="L41" s="321" t="s">
        <v>29</v>
      </c>
      <c r="M41" s="268"/>
      <c r="N41" s="322" t="s">
        <v>29</v>
      </c>
      <c r="O41" s="272"/>
      <c r="P41" s="297" t="s">
        <v>29</v>
      </c>
      <c r="Q41" s="261"/>
    </row>
    <row r="42" spans="8:17" ht="18" customHeight="1" x14ac:dyDescent="0.2">
      <c r="H42" s="48" t="s">
        <v>88</v>
      </c>
      <c r="I42" s="10"/>
      <c r="J42" s="286" t="s">
        <v>29</v>
      </c>
      <c r="K42" s="268"/>
      <c r="L42" s="321" t="s">
        <v>29</v>
      </c>
      <c r="M42" s="268"/>
      <c r="N42" s="322" t="s">
        <v>29</v>
      </c>
      <c r="O42" s="272"/>
      <c r="P42" s="297" t="s">
        <v>29</v>
      </c>
      <c r="Q42" s="261"/>
    </row>
    <row r="43" spans="8:17" ht="18" customHeight="1" x14ac:dyDescent="0.2">
      <c r="H43" s="104" t="s">
        <v>414</v>
      </c>
      <c r="I43" s="17">
        <v>41861</v>
      </c>
      <c r="J43" s="294">
        <f>I43-C17</f>
        <v>30</v>
      </c>
      <c r="K43" s="268"/>
      <c r="L43" s="294" t="s">
        <v>410</v>
      </c>
      <c r="M43" s="272"/>
      <c r="N43" s="294" t="s">
        <v>410</v>
      </c>
      <c r="O43" s="272"/>
      <c r="P43" s="278" t="s">
        <v>29</v>
      </c>
      <c r="Q43" s="267"/>
    </row>
    <row r="44" spans="8:17" ht="18" customHeight="1" x14ac:dyDescent="0.2">
      <c r="H44" s="103" t="s">
        <v>415</v>
      </c>
      <c r="I44" s="17">
        <v>41861</v>
      </c>
      <c r="J44" s="291">
        <v>536</v>
      </c>
      <c r="K44" s="268"/>
      <c r="L44" s="431" t="s">
        <v>410</v>
      </c>
      <c r="M44" s="272"/>
      <c r="N44" s="431" t="s">
        <v>410</v>
      </c>
      <c r="O44" s="272"/>
      <c r="P44" s="309" t="s">
        <v>29</v>
      </c>
      <c r="Q44" s="261"/>
    </row>
    <row r="45" spans="8:17" ht="18" customHeight="1" x14ac:dyDescent="0.2">
      <c r="H45" s="48" t="s">
        <v>83</v>
      </c>
      <c r="I45" s="10"/>
      <c r="J45" s="286" t="s">
        <v>29</v>
      </c>
      <c r="K45" s="268"/>
      <c r="L45" s="321" t="s">
        <v>29</v>
      </c>
      <c r="M45" s="268"/>
      <c r="N45" s="322" t="s">
        <v>29</v>
      </c>
      <c r="O45" s="272"/>
      <c r="P45" s="297" t="s">
        <v>29</v>
      </c>
      <c r="Q45" s="261"/>
    </row>
    <row r="46" spans="8:17" ht="18" customHeight="1" x14ac:dyDescent="0.2">
      <c r="H46" s="48" t="s">
        <v>67</v>
      </c>
      <c r="I46" s="10"/>
      <c r="J46" s="286" t="s">
        <v>29</v>
      </c>
      <c r="K46" s="268"/>
      <c r="L46" s="321" t="s">
        <v>29</v>
      </c>
      <c r="M46" s="268"/>
      <c r="N46" s="322" t="s">
        <v>29</v>
      </c>
      <c r="O46" s="272"/>
      <c r="P46" s="297" t="s">
        <v>29</v>
      </c>
      <c r="Q46" s="261"/>
    </row>
    <row r="47" spans="8:17" ht="18" customHeight="1" x14ac:dyDescent="0.2">
      <c r="H47" s="48" t="s">
        <v>68</v>
      </c>
      <c r="I47" s="10"/>
      <c r="J47" s="286" t="s">
        <v>29</v>
      </c>
      <c r="K47" s="268"/>
      <c r="L47" s="321" t="s">
        <v>29</v>
      </c>
      <c r="M47" s="268"/>
      <c r="N47" s="322" t="s">
        <v>29</v>
      </c>
      <c r="O47" s="272"/>
      <c r="P47" s="297" t="s">
        <v>29</v>
      </c>
      <c r="Q47" s="261"/>
    </row>
    <row r="48" spans="8:17" ht="18" customHeight="1" x14ac:dyDescent="0.2">
      <c r="H48" s="48" t="s">
        <v>86</v>
      </c>
      <c r="I48" s="10"/>
      <c r="J48" s="286" t="s">
        <v>29</v>
      </c>
      <c r="K48" s="268"/>
      <c r="L48" s="321" t="s">
        <v>29</v>
      </c>
      <c r="M48" s="268"/>
      <c r="N48" s="322" t="s">
        <v>29</v>
      </c>
      <c r="O48" s="272"/>
      <c r="P48" s="297" t="s">
        <v>29</v>
      </c>
      <c r="Q48" s="261"/>
    </row>
    <row r="49" spans="8:17" ht="18" customHeight="1" x14ac:dyDescent="0.2">
      <c r="H49" s="48" t="s">
        <v>88</v>
      </c>
      <c r="I49" s="10"/>
      <c r="J49" s="286" t="s">
        <v>29</v>
      </c>
      <c r="K49" s="268"/>
      <c r="L49" s="321" t="s">
        <v>29</v>
      </c>
      <c r="M49" s="268"/>
      <c r="N49" s="322" t="s">
        <v>29</v>
      </c>
      <c r="O49" s="272"/>
      <c r="P49" s="297" t="s">
        <v>29</v>
      </c>
      <c r="Q49" s="261"/>
    </row>
  </sheetData>
  <mergeCells count="212">
    <mergeCell ref="J48:K48"/>
    <mergeCell ref="L48:M48"/>
    <mergeCell ref="N48:O48"/>
    <mergeCell ref="P48:Q48"/>
    <mergeCell ref="J16:K16"/>
    <mergeCell ref="L16:M16"/>
    <mergeCell ref="N16:O16"/>
    <mergeCell ref="P16:Q16"/>
    <mergeCell ref="R16:Z28"/>
    <mergeCell ref="J17:K17"/>
    <mergeCell ref="L17:M17"/>
    <mergeCell ref="N17:O17"/>
    <mergeCell ref="P17:Q17"/>
    <mergeCell ref="J29:K29"/>
    <mergeCell ref="L29:M29"/>
    <mergeCell ref="N29:O29"/>
    <mergeCell ref="P29:Q29"/>
    <mergeCell ref="J30:K30"/>
    <mergeCell ref="L30:M30"/>
    <mergeCell ref="N30:O30"/>
    <mergeCell ref="P30:Q30"/>
    <mergeCell ref="J31:K31"/>
    <mergeCell ref="L31:M31"/>
    <mergeCell ref="N31:O31"/>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5:K15"/>
    <mergeCell ref="L15:M15"/>
    <mergeCell ref="N15:O15"/>
    <mergeCell ref="P15:Q15"/>
    <mergeCell ref="J13:K13"/>
    <mergeCell ref="L13:M13"/>
    <mergeCell ref="N13:O13"/>
    <mergeCell ref="P13:Q13"/>
    <mergeCell ref="U13:W13"/>
    <mergeCell ref="J14:K14"/>
    <mergeCell ref="L14:M14"/>
    <mergeCell ref="N14:O14"/>
    <mergeCell ref="P14:Q14"/>
    <mergeCell ref="R14:Z15"/>
    <mergeCell ref="X13:Z13"/>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7:K7"/>
    <mergeCell ref="L7:M7"/>
    <mergeCell ref="N7:O7"/>
    <mergeCell ref="P7:Q7"/>
    <mergeCell ref="S7:Z7"/>
    <mergeCell ref="J9:K9"/>
    <mergeCell ref="L9:M9"/>
    <mergeCell ref="N9:O9"/>
    <mergeCell ref="P9:Q9"/>
    <mergeCell ref="U9:W9"/>
    <mergeCell ref="X9:Z9"/>
    <mergeCell ref="J8:K8"/>
    <mergeCell ref="L8:M8"/>
    <mergeCell ref="N8:O8"/>
    <mergeCell ref="P8:Q8"/>
    <mergeCell ref="U8:W8"/>
    <mergeCell ref="X8:Z8"/>
    <mergeCell ref="I1:J1"/>
    <mergeCell ref="K1:O1"/>
    <mergeCell ref="P1:Q1"/>
    <mergeCell ref="R1:S1"/>
    <mergeCell ref="L2:M2"/>
    <mergeCell ref="Q2:R2"/>
    <mergeCell ref="Y2:Z2"/>
    <mergeCell ref="L4:M4"/>
    <mergeCell ref="Q4:R4"/>
    <mergeCell ref="Y4:Z4"/>
    <mergeCell ref="P31:Q31"/>
    <mergeCell ref="J35:K35"/>
    <mergeCell ref="L35:M35"/>
    <mergeCell ref="N35:O35"/>
    <mergeCell ref="P35:Q35"/>
    <mergeCell ref="J32:K32"/>
    <mergeCell ref="L32:M32"/>
    <mergeCell ref="N32:O32"/>
    <mergeCell ref="P32:Q32"/>
    <mergeCell ref="J33:K33"/>
    <mergeCell ref="L33:M33"/>
    <mergeCell ref="N33:O33"/>
    <mergeCell ref="P33:Q33"/>
    <mergeCell ref="J34:K34"/>
    <mergeCell ref="L34:M34"/>
    <mergeCell ref="N34:O34"/>
    <mergeCell ref="P34:Q34"/>
    <mergeCell ref="J36:K36"/>
    <mergeCell ref="L36:M36"/>
    <mergeCell ref="N36:O36"/>
    <mergeCell ref="P36:Q36"/>
    <mergeCell ref="J37:K37"/>
    <mergeCell ref="L37:M37"/>
    <mergeCell ref="N37:O37"/>
    <mergeCell ref="P37:Q37"/>
    <mergeCell ref="J38:K38"/>
    <mergeCell ref="L38:M38"/>
    <mergeCell ref="N38:O38"/>
    <mergeCell ref="P38:Q38"/>
    <mergeCell ref="J42:K42"/>
    <mergeCell ref="L42:M42"/>
    <mergeCell ref="N42:O42"/>
    <mergeCell ref="P42:Q42"/>
    <mergeCell ref="J39:K39"/>
    <mergeCell ref="L39:M39"/>
    <mergeCell ref="N39:O39"/>
    <mergeCell ref="P39:Q39"/>
    <mergeCell ref="J40:K40"/>
    <mergeCell ref="L40:M40"/>
    <mergeCell ref="N40:O40"/>
    <mergeCell ref="P40:Q40"/>
    <mergeCell ref="J41:K41"/>
    <mergeCell ref="L41:M41"/>
    <mergeCell ref="N41:O41"/>
    <mergeCell ref="P41:Q41"/>
    <mergeCell ref="J46:K46"/>
    <mergeCell ref="L46:M46"/>
    <mergeCell ref="N46:O46"/>
    <mergeCell ref="P46:Q46"/>
    <mergeCell ref="J49:K49"/>
    <mergeCell ref="L49:M49"/>
    <mergeCell ref="N49:O49"/>
    <mergeCell ref="P49:Q49"/>
    <mergeCell ref="J43:K43"/>
    <mergeCell ref="L43:M43"/>
    <mergeCell ref="N43:O43"/>
    <mergeCell ref="P43:Q43"/>
    <mergeCell ref="J44:K44"/>
    <mergeCell ref="L44:M44"/>
    <mergeCell ref="N44:O44"/>
    <mergeCell ref="P44:Q44"/>
    <mergeCell ref="J45:K45"/>
    <mergeCell ref="L45:M45"/>
    <mergeCell ref="N45:O45"/>
    <mergeCell ref="P45:Q45"/>
    <mergeCell ref="J47:K47"/>
    <mergeCell ref="L47:M47"/>
    <mergeCell ref="N47:O47"/>
    <mergeCell ref="P47:Q47"/>
  </mergeCells>
  <pageMargins left="0.7" right="0.7" top="0.75" bottom="0.75" header="0.3" footer="0.3"/>
  <pageSetup orientation="portrait" r:id="rId1"/>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F28" sqref="F28"/>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1" width="7.42578125" style="25" customWidth="1"/>
    <col min="12"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34</v>
      </c>
      <c r="G1" s="226" t="s">
        <v>3</v>
      </c>
      <c r="H1" s="216"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41861</v>
      </c>
      <c r="J8" s="341">
        <f>IF(((I8-C16)&gt;0),(I8-C16),"/")</f>
        <v>41861</v>
      </c>
      <c r="K8" s="336"/>
      <c r="L8" s="341">
        <f>IF(((I8-D16)&gt;0),(I8-D16),"/")</f>
        <v>41861</v>
      </c>
      <c r="M8" s="336"/>
      <c r="N8" s="341">
        <f>IF(((I8-E16)&gt;0),(I8-E16),"/")</f>
        <v>41861</v>
      </c>
      <c r="O8" s="336"/>
      <c r="P8" s="341">
        <f>IF(((I8-F16)&gt;0),(I8-F16),"/")</f>
        <v>41861</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63">
        <v>41861</v>
      </c>
      <c r="J9" s="355" t="s">
        <v>474</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409" t="s">
        <v>470</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5.75" customHeight="1" x14ac:dyDescent="0.2">
      <c r="A20" s="372" t="s">
        <v>79</v>
      </c>
      <c r="B20" s="373"/>
      <c r="C20" s="122" t="s">
        <v>431</v>
      </c>
      <c r="D20" s="122" t="s">
        <v>444</v>
      </c>
      <c r="E20" s="122" t="s">
        <v>431</v>
      </c>
      <c r="F20" s="122" t="s">
        <v>444</v>
      </c>
      <c r="G20" s="122" t="s">
        <v>431</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5.75" customHeight="1" x14ac:dyDescent="0.2">
      <c r="A22" s="372" t="s">
        <v>81</v>
      </c>
      <c r="B22" s="373"/>
      <c r="C22" s="144">
        <v>41861</v>
      </c>
      <c r="D22" s="144">
        <v>41861</v>
      </c>
      <c r="E22" s="144">
        <v>41861</v>
      </c>
      <c r="F22" s="144">
        <v>41861</v>
      </c>
      <c r="G22" s="144">
        <v>41861</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5.75" customHeight="1" x14ac:dyDescent="0.2">
      <c r="A23" s="372" t="s">
        <v>12</v>
      </c>
      <c r="B23" s="373"/>
      <c r="C23" s="71">
        <v>194719220</v>
      </c>
      <c r="D23" s="71">
        <v>185714503</v>
      </c>
      <c r="E23" s="71">
        <v>194719221</v>
      </c>
      <c r="F23" s="224">
        <v>185714504</v>
      </c>
      <c r="G23" s="25">
        <v>194719222</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5.75" customHeight="1" x14ac:dyDescent="0.2">
      <c r="A25" s="372" t="s">
        <v>11</v>
      </c>
      <c r="B25" s="373"/>
      <c r="C25" s="71" t="s">
        <v>398</v>
      </c>
      <c r="D25" s="71" t="s">
        <v>398</v>
      </c>
      <c r="E25" s="71" t="s">
        <v>413</v>
      </c>
      <c r="F25" s="71" t="s">
        <v>413</v>
      </c>
      <c r="G25" s="224" t="s">
        <v>447</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49"/>
  <sheetViews>
    <sheetView topLeftCell="A22" workbookViewId="0">
      <selection activeCell="U35" sqref="U35"/>
    </sheetView>
  </sheetViews>
  <sheetFormatPr defaultColWidth="11.85546875" defaultRowHeight="18" customHeight="1" x14ac:dyDescent="0.2"/>
  <cols>
    <col min="1" max="1" width="9.140625" style="25" customWidth="1"/>
    <col min="2" max="2" width="8.140625" style="25" bestFit="1" customWidth="1"/>
    <col min="3" max="3" width="9.28515625" style="25" customWidth="1"/>
    <col min="4" max="4" width="6.85546875" style="25" customWidth="1"/>
    <col min="5" max="5" width="10.85546875" style="25" bestFit="1"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6.28515625" style="25" customWidth="1"/>
    <col min="28" max="29" width="11.85546875" style="25"/>
    <col min="30" max="30" width="12.5703125" style="25" customWidth="1"/>
    <col min="31" max="16384" width="11.85546875" style="25"/>
  </cols>
  <sheetData>
    <row r="1" spans="1:33" ht="12.75" x14ac:dyDescent="0.2">
      <c r="A1" s="132" t="s">
        <v>0</v>
      </c>
      <c r="B1" s="125">
        <v>2014</v>
      </c>
      <c r="C1" s="132" t="s">
        <v>1</v>
      </c>
      <c r="D1" s="125"/>
      <c r="E1" s="132" t="s">
        <v>2</v>
      </c>
      <c r="F1" s="125">
        <v>35</v>
      </c>
      <c r="G1" s="133" t="s">
        <v>3</v>
      </c>
      <c r="H1" s="125" t="s">
        <v>4</v>
      </c>
      <c r="I1" s="329" t="s">
        <v>5</v>
      </c>
      <c r="J1" s="261"/>
      <c r="K1" s="330" t="s">
        <v>319</v>
      </c>
      <c r="L1" s="382"/>
      <c r="M1" s="382"/>
      <c r="N1" s="382"/>
      <c r="O1" s="383"/>
      <c r="P1" s="333" t="s">
        <v>6</v>
      </c>
      <c r="Q1" s="261"/>
      <c r="R1" s="334"/>
      <c r="S1" s="272"/>
      <c r="T1" s="135"/>
      <c r="U1" s="135"/>
      <c r="V1" s="135"/>
      <c r="W1" s="135"/>
      <c r="X1" s="135"/>
      <c r="Y1" s="135"/>
      <c r="Z1" s="136"/>
    </row>
    <row r="2" spans="1:33"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c r="AE2" s="95" t="s">
        <v>346</v>
      </c>
      <c r="AF2" s="95" t="s">
        <v>347</v>
      </c>
      <c r="AG2" s="95" t="s">
        <v>348</v>
      </c>
    </row>
    <row r="3" spans="1:33" ht="15.75" customHeight="1" x14ac:dyDescent="0.2">
      <c r="A3" s="71" t="s">
        <v>103</v>
      </c>
      <c r="B3" s="144">
        <v>41782</v>
      </c>
      <c r="C3" s="71" t="s">
        <v>105</v>
      </c>
      <c r="D3" s="71" t="s">
        <v>29</v>
      </c>
      <c r="E3" s="194">
        <v>220612970</v>
      </c>
      <c r="F3" s="71" t="s">
        <v>182</v>
      </c>
      <c r="G3" s="71" t="s">
        <v>215</v>
      </c>
      <c r="H3" s="71" t="s">
        <v>29</v>
      </c>
      <c r="I3" s="71" t="s">
        <v>29</v>
      </c>
      <c r="J3" s="71">
        <v>614</v>
      </c>
      <c r="K3" s="71">
        <v>4</v>
      </c>
      <c r="L3" s="141" t="s">
        <v>29</v>
      </c>
      <c r="M3" s="141" t="s">
        <v>29</v>
      </c>
      <c r="N3" s="71">
        <v>324</v>
      </c>
      <c r="O3" s="71">
        <v>143</v>
      </c>
      <c r="P3" s="142" t="s">
        <v>29</v>
      </c>
      <c r="Q3" s="142" t="s">
        <v>29</v>
      </c>
      <c r="R3" s="142" t="s">
        <v>29</v>
      </c>
      <c r="S3" s="142" t="s">
        <v>29</v>
      </c>
      <c r="T3" s="142" t="s">
        <v>29</v>
      </c>
      <c r="U3" s="71" t="s">
        <v>4</v>
      </c>
      <c r="V3" s="71" t="s">
        <v>147</v>
      </c>
      <c r="W3" s="71" t="s">
        <v>148</v>
      </c>
      <c r="X3" s="142" t="s">
        <v>29</v>
      </c>
      <c r="Y3" s="143" t="s">
        <v>29</v>
      </c>
      <c r="Z3" s="143" t="s">
        <v>29</v>
      </c>
      <c r="AA3" s="66" t="s">
        <v>112</v>
      </c>
      <c r="AB3" s="69" t="s">
        <v>205</v>
      </c>
      <c r="AC3" s="96"/>
      <c r="AD3" s="96"/>
      <c r="AE3" s="69" t="s">
        <v>216</v>
      </c>
      <c r="AF3" s="96">
        <v>50</v>
      </c>
      <c r="AG3" s="101">
        <v>4</v>
      </c>
    </row>
    <row r="4" spans="1:33" ht="15.75" customHeight="1" x14ac:dyDescent="0.2">
      <c r="A4" s="71" t="s">
        <v>103</v>
      </c>
      <c r="B4" s="144">
        <v>41799</v>
      </c>
      <c r="C4" s="71"/>
      <c r="D4" s="71"/>
      <c r="E4" s="194"/>
      <c r="F4" s="71" t="s">
        <v>182</v>
      </c>
      <c r="G4" s="71" t="s">
        <v>225</v>
      </c>
      <c r="H4" s="71"/>
      <c r="I4" s="71"/>
      <c r="J4" s="71"/>
      <c r="K4" s="71"/>
      <c r="L4" s="192"/>
      <c r="M4" s="193"/>
      <c r="N4" s="71"/>
      <c r="O4" s="71"/>
      <c r="P4" s="142"/>
      <c r="Q4" s="183"/>
      <c r="R4" s="189"/>
      <c r="S4" s="142"/>
      <c r="T4" s="142"/>
      <c r="U4" s="71"/>
      <c r="V4" s="71"/>
      <c r="W4" s="71"/>
      <c r="X4" s="142"/>
      <c r="Y4" s="195"/>
      <c r="Z4" s="196"/>
      <c r="AA4" s="66"/>
      <c r="AB4" s="96"/>
      <c r="AC4" s="96"/>
      <c r="AD4" s="69" t="s">
        <v>205</v>
      </c>
      <c r="AE4" s="96"/>
      <c r="AF4" s="96"/>
      <c r="AG4" s="96"/>
    </row>
    <row r="5" spans="1:33" ht="27.75" customHeight="1" x14ac:dyDescent="0.2">
      <c r="A5" s="68" t="s">
        <v>30</v>
      </c>
      <c r="B5" s="139" t="s">
        <v>9</v>
      </c>
      <c r="C5" s="139" t="s">
        <v>10</v>
      </c>
      <c r="D5" s="139" t="s">
        <v>11</v>
      </c>
      <c r="E5" s="139" t="s">
        <v>12</v>
      </c>
      <c r="F5" s="139" t="s">
        <v>13</v>
      </c>
      <c r="G5" s="139" t="s">
        <v>14</v>
      </c>
      <c r="H5" s="139" t="s">
        <v>15</v>
      </c>
      <c r="I5" s="139" t="s">
        <v>16</v>
      </c>
      <c r="J5" s="139" t="s">
        <v>31</v>
      </c>
      <c r="K5" s="139" t="s">
        <v>32</v>
      </c>
      <c r="L5" s="338" t="s">
        <v>19</v>
      </c>
      <c r="M5" s="336"/>
      <c r="N5" s="139" t="s">
        <v>20</v>
      </c>
      <c r="O5" s="139" t="s">
        <v>21</v>
      </c>
      <c r="P5" s="139" t="s">
        <v>22</v>
      </c>
      <c r="Q5" s="338" t="s">
        <v>23</v>
      </c>
      <c r="R5" s="336"/>
      <c r="S5" s="139" t="s">
        <v>24</v>
      </c>
      <c r="T5" s="139" t="s">
        <v>25</v>
      </c>
      <c r="U5" s="139" t="s">
        <v>26</v>
      </c>
      <c r="V5" s="139" t="s">
        <v>92</v>
      </c>
      <c r="W5" s="139" t="s">
        <v>93</v>
      </c>
      <c r="X5" s="139" t="s">
        <v>27</v>
      </c>
      <c r="Y5" s="338" t="s">
        <v>28</v>
      </c>
      <c r="Z5" s="272"/>
      <c r="AA5" s="31" t="s">
        <v>89</v>
      </c>
      <c r="AB5" s="31" t="s">
        <v>91</v>
      </c>
      <c r="AC5" s="32" t="s">
        <v>90</v>
      </c>
      <c r="AD5" s="31" t="s">
        <v>95</v>
      </c>
    </row>
    <row r="6" spans="1:33" ht="15.75" customHeight="1" x14ac:dyDescent="0.2">
      <c r="A6" s="71" t="s">
        <v>103</v>
      </c>
      <c r="B6" s="144">
        <v>41798</v>
      </c>
      <c r="C6" s="71" t="s">
        <v>29</v>
      </c>
      <c r="D6" s="71" t="s">
        <v>29</v>
      </c>
      <c r="E6" s="71" t="s">
        <v>235</v>
      </c>
      <c r="F6" s="71" t="s">
        <v>235</v>
      </c>
      <c r="G6" s="71" t="s">
        <v>225</v>
      </c>
      <c r="H6" s="71" t="s">
        <v>29</v>
      </c>
      <c r="I6" s="80" t="s">
        <v>29</v>
      </c>
      <c r="J6" s="80" t="s">
        <v>29</v>
      </c>
      <c r="K6" s="80" t="s">
        <v>29</v>
      </c>
      <c r="L6" s="91" t="s">
        <v>29</v>
      </c>
      <c r="M6" s="91" t="s">
        <v>29</v>
      </c>
      <c r="N6" s="80" t="s">
        <v>29</v>
      </c>
      <c r="O6" s="80" t="s">
        <v>29</v>
      </c>
      <c r="P6" s="145" t="s">
        <v>29</v>
      </c>
      <c r="Q6" s="145" t="s">
        <v>29</v>
      </c>
      <c r="R6" s="142" t="s">
        <v>29</v>
      </c>
      <c r="S6" s="142" t="s">
        <v>29</v>
      </c>
      <c r="T6" s="142" t="s">
        <v>29</v>
      </c>
      <c r="U6" s="71" t="s">
        <v>29</v>
      </c>
      <c r="V6" s="71" t="s">
        <v>29</v>
      </c>
      <c r="W6" s="71" t="s">
        <v>29</v>
      </c>
      <c r="X6" s="142" t="s">
        <v>29</v>
      </c>
      <c r="Y6" s="142" t="s">
        <v>29</v>
      </c>
      <c r="Z6" s="142" t="s">
        <v>29</v>
      </c>
      <c r="AD6" s="69" t="s">
        <v>205</v>
      </c>
    </row>
    <row r="7" spans="1:33" ht="16.5" customHeight="1" x14ac:dyDescent="0.2">
      <c r="A7" s="149" t="s">
        <v>33</v>
      </c>
      <c r="B7" s="139" t="s">
        <v>9</v>
      </c>
      <c r="C7" s="162" t="s">
        <v>34</v>
      </c>
      <c r="D7" s="162" t="s">
        <v>35</v>
      </c>
      <c r="E7" s="162" t="s">
        <v>36</v>
      </c>
      <c r="F7" s="162" t="s">
        <v>37</v>
      </c>
      <c r="G7" s="162" t="s">
        <v>38</v>
      </c>
      <c r="H7" s="190" t="s">
        <v>39</v>
      </c>
      <c r="I7" s="184" t="s">
        <v>9</v>
      </c>
      <c r="J7" s="339" t="s">
        <v>40</v>
      </c>
      <c r="K7" s="339"/>
      <c r="L7" s="339" t="s">
        <v>41</v>
      </c>
      <c r="M7" s="339"/>
      <c r="N7" s="339" t="s">
        <v>42</v>
      </c>
      <c r="O7" s="339"/>
      <c r="P7" s="339" t="s">
        <v>43</v>
      </c>
      <c r="Q7" s="339"/>
      <c r="R7" s="35"/>
      <c r="S7" s="340" t="s">
        <v>44</v>
      </c>
      <c r="T7" s="275"/>
      <c r="U7" s="275"/>
      <c r="V7" s="275"/>
      <c r="W7" s="275"/>
      <c r="X7" s="275"/>
      <c r="Y7" s="275"/>
      <c r="Z7" s="336"/>
    </row>
    <row r="8" spans="1:33" ht="15.75" customHeight="1" x14ac:dyDescent="0.2">
      <c r="A8" s="154" t="s">
        <v>45</v>
      </c>
      <c r="B8" s="142"/>
      <c r="C8" s="155">
        <v>41797</v>
      </c>
      <c r="D8" s="155">
        <v>41799</v>
      </c>
      <c r="E8" s="155">
        <v>41801</v>
      </c>
      <c r="F8" s="155"/>
      <c r="G8" s="156">
        <f>AVERAGE(C8:F8)</f>
        <v>41799</v>
      </c>
      <c r="H8" s="157" t="s">
        <v>46</v>
      </c>
      <c r="I8" s="158"/>
      <c r="J8" s="276" t="s">
        <v>360</v>
      </c>
      <c r="K8" s="267"/>
      <c r="L8" s="346" t="s">
        <v>361</v>
      </c>
      <c r="M8" s="267"/>
      <c r="N8" s="346" t="s">
        <v>29</v>
      </c>
      <c r="O8" s="267"/>
      <c r="P8" s="347" t="s">
        <v>29</v>
      </c>
      <c r="Q8" s="267"/>
      <c r="R8" s="159" t="s">
        <v>47</v>
      </c>
      <c r="S8" s="160"/>
      <c r="T8" s="106">
        <v>4</v>
      </c>
      <c r="U8" s="348" t="s">
        <v>48</v>
      </c>
      <c r="V8" s="348"/>
      <c r="W8" s="348"/>
      <c r="X8" s="349" t="s">
        <v>29</v>
      </c>
      <c r="Y8" s="350"/>
      <c r="Z8" s="351"/>
    </row>
    <row r="9" spans="1:33" ht="15.75" customHeight="1" x14ac:dyDescent="0.2">
      <c r="A9" s="161" t="s">
        <v>49</v>
      </c>
      <c r="B9" s="142" t="s">
        <v>29</v>
      </c>
      <c r="C9" s="142" t="s">
        <v>29</v>
      </c>
      <c r="D9" s="142" t="s">
        <v>29</v>
      </c>
      <c r="E9" s="142" t="s">
        <v>29</v>
      </c>
      <c r="F9" s="142" t="s">
        <v>29</v>
      </c>
      <c r="G9" s="162"/>
      <c r="H9" s="157" t="s">
        <v>50</v>
      </c>
      <c r="I9" s="163">
        <v>41838</v>
      </c>
      <c r="J9" s="341">
        <v>2</v>
      </c>
      <c r="K9" s="336"/>
      <c r="L9" s="341">
        <v>2</v>
      </c>
      <c r="M9" s="336"/>
      <c r="N9" s="341">
        <v>1</v>
      </c>
      <c r="O9" s="336"/>
      <c r="P9" s="341">
        <v>0</v>
      </c>
      <c r="Q9" s="336"/>
      <c r="R9" s="164" t="s">
        <v>51</v>
      </c>
      <c r="S9" s="165"/>
      <c r="T9" s="106">
        <v>0</v>
      </c>
      <c r="U9" s="342" t="s">
        <v>52</v>
      </c>
      <c r="V9" s="342"/>
      <c r="W9" s="342"/>
      <c r="X9" s="343" t="s">
        <v>29</v>
      </c>
      <c r="Y9" s="344"/>
      <c r="Z9" s="345"/>
    </row>
    <row r="10" spans="1:33" ht="15.75" customHeight="1" x14ac:dyDescent="0.2">
      <c r="A10" s="161" t="s">
        <v>49</v>
      </c>
      <c r="B10" s="142" t="s">
        <v>29</v>
      </c>
      <c r="C10" s="142" t="s">
        <v>29</v>
      </c>
      <c r="D10" s="142" t="s">
        <v>29</v>
      </c>
      <c r="E10" s="142" t="s">
        <v>29</v>
      </c>
      <c r="F10" s="142" t="s">
        <v>29</v>
      </c>
      <c r="G10" s="162"/>
      <c r="H10" s="157" t="s">
        <v>53</v>
      </c>
      <c r="I10" s="166">
        <v>41838</v>
      </c>
      <c r="J10" s="355">
        <v>49</v>
      </c>
      <c r="K10" s="336"/>
      <c r="L10" s="356">
        <v>43</v>
      </c>
      <c r="M10" s="336"/>
      <c r="N10" s="356">
        <v>39</v>
      </c>
      <c r="O10" s="336"/>
      <c r="P10" s="357" t="s">
        <v>29</v>
      </c>
      <c r="Q10" s="336"/>
      <c r="R10" s="164" t="s">
        <v>54</v>
      </c>
      <c r="S10" s="165"/>
      <c r="T10" s="106">
        <v>4</v>
      </c>
      <c r="U10" s="342" t="s">
        <v>55</v>
      </c>
      <c r="V10" s="342"/>
      <c r="W10" s="342"/>
      <c r="X10" s="343" t="s">
        <v>29</v>
      </c>
      <c r="Y10" s="344"/>
      <c r="Z10" s="345"/>
    </row>
    <row r="11" spans="1:33" ht="15" customHeight="1" x14ac:dyDescent="0.2">
      <c r="A11" s="161" t="s">
        <v>49</v>
      </c>
      <c r="B11" s="142" t="s">
        <v>29</v>
      </c>
      <c r="C11" s="142" t="s">
        <v>29</v>
      </c>
      <c r="D11" s="142" t="s">
        <v>29</v>
      </c>
      <c r="E11" s="142" t="s">
        <v>29</v>
      </c>
      <c r="F11" s="142" t="s">
        <v>29</v>
      </c>
      <c r="G11" s="162"/>
      <c r="H11" s="157" t="s">
        <v>56</v>
      </c>
      <c r="I11" s="167"/>
      <c r="J11" s="352" t="s">
        <v>29</v>
      </c>
      <c r="K11" s="336"/>
      <c r="L11" s="353" t="s">
        <v>29</v>
      </c>
      <c r="M11" s="336"/>
      <c r="N11" s="353" t="s">
        <v>29</v>
      </c>
      <c r="O11" s="336"/>
      <c r="P11" s="354" t="s">
        <v>29</v>
      </c>
      <c r="Q11" s="336"/>
      <c r="R11" s="164" t="s">
        <v>57</v>
      </c>
      <c r="S11" s="165"/>
      <c r="T11" s="106">
        <v>1</v>
      </c>
      <c r="U11" s="342" t="s">
        <v>58</v>
      </c>
      <c r="V11" s="342"/>
      <c r="W11" s="342"/>
      <c r="X11" s="343" t="s">
        <v>29</v>
      </c>
      <c r="Y11" s="344"/>
      <c r="Z11" s="345"/>
    </row>
    <row r="12" spans="1:33" ht="15" customHeight="1" x14ac:dyDescent="0.2">
      <c r="A12" s="161" t="s">
        <v>49</v>
      </c>
      <c r="B12" s="142" t="s">
        <v>29</v>
      </c>
      <c r="C12" s="142" t="s">
        <v>29</v>
      </c>
      <c r="D12" s="142" t="s">
        <v>29</v>
      </c>
      <c r="E12" s="142" t="s">
        <v>29</v>
      </c>
      <c r="F12" s="142" t="s">
        <v>29</v>
      </c>
      <c r="G12" s="162"/>
      <c r="H12" s="157" t="s">
        <v>59</v>
      </c>
      <c r="I12" s="166">
        <v>41839</v>
      </c>
      <c r="J12" s="341">
        <v>3</v>
      </c>
      <c r="K12" s="336"/>
      <c r="L12" s="341">
        <v>3</v>
      </c>
      <c r="M12" s="336"/>
      <c r="N12" s="341" t="s">
        <v>410</v>
      </c>
      <c r="O12" s="336"/>
      <c r="P12" s="362">
        <v>1</v>
      </c>
      <c r="Q12" s="336"/>
      <c r="R12" s="164" t="s">
        <v>60</v>
      </c>
      <c r="S12" s="165"/>
      <c r="T12" s="106">
        <v>1</v>
      </c>
      <c r="U12" s="342" t="s">
        <v>61</v>
      </c>
      <c r="V12" s="342"/>
      <c r="W12" s="342"/>
      <c r="X12" s="343" t="s">
        <v>29</v>
      </c>
      <c r="Y12" s="344"/>
      <c r="Z12" s="345"/>
    </row>
    <row r="13" spans="1:33" ht="15.75" customHeight="1" x14ac:dyDescent="0.2">
      <c r="A13" s="161" t="s">
        <v>49</v>
      </c>
      <c r="B13" s="142" t="s">
        <v>29</v>
      </c>
      <c r="C13" s="142" t="s">
        <v>29</v>
      </c>
      <c r="D13" s="142" t="s">
        <v>29</v>
      </c>
      <c r="E13" s="142" t="s">
        <v>29</v>
      </c>
      <c r="F13" s="142" t="s">
        <v>29</v>
      </c>
      <c r="G13" s="162"/>
      <c r="H13" s="157" t="s">
        <v>62</v>
      </c>
      <c r="I13" s="166">
        <v>41839</v>
      </c>
      <c r="J13" s="355">
        <v>53</v>
      </c>
      <c r="K13" s="336"/>
      <c r="L13" s="356">
        <v>43</v>
      </c>
      <c r="M13" s="336"/>
      <c r="N13" s="356" t="s">
        <v>410</v>
      </c>
      <c r="O13" s="336"/>
      <c r="P13" s="357" t="s">
        <v>29</v>
      </c>
      <c r="Q13" s="336"/>
      <c r="R13" s="164" t="s">
        <v>63</v>
      </c>
      <c r="S13" s="165"/>
      <c r="T13" s="168">
        <v>3</v>
      </c>
      <c r="U13" s="358" t="s">
        <v>64</v>
      </c>
      <c r="V13" s="358"/>
      <c r="W13" s="358"/>
      <c r="X13" s="359" t="s">
        <v>29</v>
      </c>
      <c r="Y13" s="360"/>
      <c r="Z13" s="361"/>
    </row>
    <row r="14" spans="1:33" ht="15.75" customHeight="1" x14ac:dyDescent="0.2">
      <c r="A14" s="161" t="s">
        <v>49</v>
      </c>
      <c r="B14" s="142" t="s">
        <v>29</v>
      </c>
      <c r="C14" s="142" t="s">
        <v>29</v>
      </c>
      <c r="D14" s="142" t="s">
        <v>29</v>
      </c>
      <c r="E14" s="142" t="s">
        <v>29</v>
      </c>
      <c r="F14" s="142" t="s">
        <v>29</v>
      </c>
      <c r="G14" s="162"/>
      <c r="H14" s="157" t="s">
        <v>65</v>
      </c>
      <c r="I14" s="167"/>
      <c r="J14" s="352" t="s">
        <v>29</v>
      </c>
      <c r="K14" s="336"/>
      <c r="L14" s="353" t="s">
        <v>29</v>
      </c>
      <c r="M14" s="336"/>
      <c r="N14" s="353" t="s">
        <v>29</v>
      </c>
      <c r="O14" s="336"/>
      <c r="P14" s="354" t="s">
        <v>29</v>
      </c>
      <c r="Q14" s="272"/>
      <c r="R14" s="329" t="s">
        <v>66</v>
      </c>
      <c r="S14" s="329"/>
      <c r="T14" s="329"/>
      <c r="U14" s="329"/>
      <c r="V14" s="329"/>
      <c r="W14" s="329"/>
      <c r="X14" s="329"/>
      <c r="Y14" s="329"/>
      <c r="Z14" s="381"/>
    </row>
    <row r="15" spans="1:33" ht="15.75" customHeight="1" x14ac:dyDescent="0.2">
      <c r="A15" s="161" t="s">
        <v>49</v>
      </c>
      <c r="B15" s="142" t="s">
        <v>29</v>
      </c>
      <c r="C15" s="142" t="s">
        <v>29</v>
      </c>
      <c r="D15" s="142" t="s">
        <v>29</v>
      </c>
      <c r="E15" s="142" t="s">
        <v>29</v>
      </c>
      <c r="F15" s="142" t="s">
        <v>29</v>
      </c>
      <c r="G15" s="162"/>
      <c r="H15" s="157" t="s">
        <v>67</v>
      </c>
      <c r="I15" s="167"/>
      <c r="J15" s="352" t="s">
        <v>29</v>
      </c>
      <c r="K15" s="336"/>
      <c r="L15" s="353" t="s">
        <v>29</v>
      </c>
      <c r="M15" s="336"/>
      <c r="N15" s="353" t="s">
        <v>29</v>
      </c>
      <c r="O15" s="336"/>
      <c r="P15" s="354" t="s">
        <v>29</v>
      </c>
      <c r="Q15" s="272"/>
      <c r="R15" s="329"/>
      <c r="S15" s="329"/>
      <c r="T15" s="329"/>
      <c r="U15" s="329"/>
      <c r="V15" s="329"/>
      <c r="W15" s="329"/>
      <c r="X15" s="329"/>
      <c r="Y15" s="329"/>
      <c r="Z15" s="381"/>
    </row>
    <row r="16" spans="1:33" ht="15.75" customHeight="1" x14ac:dyDescent="0.2">
      <c r="A16" s="161" t="s">
        <v>49</v>
      </c>
      <c r="B16" s="142" t="s">
        <v>29</v>
      </c>
      <c r="C16" s="142" t="s">
        <v>29</v>
      </c>
      <c r="D16" s="142" t="s">
        <v>29</v>
      </c>
      <c r="E16" s="142" t="s">
        <v>29</v>
      </c>
      <c r="F16" s="142" t="s">
        <v>29</v>
      </c>
      <c r="G16" s="162"/>
      <c r="H16" s="157" t="s">
        <v>68</v>
      </c>
      <c r="I16" s="167"/>
      <c r="J16" s="352" t="s">
        <v>29</v>
      </c>
      <c r="K16" s="336"/>
      <c r="L16" s="353" t="s">
        <v>29</v>
      </c>
      <c r="M16" s="336"/>
      <c r="N16" s="353" t="s">
        <v>29</v>
      </c>
      <c r="O16" s="336"/>
      <c r="P16" s="363" t="s">
        <v>29</v>
      </c>
      <c r="Q16" s="293"/>
      <c r="R16" s="305" t="s">
        <v>472</v>
      </c>
      <c r="S16" s="305"/>
      <c r="T16" s="305"/>
      <c r="U16" s="305"/>
      <c r="V16" s="305"/>
      <c r="W16" s="305"/>
      <c r="X16" s="305"/>
      <c r="Y16" s="305"/>
      <c r="Z16" s="306"/>
    </row>
    <row r="17" spans="1:26" ht="15.75" customHeight="1" x14ac:dyDescent="0.2">
      <c r="A17" s="171" t="s">
        <v>69</v>
      </c>
      <c r="B17" s="142"/>
      <c r="C17" s="155">
        <v>41836</v>
      </c>
      <c r="D17" s="155">
        <v>41836</v>
      </c>
      <c r="E17" s="155">
        <v>41837</v>
      </c>
      <c r="F17" s="155">
        <v>41838</v>
      </c>
      <c r="G17" s="156">
        <f>AVERAGE(C17:F17)</f>
        <v>41836.75</v>
      </c>
      <c r="H17" s="157" t="s">
        <v>70</v>
      </c>
      <c r="I17" s="166">
        <v>41844</v>
      </c>
      <c r="J17" s="364">
        <v>8</v>
      </c>
      <c r="K17" s="336"/>
      <c r="L17" s="364">
        <v>8</v>
      </c>
      <c r="M17" s="336"/>
      <c r="N17" s="364" t="s">
        <v>410</v>
      </c>
      <c r="O17" s="272"/>
      <c r="P17" s="365" t="s">
        <v>410</v>
      </c>
      <c r="Q17" s="261"/>
      <c r="R17" s="307"/>
      <c r="S17" s="307"/>
      <c r="T17" s="307"/>
      <c r="U17" s="307"/>
      <c r="V17" s="307"/>
      <c r="W17" s="307"/>
      <c r="X17" s="307"/>
      <c r="Y17" s="307"/>
      <c r="Z17" s="308"/>
    </row>
    <row r="18" spans="1:26" ht="15.75" customHeight="1" x14ac:dyDescent="0.2">
      <c r="A18" s="338" t="s">
        <v>71</v>
      </c>
      <c r="B18" s="368"/>
      <c r="C18" s="172">
        <f>C17-C8</f>
        <v>39</v>
      </c>
      <c r="D18" s="172">
        <f>D17-D8</f>
        <v>37</v>
      </c>
      <c r="E18" s="172">
        <f>E17-E8</f>
        <v>36</v>
      </c>
      <c r="F18" s="172">
        <f>F17-F8</f>
        <v>41838</v>
      </c>
      <c r="G18" s="173">
        <f>AVERAGE(C18:E18)</f>
        <v>37.333333333333336</v>
      </c>
      <c r="H18" s="157" t="s">
        <v>72</v>
      </c>
      <c r="I18" s="166">
        <v>41844</v>
      </c>
      <c r="J18" s="357">
        <v>142</v>
      </c>
      <c r="K18" s="336"/>
      <c r="L18" s="356">
        <v>115</v>
      </c>
      <c r="M18" s="336"/>
      <c r="N18" s="366" t="s">
        <v>410</v>
      </c>
      <c r="O18" s="272"/>
      <c r="P18" s="367" t="s">
        <v>410</v>
      </c>
      <c r="Q18" s="261"/>
      <c r="R18" s="307"/>
      <c r="S18" s="307"/>
      <c r="T18" s="307"/>
      <c r="U18" s="307"/>
      <c r="V18" s="307"/>
      <c r="W18" s="307"/>
      <c r="X18" s="307"/>
      <c r="Y18" s="307"/>
      <c r="Z18" s="308"/>
    </row>
    <row r="19" spans="1:26" ht="15.75" customHeight="1" x14ac:dyDescent="0.2">
      <c r="A19" s="340" t="s">
        <v>73</v>
      </c>
      <c r="B19" s="340"/>
      <c r="C19" s="339" t="s">
        <v>40</v>
      </c>
      <c r="D19" s="339" t="s">
        <v>41</v>
      </c>
      <c r="E19" s="339" t="s">
        <v>42</v>
      </c>
      <c r="F19" s="339" t="s">
        <v>43</v>
      </c>
      <c r="G19" s="339" t="s">
        <v>38</v>
      </c>
      <c r="H19" s="167" t="s">
        <v>78</v>
      </c>
      <c r="I19" s="167"/>
      <c r="J19" s="354" t="s">
        <v>29</v>
      </c>
      <c r="K19" s="336"/>
      <c r="L19" s="353" t="s">
        <v>29</v>
      </c>
      <c r="M19" s="336"/>
      <c r="N19" s="370" t="s">
        <v>29</v>
      </c>
      <c r="O19" s="272"/>
      <c r="P19" s="371" t="s">
        <v>29</v>
      </c>
      <c r="Q19" s="261"/>
      <c r="R19" s="307"/>
      <c r="S19" s="307"/>
      <c r="T19" s="307"/>
      <c r="U19" s="307"/>
      <c r="V19" s="307"/>
      <c r="W19" s="307"/>
      <c r="X19" s="307"/>
      <c r="Y19" s="307"/>
      <c r="Z19" s="308"/>
    </row>
    <row r="20" spans="1:26" ht="15" customHeight="1" x14ac:dyDescent="0.2">
      <c r="A20" s="369"/>
      <c r="B20" s="369"/>
      <c r="C20" s="261"/>
      <c r="D20" s="261"/>
      <c r="E20" s="261"/>
      <c r="F20" s="261"/>
      <c r="G20" s="261"/>
      <c r="H20" s="167" t="s">
        <v>67</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79</v>
      </c>
      <c r="B21" s="373"/>
      <c r="C21" s="122" t="s">
        <v>354</v>
      </c>
      <c r="D21" s="122" t="s">
        <v>355</v>
      </c>
      <c r="E21" s="122" t="s">
        <v>356</v>
      </c>
      <c r="F21" s="122" t="s">
        <v>407</v>
      </c>
      <c r="G21" s="122" t="s">
        <v>29</v>
      </c>
      <c r="H21" s="157" t="s">
        <v>68</v>
      </c>
      <c r="I21" s="167"/>
      <c r="J21" s="354" t="s">
        <v>29</v>
      </c>
      <c r="K21" s="336"/>
      <c r="L21" s="353" t="s">
        <v>29</v>
      </c>
      <c r="M21" s="336"/>
      <c r="N21" s="370" t="s">
        <v>29</v>
      </c>
      <c r="O21" s="272"/>
      <c r="P21" s="371" t="s">
        <v>29</v>
      </c>
      <c r="Q21" s="261"/>
      <c r="R21" s="307"/>
      <c r="S21" s="307"/>
      <c r="T21" s="307"/>
      <c r="U21" s="307"/>
      <c r="V21" s="307"/>
      <c r="W21" s="307"/>
      <c r="X21" s="307"/>
      <c r="Y21" s="307"/>
      <c r="Z21" s="308"/>
    </row>
    <row r="22" spans="1:26" ht="15.75" customHeight="1" x14ac:dyDescent="0.2">
      <c r="A22" s="372" t="s">
        <v>46</v>
      </c>
      <c r="B22" s="373"/>
      <c r="C22" s="200">
        <v>41859</v>
      </c>
      <c r="D22" s="71" t="s">
        <v>410</v>
      </c>
      <c r="E22" s="71" t="s">
        <v>410</v>
      </c>
      <c r="F22" s="71" t="s">
        <v>410</v>
      </c>
      <c r="G22" s="71" t="s">
        <v>29</v>
      </c>
      <c r="H22" s="176" t="s">
        <v>80</v>
      </c>
      <c r="I22" s="166">
        <v>41849</v>
      </c>
      <c r="J22" s="364">
        <v>13</v>
      </c>
      <c r="K22" s="336"/>
      <c r="L22" s="364">
        <v>13</v>
      </c>
      <c r="M22" s="336"/>
      <c r="N22" s="364" t="s">
        <v>410</v>
      </c>
      <c r="O22" s="272"/>
      <c r="P22" s="365" t="s">
        <v>410</v>
      </c>
      <c r="Q22" s="261"/>
      <c r="R22" s="307"/>
      <c r="S22" s="307"/>
      <c r="T22" s="307"/>
      <c r="U22" s="307"/>
      <c r="V22" s="307"/>
      <c r="W22" s="307"/>
      <c r="X22" s="307"/>
      <c r="Y22" s="307"/>
      <c r="Z22" s="308"/>
    </row>
    <row r="23" spans="1:26" ht="15.75" customHeight="1" x14ac:dyDescent="0.2">
      <c r="A23" s="372" t="s">
        <v>81</v>
      </c>
      <c r="B23" s="373"/>
      <c r="C23" s="71">
        <v>220612996</v>
      </c>
      <c r="D23" s="71" t="s">
        <v>410</v>
      </c>
      <c r="E23" s="71" t="s">
        <v>410</v>
      </c>
      <c r="F23" s="71" t="s">
        <v>410</v>
      </c>
      <c r="G23" s="106" t="s">
        <v>29</v>
      </c>
      <c r="H23" s="178" t="s">
        <v>82</v>
      </c>
      <c r="I23" s="166">
        <v>41849</v>
      </c>
      <c r="J23" s="357">
        <v>251</v>
      </c>
      <c r="K23" s="336"/>
      <c r="L23" s="356">
        <v>161</v>
      </c>
      <c r="M23" s="336"/>
      <c r="N23" s="366" t="s">
        <v>410</v>
      </c>
      <c r="O23" s="272"/>
      <c r="P23" s="367" t="s">
        <v>410</v>
      </c>
      <c r="Q23" s="261"/>
      <c r="R23" s="307"/>
      <c r="S23" s="307"/>
      <c r="T23" s="307"/>
      <c r="U23" s="307"/>
      <c r="V23" s="307"/>
      <c r="W23" s="307"/>
      <c r="X23" s="307"/>
      <c r="Y23" s="307"/>
      <c r="Z23" s="308"/>
    </row>
    <row r="24" spans="1:26" ht="15.75" customHeight="1" x14ac:dyDescent="0.2">
      <c r="A24" s="372" t="s">
        <v>12</v>
      </c>
      <c r="B24" s="373"/>
      <c r="C24" s="71" t="s">
        <v>410</v>
      </c>
      <c r="D24" s="71" t="s">
        <v>410</v>
      </c>
      <c r="E24" s="71" t="s">
        <v>410</v>
      </c>
      <c r="F24" s="71" t="s">
        <v>410</v>
      </c>
      <c r="G24" s="106" t="s">
        <v>29</v>
      </c>
      <c r="H24" s="178" t="s">
        <v>83</v>
      </c>
      <c r="I24" s="179"/>
      <c r="J24" s="357" t="s">
        <v>369</v>
      </c>
      <c r="K24" s="336"/>
      <c r="L24" s="372" t="s">
        <v>29</v>
      </c>
      <c r="M24" s="336"/>
      <c r="N24" s="380" t="s">
        <v>29</v>
      </c>
      <c r="O24" s="272"/>
      <c r="P24" s="371" t="s">
        <v>29</v>
      </c>
      <c r="Q24" s="261"/>
      <c r="R24" s="307"/>
      <c r="S24" s="307"/>
      <c r="T24" s="307"/>
      <c r="U24" s="307"/>
      <c r="V24" s="307"/>
      <c r="W24" s="307"/>
      <c r="X24" s="307"/>
      <c r="Y24" s="307"/>
      <c r="Z24" s="308"/>
    </row>
    <row r="25" spans="1:26" ht="15.75" customHeight="1" x14ac:dyDescent="0.2">
      <c r="A25" s="372" t="s">
        <v>84</v>
      </c>
      <c r="B25" s="373"/>
      <c r="C25" s="71" t="s">
        <v>398</v>
      </c>
      <c r="D25" s="71" t="s">
        <v>410</v>
      </c>
      <c r="E25" s="71" t="s">
        <v>410</v>
      </c>
      <c r="F25" s="71" t="s">
        <v>410</v>
      </c>
      <c r="G25" s="106" t="s">
        <v>29</v>
      </c>
      <c r="H25" s="178" t="s">
        <v>67</v>
      </c>
      <c r="I25" s="167"/>
      <c r="J25" s="354" t="s">
        <v>29</v>
      </c>
      <c r="K25" s="336"/>
      <c r="L25" s="372" t="s">
        <v>29</v>
      </c>
      <c r="M25" s="336"/>
      <c r="N25" s="380" t="s">
        <v>29</v>
      </c>
      <c r="O25" s="272"/>
      <c r="P25" s="371" t="s">
        <v>29</v>
      </c>
      <c r="Q25" s="261"/>
      <c r="R25" s="307"/>
      <c r="S25" s="307"/>
      <c r="T25" s="307"/>
      <c r="U25" s="307"/>
      <c r="V25" s="307"/>
      <c r="W25" s="307"/>
      <c r="X25" s="307"/>
      <c r="Y25" s="307"/>
      <c r="Z25" s="308"/>
    </row>
    <row r="26" spans="1:26" ht="15.75" customHeight="1" x14ac:dyDescent="0.2">
      <c r="A26" s="372" t="s">
        <v>11</v>
      </c>
      <c r="B26" s="373"/>
      <c r="C26" s="71" t="s">
        <v>410</v>
      </c>
      <c r="D26" s="71" t="s">
        <v>410</v>
      </c>
      <c r="E26" s="71" t="s">
        <v>410</v>
      </c>
      <c r="F26" s="71" t="s">
        <v>410</v>
      </c>
      <c r="G26" s="106" t="s">
        <v>29</v>
      </c>
      <c r="H26" s="178" t="s">
        <v>68</v>
      </c>
      <c r="I26" s="167"/>
      <c r="J26" s="354" t="s">
        <v>29</v>
      </c>
      <c r="K26" s="336"/>
      <c r="L26" s="372" t="s">
        <v>29</v>
      </c>
      <c r="M26" s="336"/>
      <c r="N26" s="380" t="s">
        <v>29</v>
      </c>
      <c r="O26" s="272"/>
      <c r="P26" s="371" t="s">
        <v>29</v>
      </c>
      <c r="Q26" s="261"/>
      <c r="R26" s="307"/>
      <c r="S26" s="307"/>
      <c r="T26" s="307"/>
      <c r="U26" s="307"/>
      <c r="V26" s="307"/>
      <c r="W26" s="307"/>
      <c r="X26" s="307"/>
      <c r="Y26" s="307"/>
      <c r="Z26" s="308"/>
    </row>
    <row r="27" spans="1:26" ht="15.75" customHeight="1" x14ac:dyDescent="0.2">
      <c r="A27" s="374" t="s">
        <v>85</v>
      </c>
      <c r="B27" s="375"/>
      <c r="C27" s="71" t="s">
        <v>410</v>
      </c>
      <c r="D27" s="177">
        <v>41859</v>
      </c>
      <c r="E27" s="177">
        <v>41839</v>
      </c>
      <c r="F27" s="177">
        <v>41840</v>
      </c>
      <c r="G27" s="106" t="s">
        <v>29</v>
      </c>
      <c r="H27" s="178" t="s">
        <v>86</v>
      </c>
      <c r="I27" s="167"/>
      <c r="J27" s="354" t="s">
        <v>29</v>
      </c>
      <c r="K27" s="336"/>
      <c r="L27" s="372" t="s">
        <v>29</v>
      </c>
      <c r="M27" s="336"/>
      <c r="N27" s="380" t="s">
        <v>29</v>
      </c>
      <c r="O27" s="272"/>
      <c r="P27" s="371" t="s">
        <v>29</v>
      </c>
      <c r="Q27" s="261"/>
      <c r="R27" s="307"/>
      <c r="S27" s="307"/>
      <c r="T27" s="307"/>
      <c r="U27" s="307"/>
      <c r="V27" s="307"/>
      <c r="W27" s="307"/>
      <c r="X27" s="307"/>
      <c r="Y27" s="307"/>
      <c r="Z27" s="308"/>
    </row>
    <row r="28" spans="1:26" ht="15.75" customHeight="1" x14ac:dyDescent="0.2">
      <c r="A28" s="378" t="s">
        <v>87</v>
      </c>
      <c r="B28" s="379"/>
      <c r="C28" s="71" t="s">
        <v>410</v>
      </c>
      <c r="D28" s="177">
        <f>D27-D17</f>
        <v>23</v>
      </c>
      <c r="E28" s="71">
        <v>2</v>
      </c>
      <c r="F28" s="194">
        <f>F27-F17</f>
        <v>2</v>
      </c>
      <c r="G28" s="106" t="s">
        <v>29</v>
      </c>
      <c r="H28" s="178" t="s">
        <v>88</v>
      </c>
      <c r="I28" s="167"/>
      <c r="J28" s="354" t="s">
        <v>29</v>
      </c>
      <c r="K28" s="336"/>
      <c r="L28" s="372" t="s">
        <v>29</v>
      </c>
      <c r="M28" s="336"/>
      <c r="N28" s="380" t="s">
        <v>29</v>
      </c>
      <c r="O28" s="272"/>
      <c r="P28" s="371" t="s">
        <v>29</v>
      </c>
      <c r="Q28" s="261"/>
      <c r="R28" s="307"/>
      <c r="S28" s="307"/>
      <c r="T28" s="307"/>
      <c r="U28" s="307"/>
      <c r="V28" s="307"/>
      <c r="W28" s="307"/>
      <c r="X28" s="307"/>
      <c r="Y28" s="307"/>
      <c r="Z28" s="308"/>
    </row>
    <row r="29" spans="1:26" ht="15.75" customHeight="1" x14ac:dyDescent="0.2">
      <c r="A29" s="126"/>
      <c r="B29" s="180"/>
      <c r="C29" s="181"/>
      <c r="D29" s="181"/>
      <c r="E29" s="181"/>
      <c r="F29" s="181"/>
      <c r="G29" s="181"/>
      <c r="H29" s="176" t="s">
        <v>372</v>
      </c>
      <c r="I29" s="166">
        <v>41854</v>
      </c>
      <c r="J29" s="364">
        <v>18</v>
      </c>
      <c r="K29" s="336"/>
      <c r="L29" s="364">
        <v>18</v>
      </c>
      <c r="M29" s="336"/>
      <c r="N29" s="364" t="s">
        <v>410</v>
      </c>
      <c r="O29" s="272"/>
      <c r="P29" s="365" t="s">
        <v>410</v>
      </c>
      <c r="Q29" s="261"/>
      <c r="R29" s="182"/>
      <c r="S29" s="181"/>
      <c r="T29" s="181"/>
      <c r="U29" s="181"/>
      <c r="V29" s="181"/>
      <c r="W29" s="181"/>
      <c r="X29" s="181"/>
      <c r="Y29" s="181"/>
      <c r="Z29" s="181"/>
    </row>
    <row r="30" spans="1:26" ht="18" customHeight="1" x14ac:dyDescent="0.2">
      <c r="H30" s="178" t="s">
        <v>373</v>
      </c>
      <c r="I30" s="166">
        <v>41854</v>
      </c>
      <c r="J30" s="357">
        <v>389</v>
      </c>
      <c r="K30" s="336"/>
      <c r="L30" s="356">
        <v>271</v>
      </c>
      <c r="M30" s="336"/>
      <c r="N30" s="366" t="s">
        <v>410</v>
      </c>
      <c r="O30" s="272"/>
      <c r="P30" s="367" t="s">
        <v>410</v>
      </c>
      <c r="Q30" s="261"/>
    </row>
    <row r="31" spans="1:26" ht="18" customHeight="1" x14ac:dyDescent="0.2">
      <c r="H31" s="178" t="s">
        <v>83</v>
      </c>
      <c r="I31" s="179"/>
      <c r="J31" s="372" t="s">
        <v>29</v>
      </c>
      <c r="K31" s="336"/>
      <c r="L31" s="357" t="s">
        <v>369</v>
      </c>
      <c r="M31" s="336"/>
      <c r="N31" s="380" t="s">
        <v>29</v>
      </c>
      <c r="O31" s="272"/>
      <c r="P31" s="371" t="s">
        <v>29</v>
      </c>
      <c r="Q31" s="261"/>
    </row>
    <row r="32" spans="1:26" ht="18" customHeight="1" x14ac:dyDescent="0.2">
      <c r="H32" s="178" t="s">
        <v>67</v>
      </c>
      <c r="I32" s="167"/>
      <c r="J32" s="354" t="s">
        <v>29</v>
      </c>
      <c r="K32" s="336"/>
      <c r="L32" s="372" t="s">
        <v>29</v>
      </c>
      <c r="M32" s="336"/>
      <c r="N32" s="380" t="s">
        <v>29</v>
      </c>
      <c r="O32" s="272"/>
      <c r="P32" s="371" t="s">
        <v>29</v>
      </c>
      <c r="Q32" s="261"/>
    </row>
    <row r="33" spans="8:17" ht="18" customHeight="1" x14ac:dyDescent="0.2">
      <c r="H33" s="178" t="s">
        <v>68</v>
      </c>
      <c r="I33" s="167"/>
      <c r="J33" s="354" t="s">
        <v>29</v>
      </c>
      <c r="K33" s="336"/>
      <c r="L33" s="372" t="s">
        <v>29</v>
      </c>
      <c r="M33" s="336"/>
      <c r="N33" s="380" t="s">
        <v>29</v>
      </c>
      <c r="O33" s="272"/>
      <c r="P33" s="371" t="s">
        <v>29</v>
      </c>
      <c r="Q33" s="261"/>
    </row>
    <row r="34" spans="8:17" ht="18" customHeight="1" x14ac:dyDescent="0.2">
      <c r="H34" s="178" t="s">
        <v>86</v>
      </c>
      <c r="I34" s="167"/>
      <c r="J34" s="354" t="s">
        <v>29</v>
      </c>
      <c r="K34" s="336"/>
      <c r="L34" s="372" t="s">
        <v>29</v>
      </c>
      <c r="M34" s="336"/>
      <c r="N34" s="380" t="s">
        <v>29</v>
      </c>
      <c r="O34" s="272"/>
      <c r="P34" s="371" t="s">
        <v>29</v>
      </c>
      <c r="Q34" s="261"/>
    </row>
    <row r="35" spans="8:17" ht="18" customHeight="1" x14ac:dyDescent="0.2">
      <c r="H35" s="178" t="s">
        <v>88</v>
      </c>
      <c r="I35" s="167"/>
      <c r="J35" s="354" t="s">
        <v>29</v>
      </c>
      <c r="K35" s="336"/>
      <c r="L35" s="372" t="s">
        <v>29</v>
      </c>
      <c r="M35" s="336"/>
      <c r="N35" s="380" t="s">
        <v>29</v>
      </c>
      <c r="O35" s="272"/>
      <c r="P35" s="371" t="s">
        <v>29</v>
      </c>
      <c r="Q35" s="261"/>
    </row>
    <row r="36" spans="8:17" ht="18" customHeight="1" x14ac:dyDescent="0.2">
      <c r="H36" s="176" t="s">
        <v>414</v>
      </c>
      <c r="I36" s="166">
        <v>41859</v>
      </c>
      <c r="J36" s="364">
        <v>23</v>
      </c>
      <c r="K36" s="336"/>
      <c r="L36" s="364" t="s">
        <v>410</v>
      </c>
      <c r="M36" s="336"/>
      <c r="N36" s="364" t="s">
        <v>410</v>
      </c>
      <c r="O36" s="272"/>
      <c r="P36" s="365" t="s">
        <v>410</v>
      </c>
      <c r="Q36" s="261"/>
    </row>
    <row r="37" spans="8:17" ht="18" customHeight="1" x14ac:dyDescent="0.2">
      <c r="H37" s="178" t="s">
        <v>415</v>
      </c>
      <c r="I37" s="166">
        <v>41859</v>
      </c>
      <c r="J37" s="357">
        <v>548</v>
      </c>
      <c r="K37" s="336"/>
      <c r="L37" s="356" t="s">
        <v>410</v>
      </c>
      <c r="M37" s="336"/>
      <c r="N37" s="366" t="s">
        <v>410</v>
      </c>
      <c r="O37" s="272"/>
      <c r="P37" s="367" t="s">
        <v>410</v>
      </c>
      <c r="Q37" s="261"/>
    </row>
    <row r="38" spans="8:17" ht="18" customHeight="1" x14ac:dyDescent="0.2">
      <c r="H38" s="178" t="s">
        <v>83</v>
      </c>
      <c r="I38" s="179"/>
      <c r="J38" s="357" t="s">
        <v>369</v>
      </c>
      <c r="K38" s="336"/>
      <c r="L38" s="371" t="s">
        <v>29</v>
      </c>
      <c r="M38" s="261"/>
      <c r="N38" s="380" t="s">
        <v>29</v>
      </c>
      <c r="O38" s="272"/>
      <c r="P38" s="371" t="s">
        <v>29</v>
      </c>
      <c r="Q38" s="261"/>
    </row>
    <row r="39" spans="8:17" ht="18" customHeight="1" x14ac:dyDescent="0.2">
      <c r="H39" s="178" t="s">
        <v>67</v>
      </c>
      <c r="I39" s="167"/>
      <c r="J39" s="354" t="s">
        <v>29</v>
      </c>
      <c r="K39" s="336"/>
      <c r="L39" s="372" t="s">
        <v>29</v>
      </c>
      <c r="M39" s="336"/>
      <c r="N39" s="380" t="s">
        <v>29</v>
      </c>
      <c r="O39" s="272"/>
      <c r="P39" s="371" t="s">
        <v>29</v>
      </c>
      <c r="Q39" s="261"/>
    </row>
    <row r="40" spans="8:17" ht="18" customHeight="1" x14ac:dyDescent="0.2">
      <c r="H40" s="178" t="s">
        <v>68</v>
      </c>
      <c r="I40" s="167"/>
      <c r="J40" s="354" t="s">
        <v>29</v>
      </c>
      <c r="K40" s="336"/>
      <c r="L40" s="372" t="s">
        <v>29</v>
      </c>
      <c r="M40" s="336"/>
      <c r="N40" s="380" t="s">
        <v>29</v>
      </c>
      <c r="O40" s="272"/>
      <c r="P40" s="371" t="s">
        <v>29</v>
      </c>
      <c r="Q40" s="261"/>
    </row>
    <row r="41" spans="8:17" ht="18" customHeight="1" x14ac:dyDescent="0.2">
      <c r="H41" s="178" t="s">
        <v>86</v>
      </c>
      <c r="I41" s="167"/>
      <c r="J41" s="354" t="s">
        <v>29</v>
      </c>
      <c r="K41" s="336"/>
      <c r="L41" s="372" t="s">
        <v>29</v>
      </c>
      <c r="M41" s="336"/>
      <c r="N41" s="380" t="s">
        <v>29</v>
      </c>
      <c r="O41" s="272"/>
      <c r="P41" s="371" t="s">
        <v>29</v>
      </c>
      <c r="Q41" s="261"/>
    </row>
    <row r="42" spans="8:17" ht="18" customHeight="1" x14ac:dyDescent="0.2">
      <c r="H42" s="178" t="s">
        <v>88</v>
      </c>
      <c r="I42" s="167"/>
      <c r="J42" s="354" t="s">
        <v>29</v>
      </c>
      <c r="K42" s="336"/>
      <c r="L42" s="372" t="s">
        <v>29</v>
      </c>
      <c r="M42" s="336"/>
      <c r="N42" s="380" t="s">
        <v>29</v>
      </c>
      <c r="O42" s="272"/>
      <c r="P42" s="371" t="s">
        <v>29</v>
      </c>
      <c r="Q42" s="261"/>
    </row>
    <row r="43" spans="8:17" ht="18" customHeight="1" x14ac:dyDescent="0.2">
      <c r="H43" s="176" t="s">
        <v>414</v>
      </c>
      <c r="I43" s="166">
        <v>41865</v>
      </c>
      <c r="J43" s="364">
        <v>29</v>
      </c>
      <c r="K43" s="336"/>
      <c r="L43" s="364" t="s">
        <v>410</v>
      </c>
      <c r="M43" s="336"/>
      <c r="N43" s="364" t="s">
        <v>410</v>
      </c>
      <c r="O43" s="272"/>
      <c r="P43" s="365" t="s">
        <v>410</v>
      </c>
      <c r="Q43" s="261"/>
    </row>
    <row r="44" spans="8:17" ht="18" customHeight="1" x14ac:dyDescent="0.2">
      <c r="H44" s="178" t="s">
        <v>415</v>
      </c>
      <c r="I44" s="166">
        <v>41865</v>
      </c>
      <c r="J44" s="357">
        <v>710</v>
      </c>
      <c r="K44" s="336"/>
      <c r="L44" s="356" t="s">
        <v>410</v>
      </c>
      <c r="M44" s="336"/>
      <c r="N44" s="366" t="s">
        <v>410</v>
      </c>
      <c r="O44" s="272"/>
      <c r="P44" s="367" t="s">
        <v>410</v>
      </c>
      <c r="Q44" s="261"/>
    </row>
    <row r="45" spans="8:17" ht="18" customHeight="1" x14ac:dyDescent="0.2">
      <c r="H45" s="178" t="s">
        <v>83</v>
      </c>
      <c r="I45" s="167"/>
      <c r="J45" s="372" t="s">
        <v>29</v>
      </c>
      <c r="K45" s="336"/>
      <c r="L45" s="371" t="s">
        <v>29</v>
      </c>
      <c r="M45" s="261"/>
      <c r="N45" s="380" t="s">
        <v>29</v>
      </c>
      <c r="O45" s="272"/>
      <c r="P45" s="371" t="s">
        <v>29</v>
      </c>
      <c r="Q45" s="261"/>
    </row>
    <row r="46" spans="8:17" ht="18" customHeight="1" x14ac:dyDescent="0.2">
      <c r="H46" s="178" t="s">
        <v>67</v>
      </c>
      <c r="I46" s="167"/>
      <c r="J46" s="354" t="s">
        <v>29</v>
      </c>
      <c r="K46" s="336"/>
      <c r="L46" s="372" t="s">
        <v>29</v>
      </c>
      <c r="M46" s="336"/>
      <c r="N46" s="380" t="s">
        <v>29</v>
      </c>
      <c r="O46" s="272"/>
      <c r="P46" s="371" t="s">
        <v>29</v>
      </c>
      <c r="Q46" s="261"/>
    </row>
    <row r="47" spans="8:17" ht="18" customHeight="1" x14ac:dyDescent="0.2">
      <c r="H47" s="178" t="s">
        <v>68</v>
      </c>
      <c r="I47" s="167"/>
      <c r="J47" s="354" t="s">
        <v>29</v>
      </c>
      <c r="K47" s="336"/>
      <c r="L47" s="372" t="s">
        <v>29</v>
      </c>
      <c r="M47" s="336"/>
      <c r="N47" s="380" t="s">
        <v>29</v>
      </c>
      <c r="O47" s="272"/>
      <c r="P47" s="371" t="s">
        <v>29</v>
      </c>
      <c r="Q47" s="261"/>
    </row>
    <row r="48" spans="8:17" ht="18" customHeight="1" x14ac:dyDescent="0.2">
      <c r="H48" s="178" t="s">
        <v>86</v>
      </c>
      <c r="I48" s="167"/>
      <c r="J48" s="354" t="s">
        <v>29</v>
      </c>
      <c r="K48" s="336"/>
      <c r="L48" s="372" t="s">
        <v>29</v>
      </c>
      <c r="M48" s="336"/>
      <c r="N48" s="380" t="s">
        <v>29</v>
      </c>
      <c r="O48" s="272"/>
      <c r="P48" s="371" t="s">
        <v>29</v>
      </c>
      <c r="Q48" s="261"/>
    </row>
    <row r="49" spans="8:17" ht="18" customHeight="1" x14ac:dyDescent="0.2">
      <c r="H49" s="178" t="s">
        <v>88</v>
      </c>
      <c r="I49" s="167"/>
      <c r="J49" s="354" t="s">
        <v>29</v>
      </c>
      <c r="K49" s="336"/>
      <c r="L49" s="372" t="s">
        <v>29</v>
      </c>
      <c r="M49" s="336"/>
      <c r="N49" s="380" t="s">
        <v>29</v>
      </c>
      <c r="O49" s="272"/>
      <c r="P49" s="371" t="s">
        <v>29</v>
      </c>
      <c r="Q49" s="261"/>
    </row>
  </sheetData>
  <mergeCells count="212">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8:B28"/>
    <mergeCell ref="J28:K28"/>
    <mergeCell ref="L28:M28"/>
    <mergeCell ref="N28:O28"/>
    <mergeCell ref="P28:Q28"/>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23:B23"/>
    <mergeCell ref="J23:K23"/>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Z28"/>
    <mergeCell ref="J17:K17"/>
    <mergeCell ref="L17:M17"/>
    <mergeCell ref="N17:O17"/>
    <mergeCell ref="P17:Q17"/>
    <mergeCell ref="L23:M23"/>
    <mergeCell ref="N23:O23"/>
    <mergeCell ref="P23:Q23"/>
    <mergeCell ref="J14:K14"/>
    <mergeCell ref="L14:M14"/>
    <mergeCell ref="N14:O14"/>
    <mergeCell ref="P14:Q14"/>
    <mergeCell ref="R14:Z15"/>
    <mergeCell ref="J15:K15"/>
    <mergeCell ref="L15:M15"/>
    <mergeCell ref="N15:O15"/>
    <mergeCell ref="P15:Q15"/>
    <mergeCell ref="J13:K13"/>
    <mergeCell ref="L13:M13"/>
    <mergeCell ref="N13:O13"/>
    <mergeCell ref="P13:Q13"/>
    <mergeCell ref="U13:W13"/>
    <mergeCell ref="X13:Z13"/>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7:K7"/>
    <mergeCell ref="L7:M7"/>
    <mergeCell ref="N7:O7"/>
    <mergeCell ref="P7:Q7"/>
    <mergeCell ref="S7:Z7"/>
    <mergeCell ref="J9:K9"/>
    <mergeCell ref="L9:M9"/>
    <mergeCell ref="N9:O9"/>
    <mergeCell ref="P9:Q9"/>
    <mergeCell ref="U9:W9"/>
    <mergeCell ref="X9:Z9"/>
    <mergeCell ref="J8:K8"/>
    <mergeCell ref="L8:M8"/>
    <mergeCell ref="N8:O8"/>
    <mergeCell ref="P8:Q8"/>
    <mergeCell ref="U8:W8"/>
    <mergeCell ref="X8:Z8"/>
    <mergeCell ref="I1:J1"/>
    <mergeCell ref="K1:O1"/>
    <mergeCell ref="P1:Q1"/>
    <mergeCell ref="R1:S1"/>
    <mergeCell ref="L2:M2"/>
    <mergeCell ref="Q2:R2"/>
    <mergeCell ref="Y2:Z2"/>
    <mergeCell ref="L5:M5"/>
    <mergeCell ref="Q5:R5"/>
    <mergeCell ref="Y5:Z5"/>
    <mergeCell ref="J29:K29"/>
    <mergeCell ref="L29:M29"/>
    <mergeCell ref="N29:O29"/>
    <mergeCell ref="P29:Q29"/>
    <mergeCell ref="J30:K30"/>
    <mergeCell ref="L30:M30"/>
    <mergeCell ref="N30:O30"/>
    <mergeCell ref="P30:Q30"/>
    <mergeCell ref="J31:K31"/>
    <mergeCell ref="L31:M31"/>
    <mergeCell ref="N31:O31"/>
    <mergeCell ref="P31:Q31"/>
    <mergeCell ref="J32:K32"/>
    <mergeCell ref="L32:M32"/>
    <mergeCell ref="N32:O32"/>
    <mergeCell ref="P32:Q32"/>
    <mergeCell ref="J33:K33"/>
    <mergeCell ref="L33:M33"/>
    <mergeCell ref="N33:O33"/>
    <mergeCell ref="P33:Q33"/>
    <mergeCell ref="J34:K34"/>
    <mergeCell ref="L34:M34"/>
    <mergeCell ref="N34:O34"/>
    <mergeCell ref="P34:Q34"/>
    <mergeCell ref="J35:K35"/>
    <mergeCell ref="L35:M35"/>
    <mergeCell ref="N35:O35"/>
    <mergeCell ref="P35:Q35"/>
    <mergeCell ref="J36:K36"/>
    <mergeCell ref="L36:M36"/>
    <mergeCell ref="N36:O36"/>
    <mergeCell ref="P36:Q36"/>
    <mergeCell ref="J37:K37"/>
    <mergeCell ref="L37:M37"/>
    <mergeCell ref="N37:O37"/>
    <mergeCell ref="P37:Q37"/>
    <mergeCell ref="J38:K38"/>
    <mergeCell ref="L38:M38"/>
    <mergeCell ref="N38:O38"/>
    <mergeCell ref="P38:Q38"/>
    <mergeCell ref="J39:K39"/>
    <mergeCell ref="L39:M39"/>
    <mergeCell ref="N39:O39"/>
    <mergeCell ref="P39:Q39"/>
    <mergeCell ref="J40:K40"/>
    <mergeCell ref="L40:M40"/>
    <mergeCell ref="N40:O40"/>
    <mergeCell ref="P40:Q40"/>
    <mergeCell ref="J41:K41"/>
    <mergeCell ref="L41:M41"/>
    <mergeCell ref="N41:O41"/>
    <mergeCell ref="P41:Q41"/>
    <mergeCell ref="J42:K42"/>
    <mergeCell ref="L42:M42"/>
    <mergeCell ref="N42:O42"/>
    <mergeCell ref="P42:Q42"/>
    <mergeCell ref="J43:K43"/>
    <mergeCell ref="L43:M43"/>
    <mergeCell ref="N43:O43"/>
    <mergeCell ref="P43:Q43"/>
    <mergeCell ref="J44:K44"/>
    <mergeCell ref="L44:M44"/>
    <mergeCell ref="N44:O44"/>
    <mergeCell ref="P44:Q44"/>
    <mergeCell ref="J45:K45"/>
    <mergeCell ref="L45:M45"/>
    <mergeCell ref="N45:O45"/>
    <mergeCell ref="P45:Q45"/>
    <mergeCell ref="J46:K46"/>
    <mergeCell ref="L46:M46"/>
    <mergeCell ref="N46:O46"/>
    <mergeCell ref="P46:Q46"/>
    <mergeCell ref="J47:K47"/>
    <mergeCell ref="L47:M47"/>
    <mergeCell ref="N47:O47"/>
    <mergeCell ref="P47:Q47"/>
    <mergeCell ref="J48:K48"/>
    <mergeCell ref="L48:M48"/>
    <mergeCell ref="N48:O48"/>
    <mergeCell ref="P48:Q48"/>
    <mergeCell ref="J49:K49"/>
    <mergeCell ref="L49:M49"/>
    <mergeCell ref="N49:O49"/>
    <mergeCell ref="P49:Q49"/>
  </mergeCells>
  <pageMargins left="0.7" right="0.7" top="0.75" bottom="0.75" header="0.3" footer="0.3"/>
  <pageSetup orientation="portrait" horizontalDpi="4294967295" verticalDpi="4294967295"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XFD1048576"/>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36</v>
      </c>
      <c r="G1" s="226" t="s">
        <v>3</v>
      </c>
      <c r="H1" s="216"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163</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6"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6"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6"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6"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6"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6"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6"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6"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6"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6"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6" ht="15.75" customHeight="1" x14ac:dyDescent="0.2">
      <c r="A28" s="219"/>
      <c r="B28" s="180"/>
      <c r="C28" s="181"/>
      <c r="D28" s="181"/>
      <c r="E28" s="181"/>
      <c r="F28" s="181"/>
      <c r="G28" s="181"/>
      <c r="H28" s="252"/>
      <c r="I28" s="181"/>
      <c r="J28" s="181"/>
      <c r="K28" s="181"/>
      <c r="L28" s="181"/>
      <c r="M28" s="181"/>
      <c r="N28" s="181"/>
      <c r="O28" s="181"/>
      <c r="P28" s="252"/>
      <c r="Q28" s="252"/>
      <c r="R28" s="182"/>
      <c r="S28" s="181"/>
      <c r="T28" s="181"/>
      <c r="U28" s="181"/>
      <c r="V28" s="181"/>
      <c r="W28" s="181"/>
      <c r="X28" s="181"/>
      <c r="Y28" s="181"/>
      <c r="Z28" s="181"/>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37</v>
      </c>
      <c r="G1" s="226" t="s">
        <v>3</v>
      </c>
      <c r="H1" s="216"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404</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38</v>
      </c>
      <c r="G1" s="226" t="s">
        <v>3</v>
      </c>
      <c r="H1" s="216" t="s">
        <v>4</v>
      </c>
      <c r="I1" s="329" t="s">
        <v>5</v>
      </c>
      <c r="J1" s="261"/>
      <c r="K1" s="262" t="s">
        <v>210</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207</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9"/>
  <sheetViews>
    <sheetView workbookViewId="0">
      <selection sqref="A1:AG28"/>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7109375" style="25" bestFit="1"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6.42578125" style="25" bestFit="1" customWidth="1"/>
    <col min="28" max="29" width="11.85546875" style="25"/>
    <col min="30" max="30" width="12.5703125" style="25" customWidth="1"/>
    <col min="31" max="16384" width="11.85546875" style="25"/>
  </cols>
  <sheetData>
    <row r="1" spans="1:33" ht="12.75" x14ac:dyDescent="0.2">
      <c r="A1" s="132" t="s">
        <v>0</v>
      </c>
      <c r="B1" s="216">
        <v>2014</v>
      </c>
      <c r="C1" s="132" t="s">
        <v>1</v>
      </c>
      <c r="D1" s="216"/>
      <c r="E1" s="132" t="s">
        <v>2</v>
      </c>
      <c r="F1" s="216">
        <v>39</v>
      </c>
      <c r="G1" s="226" t="s">
        <v>3</v>
      </c>
      <c r="H1" s="216" t="s">
        <v>4</v>
      </c>
      <c r="I1" s="329" t="s">
        <v>5</v>
      </c>
      <c r="J1" s="261"/>
      <c r="K1" s="460" t="s">
        <v>320</v>
      </c>
      <c r="L1" s="461"/>
      <c r="M1" s="461"/>
      <c r="N1" s="461"/>
      <c r="O1" s="461"/>
      <c r="P1" s="333" t="s">
        <v>6</v>
      </c>
      <c r="Q1" s="261"/>
      <c r="R1" s="334"/>
      <c r="S1" s="272"/>
      <c r="T1" s="135"/>
      <c r="U1" s="135"/>
      <c r="V1" s="135"/>
      <c r="W1" s="135"/>
      <c r="X1" s="135"/>
      <c r="Y1" s="135"/>
      <c r="Z1" s="136"/>
    </row>
    <row r="2" spans="1:33"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c r="AE2" s="95" t="s">
        <v>346</v>
      </c>
      <c r="AF2" s="95" t="s">
        <v>347</v>
      </c>
      <c r="AG2" s="95" t="s">
        <v>348</v>
      </c>
    </row>
    <row r="3" spans="1:33" ht="15.75" customHeight="1" x14ac:dyDescent="0.2">
      <c r="A3" s="71" t="s">
        <v>103</v>
      </c>
      <c r="B3" s="144">
        <v>41779</v>
      </c>
      <c r="C3" s="71" t="s">
        <v>108</v>
      </c>
      <c r="D3" s="71" t="s">
        <v>29</v>
      </c>
      <c r="E3" s="71">
        <v>220609875</v>
      </c>
      <c r="F3" s="71" t="s">
        <v>183</v>
      </c>
      <c r="G3" s="71" t="s">
        <v>215</v>
      </c>
      <c r="H3" s="71" t="s">
        <v>29</v>
      </c>
      <c r="I3" s="71" t="s">
        <v>29</v>
      </c>
      <c r="J3" s="71">
        <v>567</v>
      </c>
      <c r="K3" s="71">
        <v>5</v>
      </c>
      <c r="L3" s="141" t="s">
        <v>29</v>
      </c>
      <c r="M3" s="141" t="s">
        <v>29</v>
      </c>
      <c r="N3" s="71">
        <v>320</v>
      </c>
      <c r="O3" s="71">
        <v>159</v>
      </c>
      <c r="P3" s="142" t="s">
        <v>29</v>
      </c>
      <c r="Q3" s="142" t="s">
        <v>29</v>
      </c>
      <c r="R3" s="142" t="s">
        <v>29</v>
      </c>
      <c r="S3" s="142" t="s">
        <v>29</v>
      </c>
      <c r="T3" s="142" t="s">
        <v>29</v>
      </c>
      <c r="U3" s="71" t="s">
        <v>106</v>
      </c>
      <c r="V3" s="71" t="s">
        <v>110</v>
      </c>
      <c r="W3" s="71" t="s">
        <v>111</v>
      </c>
      <c r="X3" s="142" t="s">
        <v>29</v>
      </c>
      <c r="Y3" s="143" t="s">
        <v>29</v>
      </c>
      <c r="Z3" s="143" t="s">
        <v>29</v>
      </c>
      <c r="AA3" s="66" t="s">
        <v>112</v>
      </c>
      <c r="AB3" s="69" t="s">
        <v>205</v>
      </c>
      <c r="AC3" s="96"/>
      <c r="AD3" s="96"/>
      <c r="AE3" s="69" t="s">
        <v>216</v>
      </c>
      <c r="AF3" s="96">
        <v>50</v>
      </c>
      <c r="AG3" s="96">
        <v>4.5999999999999996</v>
      </c>
    </row>
    <row r="4" spans="1:33" ht="15.75" customHeight="1" x14ac:dyDescent="0.2">
      <c r="A4" s="71" t="s">
        <v>103</v>
      </c>
      <c r="B4" s="144">
        <v>41808</v>
      </c>
      <c r="C4" s="71"/>
      <c r="D4" s="71"/>
      <c r="E4" s="71"/>
      <c r="F4" s="71" t="s">
        <v>183</v>
      </c>
      <c r="G4" s="71" t="s">
        <v>274</v>
      </c>
      <c r="H4" s="71" t="s">
        <v>228</v>
      </c>
      <c r="I4" s="71"/>
      <c r="J4" s="71"/>
      <c r="K4" s="71"/>
      <c r="L4" s="192"/>
      <c r="M4" s="193"/>
      <c r="N4" s="71"/>
      <c r="O4" s="71"/>
      <c r="P4" s="142"/>
      <c r="Q4" s="222"/>
      <c r="R4" s="232"/>
      <c r="S4" s="142"/>
      <c r="T4" s="142"/>
      <c r="U4" s="71"/>
      <c r="V4" s="71"/>
      <c r="W4" s="71"/>
      <c r="X4" s="142"/>
      <c r="Y4" s="195"/>
      <c r="Z4" s="196"/>
      <c r="AA4" s="66"/>
      <c r="AB4" s="96"/>
      <c r="AC4" s="96"/>
      <c r="AD4" s="69" t="s">
        <v>205</v>
      </c>
      <c r="AE4" s="96"/>
      <c r="AF4" s="96"/>
      <c r="AG4" s="96"/>
    </row>
    <row r="5" spans="1:33" ht="27.75" customHeight="1" x14ac:dyDescent="0.2">
      <c r="A5" s="68" t="s">
        <v>30</v>
      </c>
      <c r="B5" s="139" t="s">
        <v>9</v>
      </c>
      <c r="C5" s="139" t="s">
        <v>10</v>
      </c>
      <c r="D5" s="139" t="s">
        <v>11</v>
      </c>
      <c r="E5" s="139" t="s">
        <v>12</v>
      </c>
      <c r="F5" s="139" t="s">
        <v>13</v>
      </c>
      <c r="G5" s="139" t="s">
        <v>14</v>
      </c>
      <c r="H5" s="139" t="s">
        <v>15</v>
      </c>
      <c r="I5" s="139" t="s">
        <v>16</v>
      </c>
      <c r="J5" s="139" t="s">
        <v>31</v>
      </c>
      <c r="K5" s="139" t="s">
        <v>32</v>
      </c>
      <c r="L5" s="338" t="s">
        <v>19</v>
      </c>
      <c r="M5" s="336"/>
      <c r="N5" s="139" t="s">
        <v>20</v>
      </c>
      <c r="O5" s="139" t="s">
        <v>21</v>
      </c>
      <c r="P5" s="139" t="s">
        <v>22</v>
      </c>
      <c r="Q5" s="338" t="s">
        <v>23</v>
      </c>
      <c r="R5" s="336"/>
      <c r="S5" s="139" t="s">
        <v>24</v>
      </c>
      <c r="T5" s="139" t="s">
        <v>25</v>
      </c>
      <c r="U5" s="139" t="s">
        <v>26</v>
      </c>
      <c r="V5" s="139" t="s">
        <v>92</v>
      </c>
      <c r="W5" s="139" t="s">
        <v>93</v>
      </c>
      <c r="X5" s="139" t="s">
        <v>27</v>
      </c>
      <c r="Y5" s="338" t="s">
        <v>28</v>
      </c>
      <c r="Z5" s="272"/>
      <c r="AA5" s="31" t="s">
        <v>89</v>
      </c>
      <c r="AB5" s="31" t="s">
        <v>91</v>
      </c>
      <c r="AC5" s="32" t="s">
        <v>90</v>
      </c>
      <c r="AD5" s="31" t="s">
        <v>95</v>
      </c>
      <c r="AE5" s="96"/>
      <c r="AF5" s="96"/>
      <c r="AG5" s="96"/>
    </row>
    <row r="6" spans="1:33" ht="15.75" customHeight="1" x14ac:dyDescent="0.2">
      <c r="A6" s="71" t="s">
        <v>103</v>
      </c>
      <c r="B6" s="144">
        <v>41808</v>
      </c>
      <c r="C6" s="71" t="s">
        <v>29</v>
      </c>
      <c r="D6" s="71" t="s">
        <v>29</v>
      </c>
      <c r="E6" s="71" t="s">
        <v>29</v>
      </c>
      <c r="F6" s="71" t="s">
        <v>275</v>
      </c>
      <c r="G6" s="71" t="s">
        <v>227</v>
      </c>
      <c r="H6" s="71" t="s">
        <v>228</v>
      </c>
      <c r="I6" s="80" t="s">
        <v>29</v>
      </c>
      <c r="J6" s="80" t="s">
        <v>29</v>
      </c>
      <c r="K6" s="80" t="s">
        <v>29</v>
      </c>
      <c r="L6" s="91" t="s">
        <v>29</v>
      </c>
      <c r="M6" s="91" t="s">
        <v>29</v>
      </c>
      <c r="N6" s="80" t="s">
        <v>29</v>
      </c>
      <c r="O6" s="80" t="s">
        <v>29</v>
      </c>
      <c r="P6" s="145" t="s">
        <v>29</v>
      </c>
      <c r="Q6" s="145" t="s">
        <v>29</v>
      </c>
      <c r="R6" s="142" t="s">
        <v>29</v>
      </c>
      <c r="S6" s="142" t="s">
        <v>29</v>
      </c>
      <c r="T6" s="142" t="s">
        <v>29</v>
      </c>
      <c r="U6" s="71" t="s">
        <v>29</v>
      </c>
      <c r="V6" s="71" t="s">
        <v>29</v>
      </c>
      <c r="W6" s="71" t="s">
        <v>29</v>
      </c>
      <c r="X6" s="142" t="s">
        <v>29</v>
      </c>
      <c r="Y6" s="142" t="s">
        <v>29</v>
      </c>
      <c r="Z6" s="142" t="s">
        <v>29</v>
      </c>
      <c r="AD6" s="69" t="s">
        <v>205</v>
      </c>
      <c r="AE6" s="96"/>
      <c r="AF6" s="96"/>
      <c r="AG6" s="96"/>
    </row>
    <row r="7" spans="1:33" ht="16.5" customHeight="1" x14ac:dyDescent="0.2">
      <c r="A7" s="149" t="s">
        <v>33</v>
      </c>
      <c r="B7" s="139" t="s">
        <v>9</v>
      </c>
      <c r="C7" s="228" t="s">
        <v>34</v>
      </c>
      <c r="D7" s="228" t="s">
        <v>35</v>
      </c>
      <c r="E7" s="228" t="s">
        <v>36</v>
      </c>
      <c r="F7" s="228" t="s">
        <v>37</v>
      </c>
      <c r="G7" s="228" t="s">
        <v>38</v>
      </c>
      <c r="H7" s="190" t="s">
        <v>39</v>
      </c>
      <c r="I7" s="227" t="s">
        <v>9</v>
      </c>
      <c r="J7" s="339" t="s">
        <v>40</v>
      </c>
      <c r="K7" s="339"/>
      <c r="L7" s="339" t="s">
        <v>41</v>
      </c>
      <c r="M7" s="339"/>
      <c r="N7" s="339" t="s">
        <v>42</v>
      </c>
      <c r="O7" s="339"/>
      <c r="P7" s="339" t="s">
        <v>43</v>
      </c>
      <c r="Q7" s="339"/>
      <c r="R7" s="35"/>
      <c r="S7" s="340" t="s">
        <v>44</v>
      </c>
      <c r="T7" s="275"/>
      <c r="U7" s="275"/>
      <c r="V7" s="275"/>
      <c r="W7" s="275"/>
      <c r="X7" s="275"/>
      <c r="Y7" s="275"/>
      <c r="Z7" s="336"/>
    </row>
    <row r="8" spans="1:33" ht="15.75" customHeight="1" x14ac:dyDescent="0.2">
      <c r="A8" s="154" t="s">
        <v>45</v>
      </c>
      <c r="B8" s="142"/>
      <c r="C8" s="155">
        <v>41795</v>
      </c>
      <c r="D8" s="155">
        <v>41797</v>
      </c>
      <c r="E8" s="155">
        <v>41799</v>
      </c>
      <c r="F8" s="155">
        <v>41801</v>
      </c>
      <c r="G8" s="156">
        <f>AVERAGE(C8:F8)</f>
        <v>41798</v>
      </c>
      <c r="H8" s="157" t="s">
        <v>46</v>
      </c>
      <c r="I8" s="158"/>
      <c r="J8" s="276" t="s">
        <v>29</v>
      </c>
      <c r="K8" s="267"/>
      <c r="L8" s="346" t="s">
        <v>29</v>
      </c>
      <c r="M8" s="267"/>
      <c r="N8" s="346" t="s">
        <v>29</v>
      </c>
      <c r="O8" s="267"/>
      <c r="P8" s="347" t="s">
        <v>29</v>
      </c>
      <c r="Q8" s="267"/>
      <c r="R8" s="159" t="s">
        <v>47</v>
      </c>
      <c r="S8" s="160"/>
      <c r="T8" s="224" t="s">
        <v>29</v>
      </c>
      <c r="U8" s="348" t="s">
        <v>48</v>
      </c>
      <c r="V8" s="348"/>
      <c r="W8" s="348"/>
      <c r="X8" s="349" t="s">
        <v>29</v>
      </c>
      <c r="Y8" s="350"/>
      <c r="Z8" s="351"/>
    </row>
    <row r="9" spans="1:33" ht="15.75" customHeight="1" x14ac:dyDescent="0.2">
      <c r="A9" s="161" t="s">
        <v>49</v>
      </c>
      <c r="B9" s="142" t="s">
        <v>29</v>
      </c>
      <c r="C9" s="142" t="s">
        <v>29</v>
      </c>
      <c r="D9" s="142" t="s">
        <v>29</v>
      </c>
      <c r="E9" s="142" t="s">
        <v>29</v>
      </c>
      <c r="F9" s="142" t="s">
        <v>29</v>
      </c>
      <c r="G9" s="228"/>
      <c r="H9" s="157" t="s">
        <v>50</v>
      </c>
      <c r="I9" s="163">
        <v>40756</v>
      </c>
      <c r="J9" s="341">
        <f>IF(((I9-C17)&gt;0),(I9-C17),"/")</f>
        <v>40756</v>
      </c>
      <c r="K9" s="336"/>
      <c r="L9" s="341">
        <f>IF(((I9-D17)&gt;0),(I9-D17),"/")</f>
        <v>40756</v>
      </c>
      <c r="M9" s="336"/>
      <c r="N9" s="341">
        <f>IF(((I9-E17)&gt;0),(I9-E17),"/")</f>
        <v>40756</v>
      </c>
      <c r="O9" s="336"/>
      <c r="P9" s="341">
        <f>IF(((I9-F17)&gt;0),(I9-F17),"/")</f>
        <v>40756</v>
      </c>
      <c r="Q9" s="336"/>
      <c r="R9" s="164" t="s">
        <v>51</v>
      </c>
      <c r="S9" s="165"/>
      <c r="T9" s="224" t="s">
        <v>29</v>
      </c>
      <c r="U9" s="342" t="s">
        <v>52</v>
      </c>
      <c r="V9" s="342"/>
      <c r="W9" s="342"/>
      <c r="X9" s="343" t="s">
        <v>29</v>
      </c>
      <c r="Y9" s="344"/>
      <c r="Z9" s="345"/>
    </row>
    <row r="10" spans="1:33" ht="15.75" customHeight="1" x14ac:dyDescent="0.2">
      <c r="A10" s="161" t="s">
        <v>49</v>
      </c>
      <c r="B10" s="142" t="s">
        <v>29</v>
      </c>
      <c r="C10" s="142" t="s">
        <v>29</v>
      </c>
      <c r="D10" s="142" t="s">
        <v>29</v>
      </c>
      <c r="E10" s="142" t="s">
        <v>29</v>
      </c>
      <c r="F10" s="142" t="s">
        <v>29</v>
      </c>
      <c r="G10" s="228"/>
      <c r="H10" s="157" t="s">
        <v>53</v>
      </c>
      <c r="I10" s="179"/>
      <c r="J10" s="355" t="s">
        <v>29</v>
      </c>
      <c r="K10" s="336"/>
      <c r="L10" s="356" t="s">
        <v>29</v>
      </c>
      <c r="M10" s="336"/>
      <c r="N10" s="356" t="s">
        <v>29</v>
      </c>
      <c r="O10" s="336"/>
      <c r="P10" s="357" t="s">
        <v>29</v>
      </c>
      <c r="Q10" s="336"/>
      <c r="R10" s="164" t="s">
        <v>54</v>
      </c>
      <c r="S10" s="165"/>
      <c r="T10" s="224" t="s">
        <v>29</v>
      </c>
      <c r="U10" s="342" t="s">
        <v>55</v>
      </c>
      <c r="V10" s="342"/>
      <c r="W10" s="342"/>
      <c r="X10" s="343" t="s">
        <v>29</v>
      </c>
      <c r="Y10" s="344"/>
      <c r="Z10" s="345"/>
    </row>
    <row r="11" spans="1:33" ht="15" customHeight="1" x14ac:dyDescent="0.2">
      <c r="A11" s="161" t="s">
        <v>49</v>
      </c>
      <c r="B11" s="142" t="s">
        <v>29</v>
      </c>
      <c r="C11" s="142" t="s">
        <v>29</v>
      </c>
      <c r="D11" s="142" t="s">
        <v>29</v>
      </c>
      <c r="E11" s="142" t="s">
        <v>29</v>
      </c>
      <c r="F11" s="142" t="s">
        <v>29</v>
      </c>
      <c r="G11" s="228"/>
      <c r="H11" s="157" t="s">
        <v>56</v>
      </c>
      <c r="I11" s="167"/>
      <c r="J11" s="352" t="s">
        <v>29</v>
      </c>
      <c r="K11" s="336"/>
      <c r="L11" s="353" t="s">
        <v>29</v>
      </c>
      <c r="M11" s="336"/>
      <c r="N11" s="353" t="s">
        <v>29</v>
      </c>
      <c r="O11" s="336"/>
      <c r="P11" s="354" t="s">
        <v>29</v>
      </c>
      <c r="Q11" s="336"/>
      <c r="R11" s="164" t="s">
        <v>57</v>
      </c>
      <c r="S11" s="165"/>
      <c r="T11" s="224" t="s">
        <v>29</v>
      </c>
      <c r="U11" s="342" t="s">
        <v>58</v>
      </c>
      <c r="V11" s="342"/>
      <c r="W11" s="342"/>
      <c r="X11" s="343" t="s">
        <v>29</v>
      </c>
      <c r="Y11" s="344"/>
      <c r="Z11" s="345"/>
    </row>
    <row r="12" spans="1:33" ht="15" customHeight="1" x14ac:dyDescent="0.2">
      <c r="A12" s="161" t="s">
        <v>49</v>
      </c>
      <c r="B12" s="142" t="s">
        <v>29</v>
      </c>
      <c r="C12" s="142" t="s">
        <v>29</v>
      </c>
      <c r="D12" s="142" t="s">
        <v>29</v>
      </c>
      <c r="E12" s="142" t="s">
        <v>29</v>
      </c>
      <c r="F12" s="142" t="s">
        <v>29</v>
      </c>
      <c r="G12" s="228"/>
      <c r="H12" s="157" t="s">
        <v>59</v>
      </c>
      <c r="I12" s="163">
        <v>40767</v>
      </c>
      <c r="J12" s="341">
        <f>I12-C17</f>
        <v>40767</v>
      </c>
      <c r="K12" s="336"/>
      <c r="L12" s="341">
        <f>I12-D17</f>
        <v>40767</v>
      </c>
      <c r="M12" s="336"/>
      <c r="N12" s="341">
        <f>I12-E17</f>
        <v>40767</v>
      </c>
      <c r="O12" s="336"/>
      <c r="P12" s="362">
        <f>I12-F17</f>
        <v>40767</v>
      </c>
      <c r="Q12" s="336"/>
      <c r="R12" s="164" t="s">
        <v>60</v>
      </c>
      <c r="S12" s="165"/>
      <c r="T12" s="224" t="s">
        <v>29</v>
      </c>
      <c r="U12" s="342" t="s">
        <v>61</v>
      </c>
      <c r="V12" s="342"/>
      <c r="W12" s="342"/>
      <c r="X12" s="343" t="s">
        <v>29</v>
      </c>
      <c r="Y12" s="344"/>
      <c r="Z12" s="345"/>
    </row>
    <row r="13" spans="1:33" ht="15.75" customHeight="1" x14ac:dyDescent="0.2">
      <c r="A13" s="161" t="s">
        <v>49</v>
      </c>
      <c r="B13" s="142" t="s">
        <v>29</v>
      </c>
      <c r="C13" s="142" t="s">
        <v>29</v>
      </c>
      <c r="D13" s="142" t="s">
        <v>29</v>
      </c>
      <c r="E13" s="142" t="s">
        <v>29</v>
      </c>
      <c r="F13" s="142" t="s">
        <v>29</v>
      </c>
      <c r="G13" s="228"/>
      <c r="H13" s="157" t="s">
        <v>62</v>
      </c>
      <c r="I13" s="179"/>
      <c r="J13" s="355" t="s">
        <v>29</v>
      </c>
      <c r="K13" s="336"/>
      <c r="L13" s="356" t="s">
        <v>29</v>
      </c>
      <c r="M13" s="336"/>
      <c r="N13" s="356" t="s">
        <v>29</v>
      </c>
      <c r="O13" s="336"/>
      <c r="P13" s="357" t="s">
        <v>29</v>
      </c>
      <c r="Q13" s="336"/>
      <c r="R13" s="164" t="s">
        <v>63</v>
      </c>
      <c r="S13" s="165"/>
      <c r="T13" s="168" t="s">
        <v>29</v>
      </c>
      <c r="U13" s="358" t="s">
        <v>64</v>
      </c>
      <c r="V13" s="358"/>
      <c r="W13" s="358"/>
      <c r="X13" s="359" t="s">
        <v>29</v>
      </c>
      <c r="Y13" s="360"/>
      <c r="Z13" s="361"/>
    </row>
    <row r="14" spans="1:33" ht="15.75" customHeight="1" x14ac:dyDescent="0.2">
      <c r="A14" s="161" t="s">
        <v>49</v>
      </c>
      <c r="B14" s="142" t="s">
        <v>29</v>
      </c>
      <c r="C14" s="142" t="s">
        <v>29</v>
      </c>
      <c r="D14" s="142" t="s">
        <v>29</v>
      </c>
      <c r="E14" s="142" t="s">
        <v>29</v>
      </c>
      <c r="F14" s="142" t="s">
        <v>29</v>
      </c>
      <c r="G14" s="228"/>
      <c r="H14" s="157" t="s">
        <v>65</v>
      </c>
      <c r="I14" s="167"/>
      <c r="J14" s="352" t="s">
        <v>29</v>
      </c>
      <c r="K14" s="336"/>
      <c r="L14" s="353" t="s">
        <v>29</v>
      </c>
      <c r="M14" s="336"/>
      <c r="N14" s="353" t="s">
        <v>29</v>
      </c>
      <c r="O14" s="336"/>
      <c r="P14" s="354" t="s">
        <v>29</v>
      </c>
      <c r="Q14" s="272"/>
      <c r="R14" s="329" t="s">
        <v>66</v>
      </c>
      <c r="S14" s="329"/>
      <c r="T14" s="329"/>
      <c r="U14" s="329"/>
      <c r="V14" s="329"/>
      <c r="W14" s="329"/>
      <c r="X14" s="329"/>
      <c r="Y14" s="329"/>
      <c r="Z14" s="329"/>
    </row>
    <row r="15" spans="1:33" ht="15.75" customHeight="1" x14ac:dyDescent="0.2">
      <c r="A15" s="161" t="s">
        <v>49</v>
      </c>
      <c r="B15" s="142" t="s">
        <v>29</v>
      </c>
      <c r="C15" s="142" t="s">
        <v>29</v>
      </c>
      <c r="D15" s="142" t="s">
        <v>29</v>
      </c>
      <c r="E15" s="142" t="s">
        <v>29</v>
      </c>
      <c r="F15" s="142" t="s">
        <v>29</v>
      </c>
      <c r="G15" s="228"/>
      <c r="H15" s="157" t="s">
        <v>67</v>
      </c>
      <c r="I15" s="167"/>
      <c r="J15" s="352" t="s">
        <v>29</v>
      </c>
      <c r="K15" s="336"/>
      <c r="L15" s="353" t="s">
        <v>29</v>
      </c>
      <c r="M15" s="336"/>
      <c r="N15" s="353" t="s">
        <v>29</v>
      </c>
      <c r="O15" s="336"/>
      <c r="P15" s="354" t="s">
        <v>29</v>
      </c>
      <c r="Q15" s="272"/>
      <c r="R15" s="329"/>
      <c r="S15" s="329"/>
      <c r="T15" s="329"/>
      <c r="U15" s="329"/>
      <c r="V15" s="329"/>
      <c r="W15" s="329"/>
      <c r="X15" s="329"/>
      <c r="Y15" s="329"/>
      <c r="Z15" s="329"/>
    </row>
    <row r="16" spans="1:33" ht="15.75" customHeight="1" x14ac:dyDescent="0.2">
      <c r="A16" s="161" t="s">
        <v>49</v>
      </c>
      <c r="B16" s="142" t="s">
        <v>29</v>
      </c>
      <c r="C16" s="142" t="s">
        <v>29</v>
      </c>
      <c r="D16" s="142" t="s">
        <v>29</v>
      </c>
      <c r="E16" s="142" t="s">
        <v>29</v>
      </c>
      <c r="F16" s="142" t="s">
        <v>29</v>
      </c>
      <c r="G16" s="228"/>
      <c r="H16" s="157" t="s">
        <v>68</v>
      </c>
      <c r="I16" s="167"/>
      <c r="J16" s="352" t="s">
        <v>29</v>
      </c>
      <c r="K16" s="336"/>
      <c r="L16" s="353" t="s">
        <v>29</v>
      </c>
      <c r="M16" s="336"/>
      <c r="N16" s="353" t="s">
        <v>29</v>
      </c>
      <c r="O16" s="336"/>
      <c r="P16" s="363" t="s">
        <v>29</v>
      </c>
      <c r="Q16" s="293"/>
      <c r="R16" s="305" t="s">
        <v>387</v>
      </c>
      <c r="S16" s="305"/>
      <c r="T16" s="305"/>
      <c r="U16" s="305"/>
      <c r="V16" s="305"/>
      <c r="W16" s="305"/>
      <c r="X16" s="305"/>
      <c r="Y16" s="305"/>
      <c r="Z16" s="306"/>
    </row>
    <row r="17" spans="1:26" ht="15.75" customHeight="1" x14ac:dyDescent="0.2">
      <c r="A17" s="171" t="s">
        <v>69</v>
      </c>
      <c r="B17" s="142"/>
      <c r="C17" s="155"/>
      <c r="D17" s="155"/>
      <c r="E17" s="155"/>
      <c r="F17" s="155"/>
      <c r="G17" s="156" t="e">
        <f>AVERAGE(C17:F17)</f>
        <v>#DIV/0!</v>
      </c>
      <c r="H17" s="157" t="s">
        <v>70</v>
      </c>
      <c r="I17" s="163">
        <v>40770</v>
      </c>
      <c r="J17" s="364">
        <f>I17-C17</f>
        <v>40770</v>
      </c>
      <c r="K17" s="336"/>
      <c r="L17" s="364">
        <f>I17-D17</f>
        <v>40770</v>
      </c>
      <c r="M17" s="336"/>
      <c r="N17" s="364">
        <f>I17-E17</f>
        <v>40770</v>
      </c>
      <c r="O17" s="272"/>
      <c r="P17" s="365">
        <f>I17-F17</f>
        <v>40770</v>
      </c>
      <c r="Q17" s="261"/>
      <c r="R17" s="307"/>
      <c r="S17" s="307"/>
      <c r="T17" s="307"/>
      <c r="U17" s="307"/>
      <c r="V17" s="307"/>
      <c r="W17" s="307"/>
      <c r="X17" s="307"/>
      <c r="Y17" s="307"/>
      <c r="Z17" s="308"/>
    </row>
    <row r="18" spans="1:26" ht="15.75" customHeight="1" x14ac:dyDescent="0.2">
      <c r="A18" s="338" t="s">
        <v>71</v>
      </c>
      <c r="B18" s="368"/>
      <c r="C18" s="172">
        <f>C17-C8</f>
        <v>-41795</v>
      </c>
      <c r="D18" s="172">
        <f>D17-D8</f>
        <v>-41797</v>
      </c>
      <c r="E18" s="172">
        <f>E17-E8</f>
        <v>-41799</v>
      </c>
      <c r="F18" s="172">
        <f>F17-F8</f>
        <v>-41801</v>
      </c>
      <c r="G18" s="173">
        <f>AVERAGE(C18:E18)</f>
        <v>-41797</v>
      </c>
      <c r="H18" s="157" t="s">
        <v>72</v>
      </c>
      <c r="I18" s="179"/>
      <c r="J18" s="357" t="s">
        <v>29</v>
      </c>
      <c r="K18" s="336"/>
      <c r="L18" s="356" t="s">
        <v>29</v>
      </c>
      <c r="M18" s="336"/>
      <c r="N18" s="366" t="s">
        <v>29</v>
      </c>
      <c r="O18" s="272"/>
      <c r="P18" s="367" t="s">
        <v>29</v>
      </c>
      <c r="Q18" s="261"/>
      <c r="R18" s="307"/>
      <c r="S18" s="307"/>
      <c r="T18" s="307"/>
      <c r="U18" s="307"/>
      <c r="V18" s="307"/>
      <c r="W18" s="307"/>
      <c r="X18" s="307"/>
      <c r="Y18" s="307"/>
      <c r="Z18" s="308"/>
    </row>
    <row r="19" spans="1:26" ht="15.75" customHeight="1" x14ac:dyDescent="0.2">
      <c r="A19" s="340" t="s">
        <v>73</v>
      </c>
      <c r="B19" s="340"/>
      <c r="C19" s="339" t="s">
        <v>40</v>
      </c>
      <c r="D19" s="339" t="s">
        <v>41</v>
      </c>
      <c r="E19" s="339" t="s">
        <v>42</v>
      </c>
      <c r="F19" s="339" t="s">
        <v>43</v>
      </c>
      <c r="G19" s="339" t="s">
        <v>38</v>
      </c>
      <c r="H19" s="167" t="s">
        <v>78</v>
      </c>
      <c r="I19" s="167"/>
      <c r="J19" s="354" t="s">
        <v>29</v>
      </c>
      <c r="K19" s="336"/>
      <c r="L19" s="353" t="s">
        <v>29</v>
      </c>
      <c r="M19" s="336"/>
      <c r="N19" s="370" t="s">
        <v>29</v>
      </c>
      <c r="O19" s="272"/>
      <c r="P19" s="371" t="s">
        <v>29</v>
      </c>
      <c r="Q19" s="261"/>
      <c r="R19" s="307"/>
      <c r="S19" s="307"/>
      <c r="T19" s="307"/>
      <c r="U19" s="307"/>
      <c r="V19" s="307"/>
      <c r="W19" s="307"/>
      <c r="X19" s="307"/>
      <c r="Y19" s="307"/>
      <c r="Z19" s="308"/>
    </row>
    <row r="20" spans="1:26" ht="15" customHeight="1" x14ac:dyDescent="0.2">
      <c r="A20" s="369"/>
      <c r="B20" s="369"/>
      <c r="C20" s="261"/>
      <c r="D20" s="261"/>
      <c r="E20" s="261"/>
      <c r="F20" s="261"/>
      <c r="G20" s="261"/>
      <c r="H20" s="167" t="s">
        <v>67</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79</v>
      </c>
      <c r="B21" s="373"/>
      <c r="C21" s="122" t="s">
        <v>29</v>
      </c>
      <c r="D21" s="122" t="s">
        <v>29</v>
      </c>
      <c r="E21" s="122" t="s">
        <v>29</v>
      </c>
      <c r="F21" s="122" t="s">
        <v>29</v>
      </c>
      <c r="G21" s="122" t="s">
        <v>29</v>
      </c>
      <c r="H21" s="157" t="s">
        <v>68</v>
      </c>
      <c r="I21" s="167"/>
      <c r="J21" s="354" t="s">
        <v>29</v>
      </c>
      <c r="K21" s="336"/>
      <c r="L21" s="353" t="s">
        <v>29</v>
      </c>
      <c r="M21" s="336"/>
      <c r="N21" s="370" t="s">
        <v>29</v>
      </c>
      <c r="O21" s="272"/>
      <c r="P21" s="371" t="s">
        <v>29</v>
      </c>
      <c r="Q21" s="261"/>
      <c r="R21" s="307"/>
      <c r="S21" s="307"/>
      <c r="T21" s="307"/>
      <c r="U21" s="307"/>
      <c r="V21" s="307"/>
      <c r="W21" s="307"/>
      <c r="X21" s="307"/>
      <c r="Y21" s="307"/>
      <c r="Z21" s="308"/>
    </row>
    <row r="22" spans="1:26" ht="15.75" customHeight="1" x14ac:dyDescent="0.2">
      <c r="A22" s="372" t="s">
        <v>46</v>
      </c>
      <c r="B22" s="373"/>
      <c r="C22" s="71" t="s">
        <v>29</v>
      </c>
      <c r="D22" s="71" t="s">
        <v>29</v>
      </c>
      <c r="E22" s="71" t="s">
        <v>29</v>
      </c>
      <c r="F22" s="71" t="s">
        <v>29</v>
      </c>
      <c r="G22" s="71" t="s">
        <v>29</v>
      </c>
      <c r="H22" s="176" t="s">
        <v>80</v>
      </c>
      <c r="I22" s="163">
        <v>40775</v>
      </c>
      <c r="J22" s="364">
        <f>I22-C17</f>
        <v>40775</v>
      </c>
      <c r="K22" s="336"/>
      <c r="L22" s="364">
        <f>I22-D17</f>
        <v>40775</v>
      </c>
      <c r="M22" s="336"/>
      <c r="N22" s="364">
        <f>I22-E17</f>
        <v>40775</v>
      </c>
      <c r="O22" s="272"/>
      <c r="P22" s="365">
        <f>I22-F17</f>
        <v>40775</v>
      </c>
      <c r="Q22" s="261"/>
      <c r="R22" s="307"/>
      <c r="S22" s="307"/>
      <c r="T22" s="307"/>
      <c r="U22" s="307"/>
      <c r="V22" s="307"/>
      <c r="W22" s="307"/>
      <c r="X22" s="307"/>
      <c r="Y22" s="307"/>
      <c r="Z22" s="308"/>
    </row>
    <row r="23" spans="1:26" ht="15.75" customHeight="1" x14ac:dyDescent="0.2">
      <c r="A23" s="372" t="s">
        <v>81</v>
      </c>
      <c r="B23" s="373"/>
      <c r="C23" s="71" t="s">
        <v>29</v>
      </c>
      <c r="D23" s="71" t="s">
        <v>29</v>
      </c>
      <c r="E23" s="71" t="s">
        <v>29</v>
      </c>
      <c r="F23" s="71" t="s">
        <v>29</v>
      </c>
      <c r="G23" s="224" t="s">
        <v>29</v>
      </c>
      <c r="H23" s="178" t="s">
        <v>82</v>
      </c>
      <c r="I23" s="179"/>
      <c r="J23" s="357" t="s">
        <v>29</v>
      </c>
      <c r="K23" s="336"/>
      <c r="L23" s="356" t="s">
        <v>29</v>
      </c>
      <c r="M23" s="336"/>
      <c r="N23" s="366" t="s">
        <v>29</v>
      </c>
      <c r="O23" s="272"/>
      <c r="P23" s="367" t="s">
        <v>29</v>
      </c>
      <c r="Q23" s="261"/>
      <c r="R23" s="307"/>
      <c r="S23" s="307"/>
      <c r="T23" s="307"/>
      <c r="U23" s="307"/>
      <c r="V23" s="307"/>
      <c r="W23" s="307"/>
      <c r="X23" s="307"/>
      <c r="Y23" s="307"/>
      <c r="Z23" s="308"/>
    </row>
    <row r="24" spans="1:26" ht="15.75" customHeight="1" x14ac:dyDescent="0.2">
      <c r="A24" s="372" t="s">
        <v>12</v>
      </c>
      <c r="B24" s="373"/>
      <c r="C24" s="71" t="s">
        <v>29</v>
      </c>
      <c r="D24" s="71" t="s">
        <v>29</v>
      </c>
      <c r="E24" s="71" t="s">
        <v>29</v>
      </c>
      <c r="F24" s="71" t="s">
        <v>29</v>
      </c>
      <c r="G24" s="224" t="s">
        <v>29</v>
      </c>
      <c r="H24" s="178" t="s">
        <v>83</v>
      </c>
      <c r="I24" s="179"/>
      <c r="J24" s="357" t="s">
        <v>29</v>
      </c>
      <c r="K24" s="336"/>
      <c r="L24" s="356" t="s">
        <v>29</v>
      </c>
      <c r="M24" s="336"/>
      <c r="N24" s="366" t="s">
        <v>29</v>
      </c>
      <c r="O24" s="272"/>
      <c r="P24" s="367" t="s">
        <v>29</v>
      </c>
      <c r="Q24" s="261"/>
      <c r="R24" s="307"/>
      <c r="S24" s="307"/>
      <c r="T24" s="307"/>
      <c r="U24" s="307"/>
      <c r="V24" s="307"/>
      <c r="W24" s="307"/>
      <c r="X24" s="307"/>
      <c r="Y24" s="307"/>
      <c r="Z24" s="308"/>
    </row>
    <row r="25" spans="1:26" ht="15.75" customHeight="1" x14ac:dyDescent="0.2">
      <c r="A25" s="372" t="s">
        <v>84</v>
      </c>
      <c r="B25" s="373"/>
      <c r="C25" s="71" t="s">
        <v>29</v>
      </c>
      <c r="D25" s="71" t="s">
        <v>29</v>
      </c>
      <c r="E25" s="71" t="s">
        <v>29</v>
      </c>
      <c r="F25" s="71" t="s">
        <v>29</v>
      </c>
      <c r="G25" s="224" t="s">
        <v>29</v>
      </c>
      <c r="H25" s="178" t="s">
        <v>67</v>
      </c>
      <c r="I25" s="167"/>
      <c r="J25" s="354" t="s">
        <v>29</v>
      </c>
      <c r="K25" s="336"/>
      <c r="L25" s="372" t="s">
        <v>29</v>
      </c>
      <c r="M25" s="336"/>
      <c r="N25" s="380" t="s">
        <v>29</v>
      </c>
      <c r="O25" s="272"/>
      <c r="P25" s="371" t="s">
        <v>29</v>
      </c>
      <c r="Q25" s="261"/>
      <c r="R25" s="307"/>
      <c r="S25" s="307"/>
      <c r="T25" s="307"/>
      <c r="U25" s="307"/>
      <c r="V25" s="307"/>
      <c r="W25" s="307"/>
      <c r="X25" s="307"/>
      <c r="Y25" s="307"/>
      <c r="Z25" s="308"/>
    </row>
    <row r="26" spans="1:26" ht="15.75" customHeight="1" x14ac:dyDescent="0.2">
      <c r="A26" s="372" t="s">
        <v>11</v>
      </c>
      <c r="B26" s="373"/>
      <c r="C26" s="71" t="s">
        <v>29</v>
      </c>
      <c r="D26" s="71" t="s">
        <v>29</v>
      </c>
      <c r="E26" s="71" t="s">
        <v>29</v>
      </c>
      <c r="F26" s="71" t="s">
        <v>29</v>
      </c>
      <c r="G26" s="224" t="s">
        <v>29</v>
      </c>
      <c r="H26" s="178" t="s">
        <v>68</v>
      </c>
      <c r="I26" s="167"/>
      <c r="J26" s="354" t="s">
        <v>29</v>
      </c>
      <c r="K26" s="336"/>
      <c r="L26" s="372" t="s">
        <v>29</v>
      </c>
      <c r="M26" s="336"/>
      <c r="N26" s="380" t="s">
        <v>29</v>
      </c>
      <c r="O26" s="272"/>
      <c r="P26" s="371" t="s">
        <v>29</v>
      </c>
      <c r="Q26" s="261"/>
      <c r="R26" s="307"/>
      <c r="S26" s="307"/>
      <c r="T26" s="307"/>
      <c r="U26" s="307"/>
      <c r="V26" s="307"/>
      <c r="W26" s="307"/>
      <c r="X26" s="307"/>
      <c r="Y26" s="307"/>
      <c r="Z26" s="308"/>
    </row>
    <row r="27" spans="1:26" ht="15.75" customHeight="1" x14ac:dyDescent="0.2">
      <c r="A27" s="374" t="s">
        <v>85</v>
      </c>
      <c r="B27" s="375"/>
      <c r="C27" s="71" t="s">
        <v>29</v>
      </c>
      <c r="D27" s="71" t="s">
        <v>29</v>
      </c>
      <c r="E27" s="71" t="s">
        <v>29</v>
      </c>
      <c r="F27" s="71" t="s">
        <v>29</v>
      </c>
      <c r="G27" s="224" t="s">
        <v>29</v>
      </c>
      <c r="H27" s="178" t="s">
        <v>86</v>
      </c>
      <c r="I27" s="179"/>
      <c r="J27" s="357" t="s">
        <v>29</v>
      </c>
      <c r="K27" s="336"/>
      <c r="L27" s="376" t="s">
        <v>29</v>
      </c>
      <c r="M27" s="336"/>
      <c r="N27" s="377" t="s">
        <v>29</v>
      </c>
      <c r="O27" s="272"/>
      <c r="P27" s="367" t="s">
        <v>29</v>
      </c>
      <c r="Q27" s="261"/>
      <c r="R27" s="307"/>
      <c r="S27" s="307"/>
      <c r="T27" s="307"/>
      <c r="U27" s="307"/>
      <c r="V27" s="307"/>
      <c r="W27" s="307"/>
      <c r="X27" s="307"/>
      <c r="Y27" s="307"/>
      <c r="Z27" s="308"/>
    </row>
    <row r="28" spans="1:26" ht="15.75" customHeight="1" x14ac:dyDescent="0.2">
      <c r="A28" s="378" t="s">
        <v>87</v>
      </c>
      <c r="B28" s="379"/>
      <c r="C28" s="71" t="s">
        <v>29</v>
      </c>
      <c r="D28" s="71" t="s">
        <v>29</v>
      </c>
      <c r="E28" s="71" t="s">
        <v>29</v>
      </c>
      <c r="F28" s="71" t="s">
        <v>29</v>
      </c>
      <c r="G28" s="224" t="s">
        <v>29</v>
      </c>
      <c r="H28" s="178" t="s">
        <v>88</v>
      </c>
      <c r="I28" s="179"/>
      <c r="J28" s="357" t="s">
        <v>29</v>
      </c>
      <c r="K28" s="336"/>
      <c r="L28" s="356" t="s">
        <v>29</v>
      </c>
      <c r="M28" s="336"/>
      <c r="N28" s="366" t="s">
        <v>29</v>
      </c>
      <c r="O28" s="272"/>
      <c r="P28" s="367" t="s">
        <v>29</v>
      </c>
      <c r="Q28" s="261"/>
      <c r="R28" s="307"/>
      <c r="S28" s="307"/>
      <c r="T28" s="307"/>
      <c r="U28" s="307"/>
      <c r="V28" s="307"/>
      <c r="W28" s="307"/>
      <c r="X28" s="307"/>
      <c r="Y28" s="307"/>
      <c r="Z28" s="308"/>
    </row>
    <row r="29" spans="1:26" ht="15.75" customHeight="1" x14ac:dyDescent="0.2">
      <c r="A29" s="218"/>
      <c r="B29" s="7"/>
      <c r="C29" s="4"/>
      <c r="D29" s="4"/>
      <c r="E29" s="4"/>
      <c r="F29" s="4"/>
      <c r="G29" s="4"/>
      <c r="H29" s="46"/>
      <c r="I29" s="4"/>
      <c r="J29" s="4"/>
      <c r="K29" s="4"/>
      <c r="L29" s="4"/>
      <c r="M29" s="4"/>
      <c r="N29" s="4"/>
      <c r="O29" s="4"/>
      <c r="P29" s="46"/>
      <c r="Q29" s="46"/>
      <c r="R29" s="53"/>
      <c r="S29" s="30"/>
      <c r="T29" s="4"/>
      <c r="U29" s="4"/>
      <c r="V29" s="4"/>
      <c r="W29" s="26"/>
      <c r="X29" s="4"/>
      <c r="Y29" s="4"/>
      <c r="Z29" s="4"/>
    </row>
  </sheetData>
  <mergeCells count="128">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8:B28"/>
    <mergeCell ref="J28:K28"/>
    <mergeCell ref="L28:M28"/>
    <mergeCell ref="N28:O28"/>
    <mergeCell ref="P28:Q28"/>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23:B23"/>
    <mergeCell ref="J23:K23"/>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Z28"/>
    <mergeCell ref="J17:K17"/>
    <mergeCell ref="L17:M17"/>
    <mergeCell ref="N17:O17"/>
    <mergeCell ref="P17:Q17"/>
    <mergeCell ref="L23:M23"/>
    <mergeCell ref="N23:O23"/>
    <mergeCell ref="P23:Q23"/>
    <mergeCell ref="J14:K14"/>
    <mergeCell ref="L14:M14"/>
    <mergeCell ref="N14:O14"/>
    <mergeCell ref="P14:Q14"/>
    <mergeCell ref="R14:Z15"/>
    <mergeCell ref="J15:K15"/>
    <mergeCell ref="L15:M15"/>
    <mergeCell ref="N15:O15"/>
    <mergeCell ref="P15:Q15"/>
    <mergeCell ref="J13:K13"/>
    <mergeCell ref="L13:M13"/>
    <mergeCell ref="N13:O13"/>
    <mergeCell ref="P13:Q13"/>
    <mergeCell ref="U13:W13"/>
    <mergeCell ref="X13:Z13"/>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7:K7"/>
    <mergeCell ref="L7:M7"/>
    <mergeCell ref="N7:O7"/>
    <mergeCell ref="P7:Q7"/>
    <mergeCell ref="S7:Z7"/>
    <mergeCell ref="J9:K9"/>
    <mergeCell ref="L9:M9"/>
    <mergeCell ref="N9:O9"/>
    <mergeCell ref="P9:Q9"/>
    <mergeCell ref="U9:W9"/>
    <mergeCell ref="X9:Z9"/>
    <mergeCell ref="J8:K8"/>
    <mergeCell ref="L8:M8"/>
    <mergeCell ref="N8:O8"/>
    <mergeCell ref="P8:Q8"/>
    <mergeCell ref="U8:W8"/>
    <mergeCell ref="X8:Z8"/>
    <mergeCell ref="I1:J1"/>
    <mergeCell ref="K1:O1"/>
    <mergeCell ref="P1:Q1"/>
    <mergeCell ref="R1:S1"/>
    <mergeCell ref="L2:M2"/>
    <mergeCell ref="Q2:R2"/>
    <mergeCell ref="Y2:Z2"/>
    <mergeCell ref="L5:M5"/>
    <mergeCell ref="Q5:R5"/>
    <mergeCell ref="Y5:Z5"/>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2" sqref="A2:AD28"/>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58" t="s">
        <v>0</v>
      </c>
      <c r="B1" s="59">
        <v>2014</v>
      </c>
      <c r="C1" s="58" t="s">
        <v>1</v>
      </c>
      <c r="D1" s="59"/>
      <c r="E1" s="58" t="s">
        <v>2</v>
      </c>
      <c r="F1" s="55">
        <v>40</v>
      </c>
      <c r="G1" s="56" t="s">
        <v>3</v>
      </c>
      <c r="H1" s="55" t="s">
        <v>4</v>
      </c>
      <c r="I1" s="245" t="s">
        <v>5</v>
      </c>
      <c r="J1" s="221"/>
      <c r="K1" s="246" t="s">
        <v>321</v>
      </c>
      <c r="L1" s="220"/>
      <c r="M1" s="220"/>
      <c r="N1" s="220"/>
      <c r="O1" s="221"/>
      <c r="P1" s="247" t="s">
        <v>6</v>
      </c>
      <c r="Q1" s="221"/>
      <c r="R1" s="248"/>
      <c r="S1" s="217"/>
      <c r="T1" s="16"/>
      <c r="U1" s="16"/>
      <c r="V1" s="16"/>
      <c r="W1" s="16"/>
      <c r="X1" s="16"/>
      <c r="Y1" s="16"/>
      <c r="Z1" s="34"/>
    </row>
    <row r="2" spans="1:30" ht="27.75" customHeight="1" x14ac:dyDescent="0.2">
      <c r="A2" s="132" t="s">
        <v>0</v>
      </c>
      <c r="B2" s="216">
        <v>2014</v>
      </c>
      <c r="C2" s="132" t="s">
        <v>1</v>
      </c>
      <c r="D2" s="216"/>
      <c r="E2" s="132" t="s">
        <v>2</v>
      </c>
      <c r="F2" s="216">
        <v>40</v>
      </c>
      <c r="G2" s="226" t="s">
        <v>3</v>
      </c>
      <c r="H2" s="216" t="s">
        <v>4</v>
      </c>
      <c r="I2" s="329" t="s">
        <v>5</v>
      </c>
      <c r="J2" s="261"/>
      <c r="K2" s="262" t="s">
        <v>321</v>
      </c>
      <c r="L2" s="261"/>
      <c r="M2" s="261"/>
      <c r="N2" s="261"/>
      <c r="O2" s="261"/>
      <c r="P2" s="333" t="s">
        <v>6</v>
      </c>
      <c r="Q2" s="261"/>
      <c r="R2" s="334"/>
      <c r="S2" s="272"/>
      <c r="T2" s="135"/>
      <c r="U2" s="135"/>
      <c r="V2" s="135"/>
      <c r="W2" s="135"/>
      <c r="X2" s="135"/>
      <c r="Y2" s="135"/>
      <c r="Z2" s="136"/>
    </row>
    <row r="3" spans="1:30" ht="15.75" customHeight="1" x14ac:dyDescent="0.2">
      <c r="A3" s="137" t="s">
        <v>8</v>
      </c>
      <c r="B3" s="138" t="s">
        <v>9</v>
      </c>
      <c r="C3" s="138" t="s">
        <v>10</v>
      </c>
      <c r="D3" s="138" t="s">
        <v>11</v>
      </c>
      <c r="E3" s="138" t="s">
        <v>12</v>
      </c>
      <c r="F3" s="138" t="s">
        <v>13</v>
      </c>
      <c r="G3" s="138" t="s">
        <v>14</v>
      </c>
      <c r="H3" s="138" t="s">
        <v>15</v>
      </c>
      <c r="I3" s="138" t="s">
        <v>16</v>
      </c>
      <c r="J3" s="138" t="s">
        <v>17</v>
      </c>
      <c r="K3" s="138" t="s">
        <v>18</v>
      </c>
      <c r="L3" s="335" t="s">
        <v>19</v>
      </c>
      <c r="M3" s="267"/>
      <c r="N3" s="138" t="s">
        <v>20</v>
      </c>
      <c r="O3" s="138" t="s">
        <v>21</v>
      </c>
      <c r="P3" s="138" t="s">
        <v>22</v>
      </c>
      <c r="Q3" s="335" t="s">
        <v>23</v>
      </c>
      <c r="R3" s="336"/>
      <c r="S3" s="139" t="s">
        <v>24</v>
      </c>
      <c r="T3" s="139" t="s">
        <v>25</v>
      </c>
      <c r="U3" s="140" t="s">
        <v>99</v>
      </c>
      <c r="V3" s="139" t="s">
        <v>92</v>
      </c>
      <c r="W3" s="139" t="s">
        <v>93</v>
      </c>
      <c r="X3" s="139" t="s">
        <v>27</v>
      </c>
      <c r="Y3" s="337" t="s">
        <v>28</v>
      </c>
      <c r="Z3" s="270"/>
      <c r="AA3" s="31" t="s">
        <v>89</v>
      </c>
      <c r="AB3" s="31" t="s">
        <v>91</v>
      </c>
      <c r="AC3" s="32" t="s">
        <v>90</v>
      </c>
      <c r="AD3" s="31" t="s">
        <v>95</v>
      </c>
    </row>
    <row r="4" spans="1:30" ht="27.75" customHeight="1" x14ac:dyDescent="0.2">
      <c r="A4" s="71" t="s">
        <v>29</v>
      </c>
      <c r="B4" s="71" t="s">
        <v>29</v>
      </c>
      <c r="C4" s="71" t="s">
        <v>29</v>
      </c>
      <c r="D4" s="71" t="s">
        <v>29</v>
      </c>
      <c r="E4" s="71" t="s">
        <v>29</v>
      </c>
      <c r="F4" s="71" t="s">
        <v>29</v>
      </c>
      <c r="G4" s="71" t="s">
        <v>29</v>
      </c>
      <c r="H4" s="71" t="s">
        <v>29</v>
      </c>
      <c r="I4" s="71" t="s">
        <v>29</v>
      </c>
      <c r="J4" s="71" t="s">
        <v>29</v>
      </c>
      <c r="K4" s="71" t="s">
        <v>29</v>
      </c>
      <c r="L4" s="141" t="s">
        <v>29</v>
      </c>
      <c r="M4" s="141" t="s">
        <v>29</v>
      </c>
      <c r="N4" s="71" t="s">
        <v>29</v>
      </c>
      <c r="O4" s="71" t="s">
        <v>29</v>
      </c>
      <c r="P4" s="142" t="s">
        <v>29</v>
      </c>
      <c r="Q4" s="142" t="s">
        <v>29</v>
      </c>
      <c r="R4" s="142" t="s">
        <v>29</v>
      </c>
      <c r="S4" s="142" t="s">
        <v>29</v>
      </c>
      <c r="T4" s="142" t="s">
        <v>29</v>
      </c>
      <c r="U4" s="71" t="s">
        <v>29</v>
      </c>
      <c r="V4" s="71" t="s">
        <v>29</v>
      </c>
      <c r="W4" s="71" t="s">
        <v>29</v>
      </c>
      <c r="X4" s="142" t="s">
        <v>29</v>
      </c>
      <c r="Y4" s="143" t="s">
        <v>29</v>
      </c>
      <c r="Z4" s="143" t="s">
        <v>29</v>
      </c>
    </row>
    <row r="5" spans="1:30" ht="15.75" customHeight="1" x14ac:dyDescent="0.2">
      <c r="A5" s="68" t="s">
        <v>30</v>
      </c>
      <c r="B5" s="139" t="s">
        <v>9</v>
      </c>
      <c r="C5" s="139" t="s">
        <v>10</v>
      </c>
      <c r="D5" s="139" t="s">
        <v>11</v>
      </c>
      <c r="E5" s="139" t="s">
        <v>12</v>
      </c>
      <c r="F5" s="139" t="s">
        <v>13</v>
      </c>
      <c r="G5" s="139" t="s">
        <v>14</v>
      </c>
      <c r="H5" s="139" t="s">
        <v>15</v>
      </c>
      <c r="I5" s="139" t="s">
        <v>16</v>
      </c>
      <c r="J5" s="139" t="s">
        <v>31</v>
      </c>
      <c r="K5" s="139" t="s">
        <v>32</v>
      </c>
      <c r="L5" s="338" t="s">
        <v>19</v>
      </c>
      <c r="M5" s="336"/>
      <c r="N5" s="139" t="s">
        <v>20</v>
      </c>
      <c r="O5" s="139" t="s">
        <v>21</v>
      </c>
      <c r="P5" s="139" t="s">
        <v>22</v>
      </c>
      <c r="Q5" s="338" t="s">
        <v>23</v>
      </c>
      <c r="R5" s="336"/>
      <c r="S5" s="139" t="s">
        <v>24</v>
      </c>
      <c r="T5" s="139" t="s">
        <v>25</v>
      </c>
      <c r="U5" s="139" t="s">
        <v>26</v>
      </c>
      <c r="V5" s="139" t="s">
        <v>92</v>
      </c>
      <c r="W5" s="139" t="s">
        <v>93</v>
      </c>
      <c r="X5" s="139" t="s">
        <v>27</v>
      </c>
      <c r="Y5" s="338" t="s">
        <v>28</v>
      </c>
      <c r="Z5" s="272"/>
      <c r="AA5" s="31" t="s">
        <v>89</v>
      </c>
      <c r="AB5" s="31" t="s">
        <v>91</v>
      </c>
      <c r="AC5" s="32" t="s">
        <v>90</v>
      </c>
      <c r="AD5" s="31" t="s">
        <v>95</v>
      </c>
    </row>
    <row r="6" spans="1:30" ht="16.5" customHeight="1" x14ac:dyDescent="0.2">
      <c r="A6" s="71" t="s">
        <v>29</v>
      </c>
      <c r="B6" s="71" t="s">
        <v>29</v>
      </c>
      <c r="C6" s="71" t="s">
        <v>29</v>
      </c>
      <c r="D6" s="71" t="s">
        <v>29</v>
      </c>
      <c r="E6" s="71" t="s">
        <v>29</v>
      </c>
      <c r="F6" s="71" t="s">
        <v>29</v>
      </c>
      <c r="G6" s="71" t="s">
        <v>29</v>
      </c>
      <c r="H6" s="71" t="s">
        <v>29</v>
      </c>
      <c r="I6" s="80" t="s">
        <v>29</v>
      </c>
      <c r="J6" s="80" t="s">
        <v>29</v>
      </c>
      <c r="K6" s="80" t="s">
        <v>29</v>
      </c>
      <c r="L6" s="91" t="s">
        <v>29</v>
      </c>
      <c r="M6" s="91" t="s">
        <v>29</v>
      </c>
      <c r="N6" s="80" t="s">
        <v>29</v>
      </c>
      <c r="O6" s="80" t="s">
        <v>29</v>
      </c>
      <c r="P6" s="145" t="s">
        <v>29</v>
      </c>
      <c r="Q6" s="145" t="s">
        <v>29</v>
      </c>
      <c r="R6" s="142" t="s">
        <v>29</v>
      </c>
      <c r="S6" s="142" t="s">
        <v>29</v>
      </c>
      <c r="T6" s="142" t="s">
        <v>29</v>
      </c>
      <c r="U6" s="71" t="s">
        <v>29</v>
      </c>
      <c r="V6" s="71" t="s">
        <v>29</v>
      </c>
      <c r="W6" s="71" t="s">
        <v>29</v>
      </c>
      <c r="X6" s="142" t="s">
        <v>29</v>
      </c>
      <c r="Y6" s="142" t="s">
        <v>29</v>
      </c>
      <c r="Z6" s="142" t="s">
        <v>29</v>
      </c>
    </row>
    <row r="7" spans="1:30" ht="15.75" customHeight="1" x14ac:dyDescent="0.2">
      <c r="A7" s="149" t="s">
        <v>33</v>
      </c>
      <c r="B7" s="139" t="s">
        <v>9</v>
      </c>
      <c r="C7" s="228" t="s">
        <v>34</v>
      </c>
      <c r="D7" s="228" t="s">
        <v>35</v>
      </c>
      <c r="E7" s="228" t="s">
        <v>36</v>
      </c>
      <c r="F7" s="228" t="s">
        <v>37</v>
      </c>
      <c r="G7" s="228" t="s">
        <v>38</v>
      </c>
      <c r="H7" s="190" t="s">
        <v>39</v>
      </c>
      <c r="I7" s="227" t="s">
        <v>9</v>
      </c>
      <c r="J7" s="339" t="s">
        <v>40</v>
      </c>
      <c r="K7" s="339"/>
      <c r="L7" s="339" t="s">
        <v>41</v>
      </c>
      <c r="M7" s="339"/>
      <c r="N7" s="339" t="s">
        <v>42</v>
      </c>
      <c r="O7" s="339"/>
      <c r="P7" s="339" t="s">
        <v>43</v>
      </c>
      <c r="Q7" s="339"/>
      <c r="R7" s="35"/>
      <c r="S7" s="340" t="s">
        <v>44</v>
      </c>
      <c r="T7" s="275"/>
      <c r="U7" s="275"/>
      <c r="V7" s="275"/>
      <c r="W7" s="275"/>
      <c r="X7" s="275"/>
      <c r="Y7" s="275"/>
      <c r="Z7" s="336"/>
    </row>
    <row r="8" spans="1:30" ht="15.75" customHeight="1" x14ac:dyDescent="0.2">
      <c r="A8" s="154" t="s">
        <v>45</v>
      </c>
      <c r="B8" s="142"/>
      <c r="C8" s="155"/>
      <c r="D8" s="155"/>
      <c r="E8" s="155"/>
      <c r="F8" s="155"/>
      <c r="G8" s="156" t="e">
        <f>AVERAGE(C8:F8)</f>
        <v>#DIV/0!</v>
      </c>
      <c r="H8" s="157" t="s">
        <v>46</v>
      </c>
      <c r="I8" s="158"/>
      <c r="J8" s="276" t="s">
        <v>29</v>
      </c>
      <c r="K8" s="267"/>
      <c r="L8" s="346" t="s">
        <v>29</v>
      </c>
      <c r="M8" s="267"/>
      <c r="N8" s="346" t="s">
        <v>29</v>
      </c>
      <c r="O8" s="267"/>
      <c r="P8" s="347" t="s">
        <v>29</v>
      </c>
      <c r="Q8" s="267"/>
      <c r="R8" s="159" t="s">
        <v>47</v>
      </c>
      <c r="S8" s="160"/>
      <c r="T8" s="224" t="s">
        <v>29</v>
      </c>
      <c r="U8" s="348" t="s">
        <v>48</v>
      </c>
      <c r="V8" s="348"/>
      <c r="W8" s="348"/>
      <c r="X8" s="349" t="s">
        <v>29</v>
      </c>
      <c r="Y8" s="350"/>
      <c r="Z8" s="351"/>
    </row>
    <row r="9" spans="1:30" ht="15.75" customHeight="1" x14ac:dyDescent="0.2">
      <c r="A9" s="161" t="s">
        <v>49</v>
      </c>
      <c r="B9" s="142" t="s">
        <v>29</v>
      </c>
      <c r="C9" s="142" t="s">
        <v>29</v>
      </c>
      <c r="D9" s="142" t="s">
        <v>29</v>
      </c>
      <c r="E9" s="142" t="s">
        <v>29</v>
      </c>
      <c r="F9" s="142" t="s">
        <v>29</v>
      </c>
      <c r="G9" s="228"/>
      <c r="H9" s="157" t="s">
        <v>50</v>
      </c>
      <c r="I9" s="163">
        <v>40756</v>
      </c>
      <c r="J9" s="341">
        <f>IF(((I9-C17)&gt;0),(I9-C17),"/")</f>
        <v>40756</v>
      </c>
      <c r="K9" s="336"/>
      <c r="L9" s="341">
        <f>IF(((I9-D17)&gt;0),(I9-D17),"/")</f>
        <v>40756</v>
      </c>
      <c r="M9" s="336"/>
      <c r="N9" s="341">
        <f>IF(((I9-E17)&gt;0),(I9-E17),"/")</f>
        <v>40756</v>
      </c>
      <c r="O9" s="336"/>
      <c r="P9" s="341">
        <f>IF(((I9-F17)&gt;0),(I9-F17),"/")</f>
        <v>40756</v>
      </c>
      <c r="Q9" s="336"/>
      <c r="R9" s="164" t="s">
        <v>51</v>
      </c>
      <c r="S9" s="165"/>
      <c r="T9" s="224" t="s">
        <v>29</v>
      </c>
      <c r="U9" s="342" t="s">
        <v>52</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53</v>
      </c>
      <c r="I10" s="179"/>
      <c r="J10" s="355" t="s">
        <v>29</v>
      </c>
      <c r="K10" s="336"/>
      <c r="L10" s="356" t="s">
        <v>29</v>
      </c>
      <c r="M10" s="336"/>
      <c r="N10" s="356" t="s">
        <v>29</v>
      </c>
      <c r="O10" s="336"/>
      <c r="P10" s="357" t="s">
        <v>29</v>
      </c>
      <c r="Q10" s="336"/>
      <c r="R10" s="164" t="s">
        <v>54</v>
      </c>
      <c r="S10" s="165"/>
      <c r="T10" s="224" t="s">
        <v>29</v>
      </c>
      <c r="U10" s="342" t="s">
        <v>55</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56</v>
      </c>
      <c r="I11" s="167"/>
      <c r="J11" s="352" t="s">
        <v>29</v>
      </c>
      <c r="K11" s="336"/>
      <c r="L11" s="353" t="s">
        <v>29</v>
      </c>
      <c r="M11" s="336"/>
      <c r="N11" s="353" t="s">
        <v>29</v>
      </c>
      <c r="O11" s="336"/>
      <c r="P11" s="354" t="s">
        <v>29</v>
      </c>
      <c r="Q11" s="336"/>
      <c r="R11" s="164" t="s">
        <v>57</v>
      </c>
      <c r="S11" s="165"/>
      <c r="T11" s="224" t="s">
        <v>29</v>
      </c>
      <c r="U11" s="342" t="s">
        <v>58</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59</v>
      </c>
      <c r="I12" s="163">
        <v>40767</v>
      </c>
      <c r="J12" s="341">
        <f>I12-C17</f>
        <v>40767</v>
      </c>
      <c r="K12" s="336"/>
      <c r="L12" s="341">
        <f>I12-D17</f>
        <v>40767</v>
      </c>
      <c r="M12" s="336"/>
      <c r="N12" s="341">
        <f>I12-E17</f>
        <v>40767</v>
      </c>
      <c r="O12" s="336"/>
      <c r="P12" s="362">
        <f>I12-F17</f>
        <v>40767</v>
      </c>
      <c r="Q12" s="336"/>
      <c r="R12" s="164" t="s">
        <v>60</v>
      </c>
      <c r="S12" s="165"/>
      <c r="T12" s="224" t="s">
        <v>29</v>
      </c>
      <c r="U12" s="342" t="s">
        <v>61</v>
      </c>
      <c r="V12" s="342"/>
      <c r="W12" s="342"/>
      <c r="X12" s="343" t="s">
        <v>29</v>
      </c>
      <c r="Y12" s="344"/>
      <c r="Z12" s="345"/>
    </row>
    <row r="13" spans="1:30" ht="15.75" customHeight="1" x14ac:dyDescent="0.2">
      <c r="A13" s="161" t="s">
        <v>49</v>
      </c>
      <c r="B13" s="142" t="s">
        <v>29</v>
      </c>
      <c r="C13" s="142" t="s">
        <v>29</v>
      </c>
      <c r="D13" s="142" t="s">
        <v>29</v>
      </c>
      <c r="E13" s="142" t="s">
        <v>29</v>
      </c>
      <c r="F13" s="142" t="s">
        <v>29</v>
      </c>
      <c r="G13" s="228"/>
      <c r="H13" s="157" t="s">
        <v>62</v>
      </c>
      <c r="I13" s="179"/>
      <c r="J13" s="355" t="s">
        <v>29</v>
      </c>
      <c r="K13" s="336"/>
      <c r="L13" s="356" t="s">
        <v>29</v>
      </c>
      <c r="M13" s="336"/>
      <c r="N13" s="356" t="s">
        <v>29</v>
      </c>
      <c r="O13" s="336"/>
      <c r="P13" s="357" t="s">
        <v>29</v>
      </c>
      <c r="Q13" s="336"/>
      <c r="R13" s="164" t="s">
        <v>63</v>
      </c>
      <c r="S13" s="165"/>
      <c r="T13" s="168" t="s">
        <v>29</v>
      </c>
      <c r="U13" s="358" t="s">
        <v>64</v>
      </c>
      <c r="V13" s="358"/>
      <c r="W13" s="358"/>
      <c r="X13" s="359" t="s">
        <v>29</v>
      </c>
      <c r="Y13" s="360"/>
      <c r="Z13" s="361"/>
    </row>
    <row r="14" spans="1:30" ht="15.75" customHeight="1" x14ac:dyDescent="0.2">
      <c r="A14" s="161" t="s">
        <v>49</v>
      </c>
      <c r="B14" s="142" t="s">
        <v>29</v>
      </c>
      <c r="C14" s="142" t="s">
        <v>29</v>
      </c>
      <c r="D14" s="142" t="s">
        <v>29</v>
      </c>
      <c r="E14" s="142" t="s">
        <v>29</v>
      </c>
      <c r="F14" s="142" t="s">
        <v>29</v>
      </c>
      <c r="G14" s="228"/>
      <c r="H14" s="157" t="s">
        <v>65</v>
      </c>
      <c r="I14" s="167"/>
      <c r="J14" s="352" t="s">
        <v>29</v>
      </c>
      <c r="K14" s="336"/>
      <c r="L14" s="353" t="s">
        <v>29</v>
      </c>
      <c r="M14" s="336"/>
      <c r="N14" s="353" t="s">
        <v>29</v>
      </c>
      <c r="O14" s="336"/>
      <c r="P14" s="354" t="s">
        <v>29</v>
      </c>
      <c r="Q14" s="272"/>
      <c r="R14" s="329" t="s">
        <v>66</v>
      </c>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67</v>
      </c>
      <c r="I15" s="167"/>
      <c r="J15" s="352" t="s">
        <v>29</v>
      </c>
      <c r="K15" s="336"/>
      <c r="L15" s="353" t="s">
        <v>29</v>
      </c>
      <c r="M15" s="336"/>
      <c r="N15" s="353" t="s">
        <v>29</v>
      </c>
      <c r="O15" s="336"/>
      <c r="P15" s="354" t="s">
        <v>29</v>
      </c>
      <c r="Q15" s="272"/>
      <c r="R15" s="329"/>
      <c r="S15" s="329"/>
      <c r="T15" s="329"/>
      <c r="U15" s="329"/>
      <c r="V15" s="329"/>
      <c r="W15" s="329"/>
      <c r="X15" s="329"/>
      <c r="Y15" s="329"/>
      <c r="Z15" s="329"/>
    </row>
    <row r="16" spans="1:30" ht="15.75" customHeight="1" x14ac:dyDescent="0.2">
      <c r="A16" s="161" t="s">
        <v>49</v>
      </c>
      <c r="B16" s="142" t="s">
        <v>29</v>
      </c>
      <c r="C16" s="142" t="s">
        <v>29</v>
      </c>
      <c r="D16" s="142" t="s">
        <v>29</v>
      </c>
      <c r="E16" s="142" t="s">
        <v>29</v>
      </c>
      <c r="F16" s="142" t="s">
        <v>29</v>
      </c>
      <c r="G16" s="228"/>
      <c r="H16" s="157" t="s">
        <v>68</v>
      </c>
      <c r="I16" s="167"/>
      <c r="J16" s="352" t="s">
        <v>29</v>
      </c>
      <c r="K16" s="336"/>
      <c r="L16" s="353" t="s">
        <v>29</v>
      </c>
      <c r="M16" s="336"/>
      <c r="N16" s="353" t="s">
        <v>29</v>
      </c>
      <c r="O16" s="336"/>
      <c r="P16" s="363" t="s">
        <v>29</v>
      </c>
      <c r="Q16" s="293"/>
      <c r="R16" s="305" t="s">
        <v>199</v>
      </c>
      <c r="S16" s="305"/>
      <c r="T16" s="305"/>
      <c r="U16" s="305"/>
      <c r="V16" s="305"/>
      <c r="W16" s="305"/>
      <c r="X16" s="305"/>
      <c r="Y16" s="305"/>
      <c r="Z16" s="306"/>
    </row>
    <row r="17" spans="1:26" ht="15.75" customHeight="1" x14ac:dyDescent="0.2">
      <c r="A17" s="171" t="s">
        <v>69</v>
      </c>
      <c r="B17" s="142"/>
      <c r="C17" s="155"/>
      <c r="D17" s="155"/>
      <c r="E17" s="155"/>
      <c r="F17" s="155"/>
      <c r="G17" s="156" t="e">
        <f>AVERAGE(C17:F17)</f>
        <v>#DIV/0!</v>
      </c>
      <c r="H17" s="157" t="s">
        <v>70</v>
      </c>
      <c r="I17" s="163">
        <v>40770</v>
      </c>
      <c r="J17" s="364">
        <f>I17-C17</f>
        <v>40770</v>
      </c>
      <c r="K17" s="336"/>
      <c r="L17" s="364">
        <f>I17-D17</f>
        <v>40770</v>
      </c>
      <c r="M17" s="336"/>
      <c r="N17" s="364">
        <f>I17-E17</f>
        <v>40770</v>
      </c>
      <c r="O17" s="272"/>
      <c r="P17" s="365">
        <f>I17-F17</f>
        <v>40770</v>
      </c>
      <c r="Q17" s="261"/>
      <c r="R17" s="307"/>
      <c r="S17" s="307"/>
      <c r="T17" s="307"/>
      <c r="U17" s="307"/>
      <c r="V17" s="307"/>
      <c r="W17" s="307"/>
      <c r="X17" s="307"/>
      <c r="Y17" s="307"/>
      <c r="Z17" s="308"/>
    </row>
    <row r="18" spans="1:26" ht="15.75" customHeight="1" x14ac:dyDescent="0.2">
      <c r="A18" s="338" t="s">
        <v>71</v>
      </c>
      <c r="B18" s="368"/>
      <c r="C18" s="172">
        <f>C17-C8</f>
        <v>0</v>
      </c>
      <c r="D18" s="172">
        <f>D17-D8</f>
        <v>0</v>
      </c>
      <c r="E18" s="172">
        <f>E17-E8</f>
        <v>0</v>
      </c>
      <c r="F18" s="172">
        <f>F17-F8</f>
        <v>0</v>
      </c>
      <c r="G18" s="173">
        <f>AVERAGE(C18:E18)</f>
        <v>0</v>
      </c>
      <c r="H18" s="157" t="s">
        <v>72</v>
      </c>
      <c r="I18" s="179"/>
      <c r="J18" s="357" t="s">
        <v>29</v>
      </c>
      <c r="K18" s="336"/>
      <c r="L18" s="356" t="s">
        <v>29</v>
      </c>
      <c r="M18" s="336"/>
      <c r="N18" s="366" t="s">
        <v>29</v>
      </c>
      <c r="O18" s="272"/>
      <c r="P18" s="367" t="s">
        <v>29</v>
      </c>
      <c r="Q18" s="261"/>
      <c r="R18" s="307"/>
      <c r="S18" s="307"/>
      <c r="T18" s="307"/>
      <c r="U18" s="307"/>
      <c r="V18" s="307"/>
      <c r="W18" s="307"/>
      <c r="X18" s="307"/>
      <c r="Y18" s="307"/>
      <c r="Z18" s="308"/>
    </row>
    <row r="19" spans="1:26" ht="15" customHeight="1" x14ac:dyDescent="0.2">
      <c r="A19" s="340" t="s">
        <v>73</v>
      </c>
      <c r="B19" s="340"/>
      <c r="C19" s="339" t="s">
        <v>40</v>
      </c>
      <c r="D19" s="339" t="s">
        <v>41</v>
      </c>
      <c r="E19" s="339" t="s">
        <v>42</v>
      </c>
      <c r="F19" s="339" t="s">
        <v>43</v>
      </c>
      <c r="G19" s="339" t="s">
        <v>38</v>
      </c>
      <c r="H19" s="167" t="s">
        <v>78</v>
      </c>
      <c r="I19" s="167"/>
      <c r="J19" s="354" t="s">
        <v>29</v>
      </c>
      <c r="K19" s="336"/>
      <c r="L19" s="353" t="s">
        <v>29</v>
      </c>
      <c r="M19" s="336"/>
      <c r="N19" s="370" t="s">
        <v>29</v>
      </c>
      <c r="O19" s="272"/>
      <c r="P19" s="371" t="s">
        <v>29</v>
      </c>
      <c r="Q19" s="261"/>
      <c r="R19" s="307"/>
      <c r="S19" s="307"/>
      <c r="T19" s="307"/>
      <c r="U19" s="307"/>
      <c r="V19" s="307"/>
      <c r="W19" s="307"/>
      <c r="X19" s="307"/>
      <c r="Y19" s="307"/>
      <c r="Z19" s="308"/>
    </row>
    <row r="20" spans="1:26" ht="15.75" customHeight="1" x14ac:dyDescent="0.2">
      <c r="A20" s="369"/>
      <c r="B20" s="369"/>
      <c r="C20" s="261"/>
      <c r="D20" s="261"/>
      <c r="E20" s="261"/>
      <c r="F20" s="261"/>
      <c r="G20" s="261"/>
      <c r="H20" s="167" t="s">
        <v>67</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79</v>
      </c>
      <c r="B21" s="373"/>
      <c r="C21" s="122" t="s">
        <v>29</v>
      </c>
      <c r="D21" s="122" t="s">
        <v>29</v>
      </c>
      <c r="E21" s="122" t="s">
        <v>29</v>
      </c>
      <c r="F21" s="122" t="s">
        <v>29</v>
      </c>
      <c r="G21" s="122" t="s">
        <v>29</v>
      </c>
      <c r="H21" s="157" t="s">
        <v>68</v>
      </c>
      <c r="I21" s="167"/>
      <c r="J21" s="354" t="s">
        <v>29</v>
      </c>
      <c r="K21" s="336"/>
      <c r="L21" s="353" t="s">
        <v>29</v>
      </c>
      <c r="M21" s="336"/>
      <c r="N21" s="370" t="s">
        <v>29</v>
      </c>
      <c r="O21" s="272"/>
      <c r="P21" s="371" t="s">
        <v>29</v>
      </c>
      <c r="Q21" s="261"/>
      <c r="R21" s="307"/>
      <c r="S21" s="307"/>
      <c r="T21" s="307"/>
      <c r="U21" s="307"/>
      <c r="V21" s="307"/>
      <c r="W21" s="307"/>
      <c r="X21" s="307"/>
      <c r="Y21" s="307"/>
      <c r="Z21" s="308"/>
    </row>
    <row r="22" spans="1:26" ht="15.75" customHeight="1" x14ac:dyDescent="0.2">
      <c r="A22" s="372" t="s">
        <v>46</v>
      </c>
      <c r="B22" s="373"/>
      <c r="C22" s="71" t="s">
        <v>29</v>
      </c>
      <c r="D22" s="71" t="s">
        <v>29</v>
      </c>
      <c r="E22" s="71" t="s">
        <v>29</v>
      </c>
      <c r="F22" s="71" t="s">
        <v>29</v>
      </c>
      <c r="G22" s="71" t="s">
        <v>29</v>
      </c>
      <c r="H22" s="176" t="s">
        <v>80</v>
      </c>
      <c r="I22" s="163">
        <v>40775</v>
      </c>
      <c r="J22" s="364">
        <f>I22-C17</f>
        <v>40775</v>
      </c>
      <c r="K22" s="336"/>
      <c r="L22" s="364">
        <f>I22-D17</f>
        <v>40775</v>
      </c>
      <c r="M22" s="336"/>
      <c r="N22" s="364">
        <f>I22-E17</f>
        <v>40775</v>
      </c>
      <c r="O22" s="272"/>
      <c r="P22" s="365">
        <f>I22-F17</f>
        <v>40775</v>
      </c>
      <c r="Q22" s="261"/>
      <c r="R22" s="307"/>
      <c r="S22" s="307"/>
      <c r="T22" s="307"/>
      <c r="U22" s="307"/>
      <c r="V22" s="307"/>
      <c r="W22" s="307"/>
      <c r="X22" s="307"/>
      <c r="Y22" s="307"/>
      <c r="Z22" s="308"/>
    </row>
    <row r="23" spans="1:26" ht="15.75" customHeight="1" x14ac:dyDescent="0.2">
      <c r="A23" s="372" t="s">
        <v>81</v>
      </c>
      <c r="B23" s="373"/>
      <c r="C23" s="71" t="s">
        <v>29</v>
      </c>
      <c r="D23" s="71" t="s">
        <v>29</v>
      </c>
      <c r="E23" s="71" t="s">
        <v>29</v>
      </c>
      <c r="F23" s="71" t="s">
        <v>29</v>
      </c>
      <c r="G23" s="224" t="s">
        <v>29</v>
      </c>
      <c r="H23" s="178" t="s">
        <v>82</v>
      </c>
      <c r="I23" s="179"/>
      <c r="J23" s="357" t="s">
        <v>29</v>
      </c>
      <c r="K23" s="336"/>
      <c r="L23" s="356" t="s">
        <v>29</v>
      </c>
      <c r="M23" s="336"/>
      <c r="N23" s="366" t="s">
        <v>29</v>
      </c>
      <c r="O23" s="272"/>
      <c r="P23" s="367" t="s">
        <v>29</v>
      </c>
      <c r="Q23" s="261"/>
      <c r="R23" s="307"/>
      <c r="S23" s="307"/>
      <c r="T23" s="307"/>
      <c r="U23" s="307"/>
      <c r="V23" s="307"/>
      <c r="W23" s="307"/>
      <c r="X23" s="307"/>
      <c r="Y23" s="307"/>
      <c r="Z23" s="308"/>
    </row>
    <row r="24" spans="1:26" ht="15.75" customHeight="1" x14ac:dyDescent="0.2">
      <c r="A24" s="372" t="s">
        <v>12</v>
      </c>
      <c r="B24" s="373"/>
      <c r="C24" s="71" t="s">
        <v>29</v>
      </c>
      <c r="D24" s="71" t="s">
        <v>29</v>
      </c>
      <c r="E24" s="71" t="s">
        <v>29</v>
      </c>
      <c r="F24" s="71" t="s">
        <v>29</v>
      </c>
      <c r="G24" s="224" t="s">
        <v>29</v>
      </c>
      <c r="H24" s="178" t="s">
        <v>83</v>
      </c>
      <c r="I24" s="179"/>
      <c r="J24" s="357" t="s">
        <v>29</v>
      </c>
      <c r="K24" s="336"/>
      <c r="L24" s="356" t="s">
        <v>29</v>
      </c>
      <c r="M24" s="336"/>
      <c r="N24" s="366" t="s">
        <v>29</v>
      </c>
      <c r="O24" s="272"/>
      <c r="P24" s="367" t="s">
        <v>29</v>
      </c>
      <c r="Q24" s="261"/>
      <c r="R24" s="307"/>
      <c r="S24" s="307"/>
      <c r="T24" s="307"/>
      <c r="U24" s="307"/>
      <c r="V24" s="307"/>
      <c r="W24" s="307"/>
      <c r="X24" s="307"/>
      <c r="Y24" s="307"/>
      <c r="Z24" s="308"/>
    </row>
    <row r="25" spans="1:26" ht="15.75" customHeight="1" x14ac:dyDescent="0.2">
      <c r="A25" s="372" t="s">
        <v>84</v>
      </c>
      <c r="B25" s="373"/>
      <c r="C25" s="71" t="s">
        <v>29</v>
      </c>
      <c r="D25" s="71" t="s">
        <v>29</v>
      </c>
      <c r="E25" s="71" t="s">
        <v>29</v>
      </c>
      <c r="F25" s="71" t="s">
        <v>29</v>
      </c>
      <c r="G25" s="224" t="s">
        <v>29</v>
      </c>
      <c r="H25" s="178" t="s">
        <v>67</v>
      </c>
      <c r="I25" s="167"/>
      <c r="J25" s="354" t="s">
        <v>29</v>
      </c>
      <c r="K25" s="336"/>
      <c r="L25" s="372" t="s">
        <v>29</v>
      </c>
      <c r="M25" s="336"/>
      <c r="N25" s="380" t="s">
        <v>29</v>
      </c>
      <c r="O25" s="272"/>
      <c r="P25" s="371" t="s">
        <v>29</v>
      </c>
      <c r="Q25" s="261"/>
      <c r="R25" s="307"/>
      <c r="S25" s="307"/>
      <c r="T25" s="307"/>
      <c r="U25" s="307"/>
      <c r="V25" s="307"/>
      <c r="W25" s="307"/>
      <c r="X25" s="307"/>
      <c r="Y25" s="307"/>
      <c r="Z25" s="308"/>
    </row>
    <row r="26" spans="1:26" ht="15.75" customHeight="1" x14ac:dyDescent="0.2">
      <c r="A26" s="372" t="s">
        <v>11</v>
      </c>
      <c r="B26" s="373"/>
      <c r="C26" s="71" t="s">
        <v>29</v>
      </c>
      <c r="D26" s="71" t="s">
        <v>29</v>
      </c>
      <c r="E26" s="71" t="s">
        <v>29</v>
      </c>
      <c r="F26" s="71" t="s">
        <v>29</v>
      </c>
      <c r="G26" s="224" t="s">
        <v>29</v>
      </c>
      <c r="H26" s="178" t="s">
        <v>68</v>
      </c>
      <c r="I26" s="167"/>
      <c r="J26" s="354" t="s">
        <v>29</v>
      </c>
      <c r="K26" s="336"/>
      <c r="L26" s="372" t="s">
        <v>29</v>
      </c>
      <c r="M26" s="336"/>
      <c r="N26" s="380" t="s">
        <v>29</v>
      </c>
      <c r="O26" s="272"/>
      <c r="P26" s="371" t="s">
        <v>29</v>
      </c>
      <c r="Q26" s="261"/>
      <c r="R26" s="307"/>
      <c r="S26" s="307"/>
      <c r="T26" s="307"/>
      <c r="U26" s="307"/>
      <c r="V26" s="307"/>
      <c r="W26" s="307"/>
      <c r="X26" s="307"/>
      <c r="Y26" s="307"/>
      <c r="Z26" s="308"/>
    </row>
    <row r="27" spans="1:26" ht="15.75" customHeight="1" x14ac:dyDescent="0.2">
      <c r="A27" s="374" t="s">
        <v>85</v>
      </c>
      <c r="B27" s="375"/>
      <c r="C27" s="71" t="s">
        <v>29</v>
      </c>
      <c r="D27" s="71" t="s">
        <v>29</v>
      </c>
      <c r="E27" s="71" t="s">
        <v>29</v>
      </c>
      <c r="F27" s="71" t="s">
        <v>29</v>
      </c>
      <c r="G27" s="224" t="s">
        <v>29</v>
      </c>
      <c r="H27" s="178" t="s">
        <v>86</v>
      </c>
      <c r="I27" s="179"/>
      <c r="J27" s="357" t="s">
        <v>29</v>
      </c>
      <c r="K27" s="336"/>
      <c r="L27" s="376" t="s">
        <v>29</v>
      </c>
      <c r="M27" s="336"/>
      <c r="N27" s="377" t="s">
        <v>29</v>
      </c>
      <c r="O27" s="272"/>
      <c r="P27" s="367" t="s">
        <v>29</v>
      </c>
      <c r="Q27" s="261"/>
      <c r="R27" s="307"/>
      <c r="S27" s="307"/>
      <c r="T27" s="307"/>
      <c r="U27" s="307"/>
      <c r="V27" s="307"/>
      <c r="W27" s="307"/>
      <c r="X27" s="307"/>
      <c r="Y27" s="307"/>
      <c r="Z27" s="308"/>
    </row>
    <row r="28" spans="1:26" ht="15.75" customHeight="1" x14ac:dyDescent="0.2">
      <c r="A28" s="378" t="s">
        <v>87</v>
      </c>
      <c r="B28" s="379"/>
      <c r="C28" s="71" t="s">
        <v>29</v>
      </c>
      <c r="D28" s="71" t="s">
        <v>29</v>
      </c>
      <c r="E28" s="71" t="s">
        <v>29</v>
      </c>
      <c r="F28" s="71" t="s">
        <v>29</v>
      </c>
      <c r="G28" s="224" t="s">
        <v>29</v>
      </c>
      <c r="H28" s="178" t="s">
        <v>88</v>
      </c>
      <c r="I28" s="179"/>
      <c r="J28" s="357" t="s">
        <v>29</v>
      </c>
      <c r="K28" s="336"/>
      <c r="L28" s="356" t="s">
        <v>29</v>
      </c>
      <c r="M28" s="336"/>
      <c r="N28" s="366" t="s">
        <v>29</v>
      </c>
      <c r="O28" s="272"/>
      <c r="P28" s="367" t="s">
        <v>29</v>
      </c>
      <c r="Q28" s="261"/>
      <c r="R28" s="307"/>
      <c r="S28" s="307"/>
      <c r="T28" s="307"/>
      <c r="U28" s="307"/>
      <c r="V28" s="307"/>
      <c r="W28" s="307"/>
      <c r="X28" s="307"/>
      <c r="Y28" s="307"/>
      <c r="Z28" s="308"/>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J20:K20"/>
    <mergeCell ref="L20:M20"/>
    <mergeCell ref="N20:O20"/>
    <mergeCell ref="P20:Q20"/>
    <mergeCell ref="A21:B21"/>
    <mergeCell ref="J21:K21"/>
    <mergeCell ref="L21:M21"/>
    <mergeCell ref="N21:O21"/>
    <mergeCell ref="P21:Q21"/>
    <mergeCell ref="A22:B22"/>
    <mergeCell ref="J22:K22"/>
    <mergeCell ref="J15:K15"/>
    <mergeCell ref="L15:M15"/>
    <mergeCell ref="N15:O15"/>
    <mergeCell ref="P15:Q15"/>
    <mergeCell ref="J16:K16"/>
    <mergeCell ref="L16:M16"/>
    <mergeCell ref="N16:O16"/>
    <mergeCell ref="P16:Q16"/>
    <mergeCell ref="L22:M22"/>
    <mergeCell ref="N22:O22"/>
    <mergeCell ref="P22:Q22"/>
    <mergeCell ref="J17:K17"/>
    <mergeCell ref="L17:M17"/>
    <mergeCell ref="N17:O17"/>
    <mergeCell ref="P17:Q17"/>
    <mergeCell ref="J18:K18"/>
    <mergeCell ref="L18:M18"/>
    <mergeCell ref="N18:O18"/>
    <mergeCell ref="P18:Q18"/>
    <mergeCell ref="J19:K19"/>
    <mergeCell ref="L19:M19"/>
    <mergeCell ref="N19:O19"/>
    <mergeCell ref="P19:Q19"/>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I2:J2"/>
    <mergeCell ref="K2:O2"/>
    <mergeCell ref="P2:Q2"/>
    <mergeCell ref="R2:S2"/>
    <mergeCell ref="L3:M3"/>
    <mergeCell ref="Q3:R3"/>
    <mergeCell ref="Y3:Z3"/>
    <mergeCell ref="J8:K8"/>
    <mergeCell ref="L8:M8"/>
    <mergeCell ref="N8:O8"/>
    <mergeCell ref="P8:Q8"/>
    <mergeCell ref="U8:W8"/>
    <mergeCell ref="X8:Z8"/>
    <mergeCell ref="J7:K7"/>
    <mergeCell ref="L7:M7"/>
    <mergeCell ref="N7:O7"/>
    <mergeCell ref="P7:Q7"/>
    <mergeCell ref="L5:M5"/>
    <mergeCell ref="Q5:R5"/>
    <mergeCell ref="Y5:Z5"/>
    <mergeCell ref="S7:Z7"/>
    <mergeCell ref="U13:W13"/>
    <mergeCell ref="X13:Z13"/>
    <mergeCell ref="R14:Z15"/>
    <mergeCell ref="R16:Z28"/>
    <mergeCell ref="A18:B18"/>
    <mergeCell ref="A19:B20"/>
    <mergeCell ref="C19:C20"/>
    <mergeCell ref="D19:D20"/>
    <mergeCell ref="E19:E20"/>
    <mergeCell ref="F19:F20"/>
    <mergeCell ref="G19:G20"/>
    <mergeCell ref="A28:B28"/>
    <mergeCell ref="J28:K28"/>
    <mergeCell ref="L28:M28"/>
    <mergeCell ref="N28:O28"/>
    <mergeCell ref="P28:Q28"/>
    <mergeCell ref="J13:K13"/>
    <mergeCell ref="L13:M13"/>
    <mergeCell ref="N13:O13"/>
    <mergeCell ref="P13:Q13"/>
    <mergeCell ref="J14:K14"/>
    <mergeCell ref="L14:M14"/>
    <mergeCell ref="N14:O14"/>
    <mergeCell ref="P14:Q14"/>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41</v>
      </c>
      <c r="G1" s="226" t="s">
        <v>3</v>
      </c>
      <c r="H1" s="216"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160</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42</v>
      </c>
      <c r="G1" s="226" t="s">
        <v>3</v>
      </c>
      <c r="H1" s="216"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298</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43</v>
      </c>
      <c r="G1" s="226" t="s">
        <v>3</v>
      </c>
      <c r="H1" s="216"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299</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9"/>
  <sheetViews>
    <sheetView topLeftCell="A5" workbookViewId="0">
      <selection activeCell="R16" sqref="R16:Z28"/>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9.28515625" style="25" bestFit="1"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3" ht="12.75" x14ac:dyDescent="0.2">
      <c r="A1" s="132" t="s">
        <v>0</v>
      </c>
      <c r="B1" s="125">
        <v>2014</v>
      </c>
      <c r="C1" s="132" t="s">
        <v>1</v>
      </c>
      <c r="D1" s="125"/>
      <c r="E1" s="132" t="s">
        <v>2</v>
      </c>
      <c r="F1" s="125">
        <v>44</v>
      </c>
      <c r="G1" s="133" t="s">
        <v>3</v>
      </c>
      <c r="H1" s="125" t="s">
        <v>4</v>
      </c>
      <c r="I1" s="329" t="s">
        <v>5</v>
      </c>
      <c r="J1" s="261"/>
      <c r="K1" s="262" t="s">
        <v>322</v>
      </c>
      <c r="L1" s="261"/>
      <c r="M1" s="261"/>
      <c r="N1" s="261"/>
      <c r="O1" s="261"/>
      <c r="P1" s="333" t="s">
        <v>6</v>
      </c>
      <c r="Q1" s="261"/>
      <c r="R1" s="334"/>
      <c r="S1" s="272"/>
      <c r="T1" s="135"/>
      <c r="U1" s="135"/>
      <c r="V1" s="135"/>
      <c r="W1" s="135"/>
      <c r="X1" s="135"/>
      <c r="Y1" s="135"/>
      <c r="Z1" s="136"/>
    </row>
    <row r="2" spans="1:33"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3" ht="15.75" customHeight="1" x14ac:dyDescent="0.2">
      <c r="A3" s="71" t="s">
        <v>103</v>
      </c>
      <c r="B3" s="144">
        <v>41799</v>
      </c>
      <c r="C3" s="71" t="s">
        <v>29</v>
      </c>
      <c r="D3" s="71" t="s">
        <v>29</v>
      </c>
      <c r="E3" s="71" t="s">
        <v>235</v>
      </c>
      <c r="F3" s="71" t="s">
        <v>235</v>
      </c>
      <c r="G3" s="71" t="s">
        <v>225</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B3" s="96"/>
      <c r="AC3" s="96"/>
      <c r="AD3" s="69" t="s">
        <v>205</v>
      </c>
    </row>
    <row r="4" spans="1:33"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99" t="s">
        <v>90</v>
      </c>
      <c r="AD4" s="31" t="s">
        <v>95</v>
      </c>
      <c r="AE4" s="95" t="s">
        <v>346</v>
      </c>
      <c r="AF4" s="95" t="s">
        <v>347</v>
      </c>
      <c r="AG4" s="95" t="s">
        <v>348</v>
      </c>
    </row>
    <row r="5" spans="1:33" ht="15.75" customHeight="1" x14ac:dyDescent="0.2">
      <c r="A5" s="80" t="s">
        <v>103</v>
      </c>
      <c r="B5" s="185">
        <v>41782</v>
      </c>
      <c r="C5" s="80" t="s">
        <v>105</v>
      </c>
      <c r="D5" s="80" t="s">
        <v>29</v>
      </c>
      <c r="E5" s="80" t="s">
        <v>145</v>
      </c>
      <c r="F5" s="80" t="s">
        <v>146</v>
      </c>
      <c r="G5" s="80" t="s">
        <v>237</v>
      </c>
      <c r="H5" s="80" t="s">
        <v>29</v>
      </c>
      <c r="I5" s="80" t="s">
        <v>29</v>
      </c>
      <c r="J5" s="80">
        <v>1047</v>
      </c>
      <c r="K5" s="80">
        <v>4</v>
      </c>
      <c r="L5" s="91" t="s">
        <v>29</v>
      </c>
      <c r="M5" s="91" t="s">
        <v>29</v>
      </c>
      <c r="N5" s="80">
        <v>366</v>
      </c>
      <c r="O5" s="80">
        <v>169</v>
      </c>
      <c r="P5" s="145" t="s">
        <v>29</v>
      </c>
      <c r="Q5" s="145" t="s">
        <v>29</v>
      </c>
      <c r="R5" s="145" t="s">
        <v>29</v>
      </c>
      <c r="S5" s="145" t="s">
        <v>29</v>
      </c>
      <c r="T5" s="145" t="s">
        <v>29</v>
      </c>
      <c r="U5" s="80" t="s">
        <v>4</v>
      </c>
      <c r="V5" s="80" t="s">
        <v>143</v>
      </c>
      <c r="W5" s="80" t="s">
        <v>144</v>
      </c>
      <c r="X5" s="145" t="s">
        <v>29</v>
      </c>
      <c r="Y5" s="145" t="s">
        <v>29</v>
      </c>
      <c r="Z5" s="145" t="s">
        <v>29</v>
      </c>
      <c r="AA5" s="67">
        <v>0.125</v>
      </c>
      <c r="AB5" s="69" t="s">
        <v>205</v>
      </c>
      <c r="AC5" s="96"/>
      <c r="AD5" s="69"/>
      <c r="AE5" s="69" t="s">
        <v>216</v>
      </c>
      <c r="AF5" s="96">
        <v>48</v>
      </c>
      <c r="AG5" s="96">
        <v>4.5</v>
      </c>
    </row>
    <row r="6" spans="1:33" s="127" customFormat="1" ht="15.75" customHeight="1" x14ac:dyDescent="0.2">
      <c r="A6" s="128" t="s">
        <v>103</v>
      </c>
      <c r="B6" s="186">
        <v>41805</v>
      </c>
      <c r="C6" s="128"/>
      <c r="D6" s="128"/>
      <c r="E6" s="128" t="s">
        <v>235</v>
      </c>
      <c r="F6" s="128" t="s">
        <v>235</v>
      </c>
      <c r="G6" s="128" t="s">
        <v>225</v>
      </c>
      <c r="H6" s="128"/>
      <c r="I6" s="128"/>
      <c r="J6" s="128"/>
      <c r="K6" s="128"/>
      <c r="L6" s="147"/>
      <c r="M6" s="147"/>
      <c r="N6" s="128"/>
      <c r="O6" s="128"/>
      <c r="P6" s="148"/>
      <c r="Q6" s="148"/>
      <c r="R6" s="148"/>
      <c r="S6" s="148"/>
      <c r="T6" s="148"/>
      <c r="U6" s="128"/>
      <c r="V6" s="128"/>
      <c r="W6" s="128"/>
      <c r="X6" s="148"/>
      <c r="Y6" s="148"/>
      <c r="Z6" s="148"/>
      <c r="AA6" s="98"/>
      <c r="AB6" s="100"/>
      <c r="AC6" s="100"/>
      <c r="AD6" s="97" t="s">
        <v>205</v>
      </c>
      <c r="AE6" s="100"/>
      <c r="AF6" s="100"/>
      <c r="AG6" s="100"/>
    </row>
    <row r="7" spans="1:33" ht="16.5" customHeight="1" x14ac:dyDescent="0.2">
      <c r="A7" s="187" t="s">
        <v>33</v>
      </c>
      <c r="B7" s="138" t="s">
        <v>9</v>
      </c>
      <c r="C7" s="150" t="s">
        <v>34</v>
      </c>
      <c r="D7" s="150" t="s">
        <v>35</v>
      </c>
      <c r="E7" s="150" t="s">
        <v>36</v>
      </c>
      <c r="F7" s="150" t="s">
        <v>37</v>
      </c>
      <c r="G7" s="150" t="s">
        <v>38</v>
      </c>
      <c r="H7" s="151" t="s">
        <v>39</v>
      </c>
      <c r="I7" s="152" t="s">
        <v>9</v>
      </c>
      <c r="J7" s="420" t="s">
        <v>40</v>
      </c>
      <c r="K7" s="420"/>
      <c r="L7" s="420" t="s">
        <v>41</v>
      </c>
      <c r="M7" s="420"/>
      <c r="N7" s="420" t="s">
        <v>42</v>
      </c>
      <c r="O7" s="420"/>
      <c r="P7" s="420" t="s">
        <v>43</v>
      </c>
      <c r="Q7" s="420"/>
      <c r="R7" s="74"/>
      <c r="S7" s="421" t="s">
        <v>44</v>
      </c>
      <c r="T7" s="422"/>
      <c r="U7" s="422"/>
      <c r="V7" s="422"/>
      <c r="W7" s="422"/>
      <c r="X7" s="422"/>
      <c r="Y7" s="422"/>
      <c r="Z7" s="267"/>
    </row>
    <row r="8" spans="1:33" ht="15.75" customHeight="1" x14ac:dyDescent="0.2">
      <c r="A8" s="154" t="s">
        <v>45</v>
      </c>
      <c r="B8" s="142"/>
      <c r="C8" s="155">
        <v>41796</v>
      </c>
      <c r="D8" s="155">
        <v>41798</v>
      </c>
      <c r="E8" s="155">
        <v>41800</v>
      </c>
      <c r="F8" s="155">
        <v>41803</v>
      </c>
      <c r="G8" s="156">
        <f>AVERAGE(C8:F8)</f>
        <v>41799.25</v>
      </c>
      <c r="H8" s="157" t="s">
        <v>46</v>
      </c>
      <c r="I8" s="158"/>
      <c r="J8" s="276" t="s">
        <v>354</v>
      </c>
      <c r="K8" s="267"/>
      <c r="L8" s="346" t="s">
        <v>355</v>
      </c>
      <c r="M8" s="267"/>
      <c r="N8" s="346" t="s">
        <v>356</v>
      </c>
      <c r="O8" s="267"/>
      <c r="P8" s="347" t="s">
        <v>410</v>
      </c>
      <c r="Q8" s="267"/>
      <c r="R8" s="159" t="s">
        <v>47</v>
      </c>
      <c r="S8" s="160"/>
      <c r="T8" s="106">
        <v>4</v>
      </c>
      <c r="U8" s="348" t="s">
        <v>48</v>
      </c>
      <c r="V8" s="348"/>
      <c r="W8" s="348"/>
      <c r="X8" s="349" t="s">
        <v>29</v>
      </c>
      <c r="Y8" s="350"/>
      <c r="Z8" s="351"/>
    </row>
    <row r="9" spans="1:33" ht="15.75" customHeight="1" x14ac:dyDescent="0.2">
      <c r="A9" s="161" t="s">
        <v>49</v>
      </c>
      <c r="B9" s="142" t="s">
        <v>29</v>
      </c>
      <c r="C9" s="142" t="s">
        <v>29</v>
      </c>
      <c r="D9" s="142" t="s">
        <v>29</v>
      </c>
      <c r="E9" s="142" t="s">
        <v>29</v>
      </c>
      <c r="F9" s="142" t="s">
        <v>29</v>
      </c>
      <c r="G9" s="162"/>
      <c r="H9" s="157" t="s">
        <v>50</v>
      </c>
      <c r="I9" s="166">
        <v>41834</v>
      </c>
      <c r="J9" s="341">
        <f>I9-C17</f>
        <v>0</v>
      </c>
      <c r="K9" s="336"/>
      <c r="L9" s="341">
        <v>0</v>
      </c>
      <c r="M9" s="336"/>
      <c r="N9" s="341" t="s">
        <v>410</v>
      </c>
      <c r="O9" s="336"/>
      <c r="P9" s="341" t="s">
        <v>410</v>
      </c>
      <c r="Q9" s="336"/>
      <c r="R9" s="164" t="s">
        <v>51</v>
      </c>
      <c r="S9" s="165"/>
      <c r="T9" s="106">
        <v>0</v>
      </c>
      <c r="U9" s="342" t="s">
        <v>52</v>
      </c>
      <c r="V9" s="342"/>
      <c r="W9" s="342"/>
      <c r="X9" s="343" t="s">
        <v>29</v>
      </c>
      <c r="Y9" s="344"/>
      <c r="Z9" s="345"/>
    </row>
    <row r="10" spans="1:33" ht="15.75" customHeight="1" x14ac:dyDescent="0.2">
      <c r="A10" s="161" t="s">
        <v>49</v>
      </c>
      <c r="B10" s="142" t="s">
        <v>29</v>
      </c>
      <c r="C10" s="142" t="s">
        <v>29</v>
      </c>
      <c r="D10" s="142" t="s">
        <v>29</v>
      </c>
      <c r="E10" s="142" t="s">
        <v>29</v>
      </c>
      <c r="F10" s="142" t="s">
        <v>29</v>
      </c>
      <c r="G10" s="162"/>
      <c r="H10" s="157" t="s">
        <v>53</v>
      </c>
      <c r="I10" s="166">
        <v>41834</v>
      </c>
      <c r="J10" s="355">
        <v>34</v>
      </c>
      <c r="K10" s="336"/>
      <c r="L10" s="356" t="s">
        <v>29</v>
      </c>
      <c r="M10" s="336"/>
      <c r="N10" s="356" t="s">
        <v>29</v>
      </c>
      <c r="O10" s="336"/>
      <c r="P10" s="357" t="s">
        <v>29</v>
      </c>
      <c r="Q10" s="336"/>
      <c r="R10" s="164" t="s">
        <v>54</v>
      </c>
      <c r="S10" s="165"/>
      <c r="T10" s="106">
        <v>4</v>
      </c>
      <c r="U10" s="342" t="s">
        <v>55</v>
      </c>
      <c r="V10" s="342"/>
      <c r="W10" s="342"/>
      <c r="X10" s="343" t="s">
        <v>29</v>
      </c>
      <c r="Y10" s="344"/>
      <c r="Z10" s="345"/>
    </row>
    <row r="11" spans="1:33" ht="15" customHeight="1" x14ac:dyDescent="0.2">
      <c r="A11" s="161" t="s">
        <v>49</v>
      </c>
      <c r="B11" s="142" t="s">
        <v>29</v>
      </c>
      <c r="C11" s="142" t="s">
        <v>29</v>
      </c>
      <c r="D11" s="142" t="s">
        <v>29</v>
      </c>
      <c r="E11" s="142" t="s">
        <v>29</v>
      </c>
      <c r="F11" s="142" t="s">
        <v>29</v>
      </c>
      <c r="G11" s="162"/>
      <c r="H11" s="157" t="s">
        <v>56</v>
      </c>
      <c r="I11" s="167"/>
      <c r="J11" s="352" t="s">
        <v>29</v>
      </c>
      <c r="K11" s="336"/>
      <c r="L11" s="353" t="s">
        <v>29</v>
      </c>
      <c r="M11" s="336"/>
      <c r="N11" s="353" t="s">
        <v>29</v>
      </c>
      <c r="O11" s="336"/>
      <c r="P11" s="354" t="s">
        <v>29</v>
      </c>
      <c r="Q11" s="336"/>
      <c r="R11" s="164" t="s">
        <v>57</v>
      </c>
      <c r="S11" s="165"/>
      <c r="T11" s="106">
        <v>2</v>
      </c>
      <c r="U11" s="342" t="s">
        <v>58</v>
      </c>
      <c r="V11" s="342"/>
      <c r="W11" s="342"/>
      <c r="X11" s="343" t="s">
        <v>29</v>
      </c>
      <c r="Y11" s="344"/>
      <c r="Z11" s="345"/>
    </row>
    <row r="12" spans="1:33" ht="15" customHeight="1" x14ac:dyDescent="0.2">
      <c r="A12" s="161" t="s">
        <v>49</v>
      </c>
      <c r="B12" s="142" t="s">
        <v>29</v>
      </c>
      <c r="C12" s="142" t="s">
        <v>29</v>
      </c>
      <c r="D12" s="142" t="s">
        <v>29</v>
      </c>
      <c r="E12" s="142" t="s">
        <v>29</v>
      </c>
      <c r="F12" s="142" t="s">
        <v>29</v>
      </c>
      <c r="G12" s="162"/>
      <c r="H12" s="157" t="s">
        <v>59</v>
      </c>
      <c r="I12" s="163">
        <v>41839</v>
      </c>
      <c r="J12" s="341">
        <f>I12-C17</f>
        <v>5</v>
      </c>
      <c r="K12" s="336"/>
      <c r="L12" s="341">
        <v>5</v>
      </c>
      <c r="M12" s="336"/>
      <c r="N12" s="341">
        <v>3</v>
      </c>
      <c r="O12" s="336"/>
      <c r="P12" s="362" t="s">
        <v>410</v>
      </c>
      <c r="Q12" s="336"/>
      <c r="R12" s="164" t="s">
        <v>60</v>
      </c>
      <c r="S12" s="165"/>
      <c r="T12" s="106">
        <v>2</v>
      </c>
      <c r="U12" s="342" t="s">
        <v>61</v>
      </c>
      <c r="V12" s="342"/>
      <c r="W12" s="342"/>
      <c r="X12" s="343" t="s">
        <v>29</v>
      </c>
      <c r="Y12" s="344"/>
      <c r="Z12" s="345"/>
    </row>
    <row r="13" spans="1:33" ht="15.75" customHeight="1" x14ac:dyDescent="0.2">
      <c r="A13" s="161" t="s">
        <v>49</v>
      </c>
      <c r="B13" s="142" t="s">
        <v>29</v>
      </c>
      <c r="C13" s="142" t="s">
        <v>29</v>
      </c>
      <c r="D13" s="142" t="s">
        <v>29</v>
      </c>
      <c r="E13" s="142" t="s">
        <v>29</v>
      </c>
      <c r="F13" s="142" t="s">
        <v>29</v>
      </c>
      <c r="G13" s="162"/>
      <c r="H13" s="157" t="s">
        <v>62</v>
      </c>
      <c r="I13" s="166">
        <v>41839</v>
      </c>
      <c r="J13" s="355">
        <v>70</v>
      </c>
      <c r="K13" s="336"/>
      <c r="L13" s="356">
        <v>63</v>
      </c>
      <c r="M13" s="336"/>
      <c r="N13" s="356">
        <v>29</v>
      </c>
      <c r="O13" s="336"/>
      <c r="P13" s="357" t="s">
        <v>410</v>
      </c>
      <c r="Q13" s="336"/>
      <c r="R13" s="164" t="s">
        <v>63</v>
      </c>
      <c r="S13" s="165"/>
      <c r="T13" s="168">
        <v>2</v>
      </c>
      <c r="U13" s="398" t="s">
        <v>64</v>
      </c>
      <c r="V13" s="399"/>
      <c r="W13" s="400"/>
      <c r="X13" s="359" t="s">
        <v>29</v>
      </c>
      <c r="Y13" s="360"/>
      <c r="Z13" s="361"/>
    </row>
    <row r="14" spans="1:33" ht="15.75" customHeight="1" x14ac:dyDescent="0.2">
      <c r="A14" s="161" t="s">
        <v>49</v>
      </c>
      <c r="B14" s="142" t="s">
        <v>29</v>
      </c>
      <c r="C14" s="142" t="s">
        <v>29</v>
      </c>
      <c r="D14" s="142" t="s">
        <v>29</v>
      </c>
      <c r="E14" s="142" t="s">
        <v>29</v>
      </c>
      <c r="F14" s="142" t="s">
        <v>29</v>
      </c>
      <c r="G14" s="162"/>
      <c r="H14" s="157" t="s">
        <v>65</v>
      </c>
      <c r="I14" s="167"/>
      <c r="J14" s="352" t="s">
        <v>29</v>
      </c>
      <c r="K14" s="336"/>
      <c r="L14" s="353" t="s">
        <v>29</v>
      </c>
      <c r="M14" s="336"/>
      <c r="N14" s="353" t="s">
        <v>29</v>
      </c>
      <c r="O14" s="336"/>
      <c r="P14" s="354" t="s">
        <v>29</v>
      </c>
      <c r="Q14" s="272"/>
      <c r="R14" s="401" t="s">
        <v>66</v>
      </c>
      <c r="S14" s="402"/>
      <c r="T14" s="402"/>
      <c r="U14" s="402"/>
      <c r="V14" s="402"/>
      <c r="W14" s="402"/>
      <c r="X14" s="402"/>
      <c r="Y14" s="402"/>
      <c r="Z14" s="402"/>
      <c r="AA14" s="462" t="s">
        <v>436</v>
      </c>
      <c r="AB14" s="463"/>
      <c r="AC14" s="464"/>
    </row>
    <row r="15" spans="1:33" ht="15.75" customHeight="1" x14ac:dyDescent="0.2">
      <c r="A15" s="161" t="s">
        <v>49</v>
      </c>
      <c r="B15" s="142" t="s">
        <v>29</v>
      </c>
      <c r="C15" s="142" t="s">
        <v>29</v>
      </c>
      <c r="D15" s="142" t="s">
        <v>29</v>
      </c>
      <c r="E15" s="142" t="s">
        <v>29</v>
      </c>
      <c r="F15" s="142" t="s">
        <v>29</v>
      </c>
      <c r="G15" s="162"/>
      <c r="H15" s="157" t="s">
        <v>67</v>
      </c>
      <c r="I15" s="167"/>
      <c r="J15" s="352" t="s">
        <v>29</v>
      </c>
      <c r="K15" s="336"/>
      <c r="L15" s="353" t="s">
        <v>29</v>
      </c>
      <c r="M15" s="336"/>
      <c r="N15" s="353" t="s">
        <v>29</v>
      </c>
      <c r="O15" s="336"/>
      <c r="P15" s="354" t="s">
        <v>29</v>
      </c>
      <c r="Q15" s="272"/>
      <c r="R15" s="404"/>
      <c r="S15" s="405"/>
      <c r="T15" s="405"/>
      <c r="U15" s="405"/>
      <c r="V15" s="405"/>
      <c r="W15" s="405"/>
      <c r="X15" s="405"/>
      <c r="Y15" s="405"/>
      <c r="Z15" s="405"/>
      <c r="AA15" s="465"/>
      <c r="AB15" s="466"/>
      <c r="AC15" s="467"/>
    </row>
    <row r="16" spans="1:33" ht="15.75" customHeight="1" x14ac:dyDescent="0.2">
      <c r="A16" s="161" t="s">
        <v>49</v>
      </c>
      <c r="B16" s="142" t="s">
        <v>29</v>
      </c>
      <c r="C16" s="142" t="s">
        <v>29</v>
      </c>
      <c r="D16" s="142" t="s">
        <v>29</v>
      </c>
      <c r="E16" s="142" t="s">
        <v>29</v>
      </c>
      <c r="F16" s="142" t="s">
        <v>29</v>
      </c>
      <c r="G16" s="162"/>
      <c r="H16" s="157" t="s">
        <v>68</v>
      </c>
      <c r="I16" s="167"/>
      <c r="J16" s="352" t="s">
        <v>29</v>
      </c>
      <c r="K16" s="336"/>
      <c r="L16" s="353" t="s">
        <v>29</v>
      </c>
      <c r="M16" s="336"/>
      <c r="N16" s="353" t="s">
        <v>29</v>
      </c>
      <c r="O16" s="336"/>
      <c r="P16" s="363" t="s">
        <v>29</v>
      </c>
      <c r="Q16" s="293"/>
      <c r="R16" s="305" t="s">
        <v>416</v>
      </c>
      <c r="S16" s="305"/>
      <c r="T16" s="305"/>
      <c r="U16" s="305"/>
      <c r="V16" s="305"/>
      <c r="W16" s="305"/>
      <c r="X16" s="305"/>
      <c r="Y16" s="305"/>
      <c r="Z16" s="306"/>
      <c r="AA16" s="468" t="s">
        <v>437</v>
      </c>
      <c r="AB16" s="469"/>
      <c r="AC16" s="469"/>
    </row>
    <row r="17" spans="1:29" ht="15.75" customHeight="1" x14ac:dyDescent="0.2">
      <c r="A17" s="171" t="s">
        <v>69</v>
      </c>
      <c r="B17" s="142"/>
      <c r="C17" s="155">
        <v>41834</v>
      </c>
      <c r="D17" s="155">
        <v>41834</v>
      </c>
      <c r="E17" s="155">
        <v>41836</v>
      </c>
      <c r="F17" s="155">
        <v>41835</v>
      </c>
      <c r="G17" s="156">
        <f>AVERAGE(C17:F17)</f>
        <v>41834.75</v>
      </c>
      <c r="H17" s="157" t="s">
        <v>70</v>
      </c>
      <c r="I17" s="163">
        <v>41844</v>
      </c>
      <c r="J17" s="364">
        <f>I17-C17</f>
        <v>10</v>
      </c>
      <c r="K17" s="336"/>
      <c r="L17" s="364">
        <v>10</v>
      </c>
      <c r="M17" s="336"/>
      <c r="N17" s="364" t="s">
        <v>410</v>
      </c>
      <c r="O17" s="272"/>
      <c r="P17" s="365" t="s">
        <v>410</v>
      </c>
      <c r="Q17" s="261"/>
      <c r="R17" s="307"/>
      <c r="S17" s="307"/>
      <c r="T17" s="307"/>
      <c r="U17" s="307"/>
      <c r="V17" s="307"/>
      <c r="W17" s="307"/>
      <c r="X17" s="307"/>
      <c r="Y17" s="307"/>
      <c r="Z17" s="308"/>
      <c r="AA17" s="470"/>
      <c r="AB17" s="471"/>
      <c r="AC17" s="471"/>
    </row>
    <row r="18" spans="1:29" ht="15.75" customHeight="1" x14ac:dyDescent="0.2">
      <c r="A18" s="338" t="s">
        <v>71</v>
      </c>
      <c r="B18" s="368"/>
      <c r="C18" s="172">
        <f>C17-C8</f>
        <v>38</v>
      </c>
      <c r="D18" s="172">
        <f>D17-D8</f>
        <v>36</v>
      </c>
      <c r="E18" s="172">
        <f>E17-E8</f>
        <v>36</v>
      </c>
      <c r="F18" s="172">
        <f>F17-F8</f>
        <v>32</v>
      </c>
      <c r="G18" s="173">
        <f>AVERAGE(C18:E18)</f>
        <v>36.666666666666664</v>
      </c>
      <c r="H18" s="157" t="s">
        <v>72</v>
      </c>
      <c r="I18" s="166">
        <v>41844</v>
      </c>
      <c r="J18" s="357">
        <v>220</v>
      </c>
      <c r="K18" s="336"/>
      <c r="L18" s="356">
        <v>232</v>
      </c>
      <c r="M18" s="336"/>
      <c r="N18" s="366" t="s">
        <v>410</v>
      </c>
      <c r="O18" s="272"/>
      <c r="P18" s="367" t="s">
        <v>410</v>
      </c>
      <c r="Q18" s="261"/>
      <c r="R18" s="307"/>
      <c r="S18" s="307"/>
      <c r="T18" s="307"/>
      <c r="U18" s="307"/>
      <c r="V18" s="307"/>
      <c r="W18" s="307"/>
      <c r="X18" s="307"/>
      <c r="Y18" s="307"/>
      <c r="Z18" s="308"/>
      <c r="AA18" s="470"/>
      <c r="AB18" s="471"/>
      <c r="AC18" s="471"/>
    </row>
    <row r="19" spans="1:29" ht="15.75" customHeight="1" x14ac:dyDescent="0.2">
      <c r="A19" s="340" t="s">
        <v>73</v>
      </c>
      <c r="B19" s="340"/>
      <c r="C19" s="339" t="s">
        <v>40</v>
      </c>
      <c r="D19" s="339" t="s">
        <v>41</v>
      </c>
      <c r="E19" s="339" t="s">
        <v>42</v>
      </c>
      <c r="F19" s="339" t="s">
        <v>43</v>
      </c>
      <c r="G19" s="339" t="s">
        <v>38</v>
      </c>
      <c r="H19" s="167" t="s">
        <v>78</v>
      </c>
      <c r="I19" s="167"/>
      <c r="J19" s="354" t="s">
        <v>29</v>
      </c>
      <c r="K19" s="336"/>
      <c r="L19" s="353" t="s">
        <v>29</v>
      </c>
      <c r="M19" s="336"/>
      <c r="N19" s="370" t="s">
        <v>29</v>
      </c>
      <c r="O19" s="272"/>
      <c r="P19" s="371" t="s">
        <v>29</v>
      </c>
      <c r="Q19" s="261"/>
      <c r="R19" s="307"/>
      <c r="S19" s="307"/>
      <c r="T19" s="307"/>
      <c r="U19" s="307"/>
      <c r="V19" s="307"/>
      <c r="W19" s="307"/>
      <c r="X19" s="307"/>
      <c r="Y19" s="307"/>
      <c r="Z19" s="308"/>
      <c r="AA19" s="470"/>
      <c r="AB19" s="471"/>
      <c r="AC19" s="471"/>
    </row>
    <row r="20" spans="1:29" ht="15" customHeight="1" x14ac:dyDescent="0.2">
      <c r="A20" s="369"/>
      <c r="B20" s="369"/>
      <c r="C20" s="261"/>
      <c r="D20" s="261"/>
      <c r="E20" s="261"/>
      <c r="F20" s="261"/>
      <c r="G20" s="261"/>
      <c r="H20" s="167" t="s">
        <v>67</v>
      </c>
      <c r="I20" s="167"/>
      <c r="J20" s="354" t="s">
        <v>29</v>
      </c>
      <c r="K20" s="336"/>
      <c r="L20" s="353" t="s">
        <v>29</v>
      </c>
      <c r="M20" s="336"/>
      <c r="N20" s="370" t="s">
        <v>29</v>
      </c>
      <c r="O20" s="272"/>
      <c r="P20" s="371" t="s">
        <v>29</v>
      </c>
      <c r="Q20" s="261"/>
      <c r="R20" s="307"/>
      <c r="S20" s="307"/>
      <c r="T20" s="307"/>
      <c r="U20" s="307"/>
      <c r="V20" s="307"/>
      <c r="W20" s="307"/>
      <c r="X20" s="307"/>
      <c r="Y20" s="307"/>
      <c r="Z20" s="308"/>
      <c r="AA20" s="470"/>
      <c r="AB20" s="471"/>
      <c r="AC20" s="471"/>
    </row>
    <row r="21" spans="1:29" ht="15.75" customHeight="1" x14ac:dyDescent="0.2">
      <c r="A21" s="372" t="s">
        <v>79</v>
      </c>
      <c r="B21" s="373"/>
      <c r="C21" s="122"/>
      <c r="D21" s="122"/>
      <c r="E21" s="122"/>
      <c r="F21" s="122"/>
      <c r="G21" s="122" t="s">
        <v>29</v>
      </c>
      <c r="H21" s="157" t="s">
        <v>68</v>
      </c>
      <c r="I21" s="167"/>
      <c r="J21" s="354" t="s">
        <v>29</v>
      </c>
      <c r="K21" s="336"/>
      <c r="L21" s="353" t="s">
        <v>29</v>
      </c>
      <c r="M21" s="336"/>
      <c r="N21" s="370" t="s">
        <v>29</v>
      </c>
      <c r="O21" s="272"/>
      <c r="P21" s="371" t="s">
        <v>29</v>
      </c>
      <c r="Q21" s="261"/>
      <c r="R21" s="307"/>
      <c r="S21" s="307"/>
      <c r="T21" s="307"/>
      <c r="U21" s="307"/>
      <c r="V21" s="307"/>
      <c r="W21" s="307"/>
      <c r="X21" s="307"/>
      <c r="Y21" s="307"/>
      <c r="Z21" s="308"/>
      <c r="AA21" s="470"/>
      <c r="AB21" s="471"/>
      <c r="AC21" s="471"/>
    </row>
    <row r="22" spans="1:29" ht="15.75" customHeight="1" x14ac:dyDescent="0.2">
      <c r="A22" s="372" t="s">
        <v>46</v>
      </c>
      <c r="B22" s="373"/>
      <c r="C22" s="200"/>
      <c r="D22" s="200"/>
      <c r="E22" s="200"/>
      <c r="F22" s="71"/>
      <c r="G22" s="71" t="s">
        <v>29</v>
      </c>
      <c r="H22" s="176" t="s">
        <v>80</v>
      </c>
      <c r="I22" s="163">
        <v>41849</v>
      </c>
      <c r="J22" s="364">
        <f>I22-C17</f>
        <v>15</v>
      </c>
      <c r="K22" s="336"/>
      <c r="L22" s="364">
        <v>15</v>
      </c>
      <c r="M22" s="336"/>
      <c r="N22" s="364" t="s">
        <v>410</v>
      </c>
      <c r="O22" s="272"/>
      <c r="P22" s="365" t="s">
        <v>410</v>
      </c>
      <c r="Q22" s="261"/>
      <c r="R22" s="307"/>
      <c r="S22" s="307"/>
      <c r="T22" s="307"/>
      <c r="U22" s="307"/>
      <c r="V22" s="307"/>
      <c r="W22" s="307"/>
      <c r="X22" s="307"/>
      <c r="Y22" s="307"/>
      <c r="Z22" s="308"/>
      <c r="AA22" s="470"/>
      <c r="AB22" s="471"/>
      <c r="AC22" s="471"/>
    </row>
    <row r="23" spans="1:29" ht="15.75" customHeight="1" x14ac:dyDescent="0.2">
      <c r="A23" s="372" t="s">
        <v>81</v>
      </c>
      <c r="B23" s="373"/>
      <c r="C23" s="71"/>
      <c r="D23" s="71"/>
      <c r="E23" s="71"/>
      <c r="F23" s="71"/>
      <c r="G23" s="106" t="s">
        <v>29</v>
      </c>
      <c r="H23" s="178" t="s">
        <v>82</v>
      </c>
      <c r="I23" s="166">
        <v>41849</v>
      </c>
      <c r="J23" s="357">
        <v>406</v>
      </c>
      <c r="K23" s="336"/>
      <c r="L23" s="356">
        <v>477</v>
      </c>
      <c r="M23" s="336"/>
      <c r="N23" s="366" t="s">
        <v>410</v>
      </c>
      <c r="O23" s="272"/>
      <c r="P23" s="367" t="s">
        <v>410</v>
      </c>
      <c r="Q23" s="261"/>
      <c r="R23" s="307"/>
      <c r="S23" s="307"/>
      <c r="T23" s="307"/>
      <c r="U23" s="307"/>
      <c r="V23" s="307"/>
      <c r="W23" s="307"/>
      <c r="X23" s="307"/>
      <c r="Y23" s="307"/>
      <c r="Z23" s="308"/>
      <c r="AA23" s="470"/>
      <c r="AB23" s="471"/>
      <c r="AC23" s="471"/>
    </row>
    <row r="24" spans="1:29" ht="15.75" customHeight="1" x14ac:dyDescent="0.2">
      <c r="A24" s="372" t="s">
        <v>12</v>
      </c>
      <c r="B24" s="373"/>
      <c r="D24" s="71"/>
      <c r="E24" s="71"/>
      <c r="F24" s="71"/>
      <c r="G24" s="106" t="s">
        <v>29</v>
      </c>
      <c r="H24" s="178" t="s">
        <v>83</v>
      </c>
      <c r="I24" s="166">
        <v>41849</v>
      </c>
      <c r="J24" s="357" t="s">
        <v>369</v>
      </c>
      <c r="K24" s="336"/>
      <c r="L24" s="356" t="s">
        <v>369</v>
      </c>
      <c r="M24" s="336"/>
      <c r="N24" s="380" t="s">
        <v>29</v>
      </c>
      <c r="O24" s="272"/>
      <c r="P24" s="371" t="s">
        <v>29</v>
      </c>
      <c r="Q24" s="261"/>
      <c r="R24" s="307"/>
      <c r="S24" s="307"/>
      <c r="T24" s="307"/>
      <c r="U24" s="307"/>
      <c r="V24" s="307"/>
      <c r="W24" s="307"/>
      <c r="X24" s="307"/>
      <c r="Y24" s="307"/>
      <c r="Z24" s="308"/>
      <c r="AA24" s="470"/>
      <c r="AB24" s="471"/>
      <c r="AC24" s="471"/>
    </row>
    <row r="25" spans="1:29" ht="15.75" customHeight="1" x14ac:dyDescent="0.2">
      <c r="A25" s="372" t="s">
        <v>84</v>
      </c>
      <c r="B25" s="373"/>
      <c r="C25" s="71"/>
      <c r="D25" s="71"/>
      <c r="E25" s="71"/>
      <c r="F25" s="71"/>
      <c r="G25" s="106" t="s">
        <v>29</v>
      </c>
      <c r="H25" s="178" t="s">
        <v>67</v>
      </c>
      <c r="I25" s="167"/>
      <c r="J25" s="354" t="s">
        <v>29</v>
      </c>
      <c r="K25" s="336"/>
      <c r="L25" s="372" t="s">
        <v>29</v>
      </c>
      <c r="M25" s="336"/>
      <c r="N25" s="380" t="s">
        <v>29</v>
      </c>
      <c r="O25" s="272"/>
      <c r="P25" s="371" t="s">
        <v>29</v>
      </c>
      <c r="Q25" s="261"/>
      <c r="R25" s="307"/>
      <c r="S25" s="307"/>
      <c r="T25" s="307"/>
      <c r="U25" s="307"/>
      <c r="V25" s="307"/>
      <c r="W25" s="307"/>
      <c r="X25" s="307"/>
      <c r="Y25" s="307"/>
      <c r="Z25" s="308"/>
      <c r="AA25" s="470"/>
      <c r="AB25" s="471"/>
      <c r="AC25" s="471"/>
    </row>
    <row r="26" spans="1:29" ht="15.75" customHeight="1" x14ac:dyDescent="0.2">
      <c r="A26" s="372" t="s">
        <v>11</v>
      </c>
      <c r="B26" s="373"/>
      <c r="D26" s="71"/>
      <c r="E26" s="71"/>
      <c r="F26" s="71"/>
      <c r="G26" s="106" t="s">
        <v>29</v>
      </c>
      <c r="H26" s="178" t="s">
        <v>68</v>
      </c>
      <c r="I26" s="167"/>
      <c r="J26" s="354" t="s">
        <v>29</v>
      </c>
      <c r="K26" s="336"/>
      <c r="L26" s="372" t="s">
        <v>29</v>
      </c>
      <c r="M26" s="336"/>
      <c r="N26" s="380" t="s">
        <v>29</v>
      </c>
      <c r="O26" s="272"/>
      <c r="P26" s="371" t="s">
        <v>29</v>
      </c>
      <c r="Q26" s="261"/>
      <c r="R26" s="307"/>
      <c r="S26" s="307"/>
      <c r="T26" s="307"/>
      <c r="U26" s="307"/>
      <c r="V26" s="307"/>
      <c r="W26" s="307"/>
      <c r="X26" s="307"/>
      <c r="Y26" s="307"/>
      <c r="Z26" s="308"/>
      <c r="AA26" s="470"/>
      <c r="AB26" s="471"/>
      <c r="AC26" s="471"/>
    </row>
    <row r="27" spans="1:29" ht="15.75" customHeight="1" x14ac:dyDescent="0.2">
      <c r="A27" s="374" t="s">
        <v>85</v>
      </c>
      <c r="B27" s="375"/>
      <c r="C27" s="71" t="s">
        <v>410</v>
      </c>
      <c r="D27" s="71" t="s">
        <v>29</v>
      </c>
      <c r="E27" s="177">
        <v>41840</v>
      </c>
      <c r="F27" s="177">
        <v>41835</v>
      </c>
      <c r="G27" s="106" t="s">
        <v>29</v>
      </c>
      <c r="H27" s="178" t="s">
        <v>86</v>
      </c>
      <c r="I27" s="167"/>
      <c r="J27" s="354" t="s">
        <v>29</v>
      </c>
      <c r="K27" s="336"/>
      <c r="L27" s="372" t="s">
        <v>29</v>
      </c>
      <c r="M27" s="336"/>
      <c r="N27" s="380" t="s">
        <v>29</v>
      </c>
      <c r="O27" s="272"/>
      <c r="P27" s="371" t="s">
        <v>29</v>
      </c>
      <c r="Q27" s="261"/>
      <c r="R27" s="307"/>
      <c r="S27" s="307"/>
      <c r="T27" s="307"/>
      <c r="U27" s="307"/>
      <c r="V27" s="307"/>
      <c r="W27" s="307"/>
      <c r="X27" s="307"/>
      <c r="Y27" s="307"/>
      <c r="Z27" s="308"/>
      <c r="AA27" s="470"/>
      <c r="AB27" s="471"/>
      <c r="AC27" s="471"/>
    </row>
    <row r="28" spans="1:29" ht="15.75" customHeight="1" x14ac:dyDescent="0.2">
      <c r="A28" s="378" t="s">
        <v>87</v>
      </c>
      <c r="B28" s="379"/>
      <c r="C28" s="71"/>
      <c r="D28" s="71" t="s">
        <v>29</v>
      </c>
      <c r="E28" s="71">
        <v>5</v>
      </c>
      <c r="F28" s="71">
        <v>1</v>
      </c>
      <c r="G28" s="106" t="s">
        <v>29</v>
      </c>
      <c r="H28" s="178" t="s">
        <v>88</v>
      </c>
      <c r="I28" s="167"/>
      <c r="J28" s="354" t="s">
        <v>29</v>
      </c>
      <c r="K28" s="336"/>
      <c r="L28" s="372" t="s">
        <v>29</v>
      </c>
      <c r="M28" s="336"/>
      <c r="N28" s="380" t="s">
        <v>29</v>
      </c>
      <c r="O28" s="272"/>
      <c r="P28" s="371" t="s">
        <v>29</v>
      </c>
      <c r="Q28" s="261"/>
      <c r="R28" s="307"/>
      <c r="S28" s="307"/>
      <c r="T28" s="307"/>
      <c r="U28" s="307"/>
      <c r="V28" s="307"/>
      <c r="W28" s="307"/>
      <c r="X28" s="307"/>
      <c r="Y28" s="307"/>
      <c r="Z28" s="308"/>
      <c r="AA28" s="470"/>
      <c r="AB28" s="471"/>
      <c r="AC28" s="471"/>
    </row>
    <row r="29" spans="1:29" ht="15.75" customHeight="1" x14ac:dyDescent="0.2">
      <c r="A29" s="126"/>
      <c r="B29" s="180"/>
      <c r="C29" s="181"/>
      <c r="D29" s="181"/>
      <c r="E29" s="181"/>
      <c r="F29" s="181"/>
      <c r="G29" s="181"/>
      <c r="H29" s="176" t="s">
        <v>372</v>
      </c>
      <c r="I29" s="163">
        <v>41854</v>
      </c>
      <c r="J29" s="364">
        <f>I29-C17</f>
        <v>20</v>
      </c>
      <c r="K29" s="336"/>
      <c r="L29" s="364">
        <v>20</v>
      </c>
      <c r="M29" s="336"/>
      <c r="N29" s="364" t="s">
        <v>410</v>
      </c>
      <c r="O29" s="272"/>
      <c r="P29" s="365" t="s">
        <v>410</v>
      </c>
      <c r="Q29" s="261"/>
      <c r="R29" s="182"/>
      <c r="S29" s="181"/>
      <c r="T29" s="181"/>
      <c r="U29" s="181"/>
      <c r="V29" s="181"/>
      <c r="W29" s="181"/>
      <c r="X29" s="181"/>
      <c r="Y29" s="181"/>
      <c r="Z29" s="181"/>
    </row>
    <row r="30" spans="1:29" ht="18" customHeight="1" x14ac:dyDescent="0.2">
      <c r="H30" s="178" t="s">
        <v>373</v>
      </c>
      <c r="I30" s="166">
        <v>41854</v>
      </c>
      <c r="J30" s="357">
        <v>486</v>
      </c>
      <c r="K30" s="336"/>
      <c r="L30" s="356">
        <v>603</v>
      </c>
      <c r="M30" s="336"/>
      <c r="N30" s="366" t="s">
        <v>410</v>
      </c>
      <c r="O30" s="272"/>
      <c r="P30" s="367" t="s">
        <v>410</v>
      </c>
      <c r="Q30" s="261"/>
    </row>
    <row r="31" spans="1:29" ht="18" customHeight="1" x14ac:dyDescent="0.2">
      <c r="H31" s="178" t="s">
        <v>83</v>
      </c>
      <c r="I31" s="166">
        <v>41849</v>
      </c>
      <c r="J31" s="380" t="s">
        <v>29</v>
      </c>
      <c r="K31" s="272"/>
      <c r="L31" s="380" t="s">
        <v>29</v>
      </c>
      <c r="M31" s="272"/>
      <c r="N31" s="380" t="s">
        <v>29</v>
      </c>
      <c r="O31" s="272"/>
      <c r="P31" s="371" t="s">
        <v>29</v>
      </c>
      <c r="Q31" s="261"/>
    </row>
    <row r="32" spans="1:29" ht="18" customHeight="1" x14ac:dyDescent="0.2">
      <c r="H32" s="178" t="s">
        <v>67</v>
      </c>
      <c r="I32" s="167"/>
      <c r="J32" s="354" t="s">
        <v>29</v>
      </c>
      <c r="K32" s="336"/>
      <c r="L32" s="372" t="s">
        <v>29</v>
      </c>
      <c r="M32" s="336"/>
      <c r="N32" s="380" t="s">
        <v>29</v>
      </c>
      <c r="O32" s="272"/>
      <c r="P32" s="371" t="s">
        <v>29</v>
      </c>
      <c r="Q32" s="261"/>
    </row>
    <row r="33" spans="8:17" ht="18" customHeight="1" x14ac:dyDescent="0.2">
      <c r="H33" s="178" t="s">
        <v>68</v>
      </c>
      <c r="I33" s="167"/>
      <c r="J33" s="354" t="s">
        <v>29</v>
      </c>
      <c r="K33" s="336"/>
      <c r="L33" s="372" t="s">
        <v>29</v>
      </c>
      <c r="M33" s="336"/>
      <c r="N33" s="380" t="s">
        <v>29</v>
      </c>
      <c r="O33" s="272"/>
      <c r="P33" s="371" t="s">
        <v>29</v>
      </c>
      <c r="Q33" s="261"/>
    </row>
    <row r="34" spans="8:17" ht="18" customHeight="1" x14ac:dyDescent="0.2">
      <c r="H34" s="178" t="s">
        <v>86</v>
      </c>
      <c r="I34" s="167"/>
      <c r="J34" s="354" t="s">
        <v>29</v>
      </c>
      <c r="K34" s="336"/>
      <c r="L34" s="372" t="s">
        <v>29</v>
      </c>
      <c r="M34" s="336"/>
      <c r="N34" s="380" t="s">
        <v>29</v>
      </c>
      <c r="O34" s="272"/>
      <c r="P34" s="371" t="s">
        <v>29</v>
      </c>
      <c r="Q34" s="261"/>
    </row>
    <row r="35" spans="8:17" ht="18" customHeight="1" x14ac:dyDescent="0.2">
      <c r="H35" s="178" t="s">
        <v>88</v>
      </c>
      <c r="I35" s="167"/>
      <c r="J35" s="354" t="s">
        <v>29</v>
      </c>
      <c r="K35" s="336"/>
      <c r="L35" s="372" t="s">
        <v>29</v>
      </c>
      <c r="M35" s="336"/>
      <c r="N35" s="380" t="s">
        <v>29</v>
      </c>
      <c r="O35" s="272"/>
      <c r="P35" s="371" t="s">
        <v>29</v>
      </c>
      <c r="Q35" s="261"/>
    </row>
    <row r="36" spans="8:17" ht="18" customHeight="1" x14ac:dyDescent="0.2">
      <c r="H36" s="176" t="s">
        <v>414</v>
      </c>
      <c r="I36" s="163">
        <v>41862</v>
      </c>
      <c r="J36" s="364">
        <f>I36-C17</f>
        <v>28</v>
      </c>
      <c r="K36" s="336"/>
      <c r="L36" s="364">
        <v>28</v>
      </c>
      <c r="M36" s="336"/>
      <c r="N36" s="364" t="s">
        <v>410</v>
      </c>
      <c r="O36" s="272"/>
      <c r="P36" s="365" t="s">
        <v>410</v>
      </c>
      <c r="Q36" s="261"/>
    </row>
    <row r="37" spans="8:17" ht="18" customHeight="1" x14ac:dyDescent="0.2">
      <c r="H37" s="178" t="s">
        <v>415</v>
      </c>
      <c r="I37" s="166">
        <v>41862</v>
      </c>
      <c r="J37" s="357">
        <v>571</v>
      </c>
      <c r="K37" s="336"/>
      <c r="L37" s="356">
        <v>764</v>
      </c>
      <c r="M37" s="336"/>
      <c r="N37" s="366" t="s">
        <v>410</v>
      </c>
      <c r="O37" s="272"/>
      <c r="P37" s="367" t="s">
        <v>410</v>
      </c>
      <c r="Q37" s="261"/>
    </row>
    <row r="38" spans="8:17" ht="18" customHeight="1" x14ac:dyDescent="0.2">
      <c r="H38" s="178" t="s">
        <v>83</v>
      </c>
      <c r="I38" s="166">
        <v>41862</v>
      </c>
      <c r="J38" s="357" t="s">
        <v>369</v>
      </c>
      <c r="K38" s="336"/>
      <c r="L38" s="356" t="s">
        <v>369</v>
      </c>
      <c r="M38" s="336"/>
      <c r="N38" s="380" t="s">
        <v>29</v>
      </c>
      <c r="O38" s="272"/>
      <c r="P38" s="371" t="s">
        <v>29</v>
      </c>
      <c r="Q38" s="261"/>
    </row>
    <row r="39" spans="8:17" ht="18" customHeight="1" x14ac:dyDescent="0.2">
      <c r="H39" s="178" t="s">
        <v>67</v>
      </c>
      <c r="I39" s="167"/>
      <c r="J39" s="354" t="s">
        <v>29</v>
      </c>
      <c r="K39" s="336"/>
      <c r="L39" s="372" t="s">
        <v>29</v>
      </c>
      <c r="M39" s="336"/>
      <c r="N39" s="380" t="s">
        <v>29</v>
      </c>
      <c r="O39" s="272"/>
      <c r="P39" s="371" t="s">
        <v>29</v>
      </c>
      <c r="Q39" s="261"/>
    </row>
    <row r="40" spans="8:17" ht="18" customHeight="1" x14ac:dyDescent="0.2">
      <c r="H40" s="178" t="s">
        <v>68</v>
      </c>
      <c r="I40" s="167"/>
      <c r="J40" s="354" t="s">
        <v>29</v>
      </c>
      <c r="K40" s="336"/>
      <c r="L40" s="372" t="s">
        <v>29</v>
      </c>
      <c r="M40" s="336"/>
      <c r="N40" s="380" t="s">
        <v>29</v>
      </c>
      <c r="O40" s="272"/>
      <c r="P40" s="371" t="s">
        <v>29</v>
      </c>
      <c r="Q40" s="261"/>
    </row>
    <row r="41" spans="8:17" ht="18" customHeight="1" x14ac:dyDescent="0.2">
      <c r="H41" s="178" t="s">
        <v>86</v>
      </c>
      <c r="I41" s="167"/>
      <c r="J41" s="354" t="s">
        <v>29</v>
      </c>
      <c r="K41" s="336"/>
      <c r="L41" s="372" t="s">
        <v>29</v>
      </c>
      <c r="M41" s="336"/>
      <c r="N41" s="380" t="s">
        <v>29</v>
      </c>
      <c r="O41" s="272"/>
      <c r="P41" s="371" t="s">
        <v>29</v>
      </c>
      <c r="Q41" s="261"/>
    </row>
    <row r="42" spans="8:17" ht="18" customHeight="1" x14ac:dyDescent="0.2">
      <c r="H42" s="178" t="s">
        <v>88</v>
      </c>
      <c r="I42" s="167"/>
      <c r="J42" s="354" t="s">
        <v>29</v>
      </c>
      <c r="K42" s="336"/>
      <c r="L42" s="372" t="s">
        <v>29</v>
      </c>
      <c r="M42" s="336"/>
      <c r="N42" s="380" t="s">
        <v>29</v>
      </c>
      <c r="O42" s="272"/>
      <c r="P42" s="371" t="s">
        <v>29</v>
      </c>
      <c r="Q42" s="261"/>
    </row>
    <row r="43" spans="8:17" ht="18" customHeight="1" x14ac:dyDescent="0.2">
      <c r="H43" s="176" t="s">
        <v>417</v>
      </c>
      <c r="I43" s="163">
        <v>41864</v>
      </c>
      <c r="J43" s="364">
        <f>I43-C17</f>
        <v>30</v>
      </c>
      <c r="K43" s="336"/>
      <c r="L43" s="364">
        <v>30</v>
      </c>
      <c r="M43" s="336"/>
      <c r="N43" s="364" t="s">
        <v>410</v>
      </c>
      <c r="O43" s="272"/>
      <c r="P43" s="365" t="s">
        <v>410</v>
      </c>
      <c r="Q43" s="261"/>
    </row>
    <row r="44" spans="8:17" ht="18" customHeight="1" x14ac:dyDescent="0.2">
      <c r="H44" s="178" t="s">
        <v>418</v>
      </c>
      <c r="I44" s="166">
        <v>41864</v>
      </c>
      <c r="J44" s="357">
        <v>526</v>
      </c>
      <c r="K44" s="336"/>
      <c r="L44" s="356">
        <v>744</v>
      </c>
      <c r="M44" s="336"/>
      <c r="N44" s="366" t="s">
        <v>410</v>
      </c>
      <c r="O44" s="272"/>
      <c r="P44" s="367" t="s">
        <v>410</v>
      </c>
      <c r="Q44" s="261"/>
    </row>
    <row r="45" spans="8:17" ht="18" customHeight="1" x14ac:dyDescent="0.2">
      <c r="H45" s="178" t="s">
        <v>83</v>
      </c>
      <c r="I45" s="166">
        <v>41864</v>
      </c>
      <c r="J45" s="380" t="s">
        <v>29</v>
      </c>
      <c r="K45" s="272"/>
      <c r="L45" s="380" t="s">
        <v>29</v>
      </c>
      <c r="M45" s="272"/>
      <c r="N45" s="380" t="s">
        <v>29</v>
      </c>
      <c r="O45" s="272"/>
      <c r="P45" s="371" t="s">
        <v>29</v>
      </c>
      <c r="Q45" s="261"/>
    </row>
    <row r="46" spans="8:17" ht="18" customHeight="1" x14ac:dyDescent="0.2">
      <c r="H46" s="178" t="s">
        <v>67</v>
      </c>
      <c r="I46" s="167"/>
      <c r="J46" s="354" t="s">
        <v>29</v>
      </c>
      <c r="K46" s="336"/>
      <c r="L46" s="372" t="s">
        <v>29</v>
      </c>
      <c r="M46" s="336"/>
      <c r="N46" s="380" t="s">
        <v>29</v>
      </c>
      <c r="O46" s="272"/>
      <c r="P46" s="371" t="s">
        <v>29</v>
      </c>
      <c r="Q46" s="261"/>
    </row>
    <row r="47" spans="8:17" ht="18" customHeight="1" x14ac:dyDescent="0.2">
      <c r="H47" s="178" t="s">
        <v>68</v>
      </c>
      <c r="I47" s="167"/>
      <c r="J47" s="354" t="s">
        <v>29</v>
      </c>
      <c r="K47" s="336"/>
      <c r="L47" s="372" t="s">
        <v>29</v>
      </c>
      <c r="M47" s="336"/>
      <c r="N47" s="380" t="s">
        <v>29</v>
      </c>
      <c r="O47" s="272"/>
      <c r="P47" s="371" t="s">
        <v>29</v>
      </c>
      <c r="Q47" s="261"/>
    </row>
    <row r="48" spans="8:17" ht="18" customHeight="1" x14ac:dyDescent="0.2">
      <c r="H48" s="178" t="s">
        <v>86</v>
      </c>
      <c r="I48" s="167"/>
      <c r="J48" s="354" t="s">
        <v>29</v>
      </c>
      <c r="K48" s="336"/>
      <c r="L48" s="372" t="s">
        <v>29</v>
      </c>
      <c r="M48" s="336"/>
      <c r="N48" s="380" t="s">
        <v>29</v>
      </c>
      <c r="O48" s="272"/>
      <c r="P48" s="371" t="s">
        <v>29</v>
      </c>
      <c r="Q48" s="261"/>
    </row>
    <row r="49" spans="8:17" ht="18" customHeight="1" x14ac:dyDescent="0.2">
      <c r="H49" s="178" t="s">
        <v>88</v>
      </c>
      <c r="I49" s="167"/>
      <c r="J49" s="354" t="s">
        <v>29</v>
      </c>
      <c r="K49" s="336"/>
      <c r="L49" s="372" t="s">
        <v>29</v>
      </c>
      <c r="M49" s="336"/>
      <c r="N49" s="380" t="s">
        <v>29</v>
      </c>
      <c r="O49" s="272"/>
      <c r="P49" s="371" t="s">
        <v>29</v>
      </c>
      <c r="Q49" s="261"/>
    </row>
  </sheetData>
  <mergeCells count="214">
    <mergeCell ref="AA14:AC15"/>
    <mergeCell ref="AA16:AC28"/>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Z28"/>
    <mergeCell ref="J17:K17"/>
    <mergeCell ref="L17:M17"/>
    <mergeCell ref="N17:O17"/>
    <mergeCell ref="P17:Q17"/>
    <mergeCell ref="L23:M23"/>
    <mergeCell ref="N23:O23"/>
    <mergeCell ref="P23:Q23"/>
    <mergeCell ref="J14:K14"/>
    <mergeCell ref="L14:M14"/>
    <mergeCell ref="N14:O14"/>
    <mergeCell ref="P14:Q14"/>
    <mergeCell ref="R14:Z15"/>
    <mergeCell ref="J15:K15"/>
    <mergeCell ref="L15:M15"/>
    <mergeCell ref="N15:O15"/>
    <mergeCell ref="P15:Q15"/>
    <mergeCell ref="J13:K13"/>
    <mergeCell ref="L13:M13"/>
    <mergeCell ref="N13:O13"/>
    <mergeCell ref="P13:Q13"/>
    <mergeCell ref="U13:W13"/>
    <mergeCell ref="X13:Z13"/>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7:K7"/>
    <mergeCell ref="L7:M7"/>
    <mergeCell ref="N7:O7"/>
    <mergeCell ref="P7:Q7"/>
    <mergeCell ref="S7:Z7"/>
    <mergeCell ref="J9:K9"/>
    <mergeCell ref="L9:M9"/>
    <mergeCell ref="N9:O9"/>
    <mergeCell ref="P9:Q9"/>
    <mergeCell ref="U9:W9"/>
    <mergeCell ref="X9:Z9"/>
    <mergeCell ref="J8:K8"/>
    <mergeCell ref="L8:M8"/>
    <mergeCell ref="N8:O8"/>
    <mergeCell ref="P8:Q8"/>
    <mergeCell ref="U8:W8"/>
    <mergeCell ref="X8:Z8"/>
    <mergeCell ref="I1:J1"/>
    <mergeCell ref="K1:O1"/>
    <mergeCell ref="P1:Q1"/>
    <mergeCell ref="R1:S1"/>
    <mergeCell ref="L2:M2"/>
    <mergeCell ref="Q2:R2"/>
    <mergeCell ref="Y2:Z2"/>
    <mergeCell ref="L4:M4"/>
    <mergeCell ref="Q4:R4"/>
    <mergeCell ref="Y4:Z4"/>
    <mergeCell ref="J29:K29"/>
    <mergeCell ref="L29:M29"/>
    <mergeCell ref="N29:O29"/>
    <mergeCell ref="P29:Q29"/>
    <mergeCell ref="J30:K30"/>
    <mergeCell ref="L30:M30"/>
    <mergeCell ref="N30:O30"/>
    <mergeCell ref="P30:Q30"/>
    <mergeCell ref="J31:K31"/>
    <mergeCell ref="L31:M31"/>
    <mergeCell ref="N31:O31"/>
    <mergeCell ref="P31:Q31"/>
    <mergeCell ref="J32:K32"/>
    <mergeCell ref="L32:M32"/>
    <mergeCell ref="N32:O32"/>
    <mergeCell ref="P32:Q32"/>
    <mergeCell ref="J33:K33"/>
    <mergeCell ref="L33:M33"/>
    <mergeCell ref="N33:O33"/>
    <mergeCell ref="P33:Q33"/>
    <mergeCell ref="J34:K34"/>
    <mergeCell ref="L34:M34"/>
    <mergeCell ref="N34:O34"/>
    <mergeCell ref="P34:Q34"/>
    <mergeCell ref="J35:K35"/>
    <mergeCell ref="L35:M35"/>
    <mergeCell ref="N35:O35"/>
    <mergeCell ref="P35:Q35"/>
    <mergeCell ref="J36:K36"/>
    <mergeCell ref="L36:M36"/>
    <mergeCell ref="N36:O36"/>
    <mergeCell ref="P36:Q36"/>
    <mergeCell ref="J37:K37"/>
    <mergeCell ref="L37:M37"/>
    <mergeCell ref="N37:O37"/>
    <mergeCell ref="P37:Q37"/>
    <mergeCell ref="J38:K38"/>
    <mergeCell ref="L38:M38"/>
    <mergeCell ref="N38:O38"/>
    <mergeCell ref="P38:Q38"/>
    <mergeCell ref="J39:K39"/>
    <mergeCell ref="L39:M39"/>
    <mergeCell ref="N39:O39"/>
    <mergeCell ref="P39:Q39"/>
    <mergeCell ref="J40:K40"/>
    <mergeCell ref="L40:M40"/>
    <mergeCell ref="N40:O40"/>
    <mergeCell ref="P40:Q40"/>
    <mergeCell ref="J41:K41"/>
    <mergeCell ref="L41:M41"/>
    <mergeCell ref="N41:O41"/>
    <mergeCell ref="P41:Q41"/>
    <mergeCell ref="J42:K42"/>
    <mergeCell ref="L42:M42"/>
    <mergeCell ref="N42:O42"/>
    <mergeCell ref="P42:Q42"/>
    <mergeCell ref="J43:K43"/>
    <mergeCell ref="L43:M43"/>
    <mergeCell ref="N43:O43"/>
    <mergeCell ref="P43:Q43"/>
    <mergeCell ref="J44:K44"/>
    <mergeCell ref="L44:M44"/>
    <mergeCell ref="N44:O44"/>
    <mergeCell ref="P44:Q44"/>
    <mergeCell ref="J45:K45"/>
    <mergeCell ref="L45:M45"/>
    <mergeCell ref="N45:O45"/>
    <mergeCell ref="P45:Q45"/>
    <mergeCell ref="J46:K46"/>
    <mergeCell ref="L46:M46"/>
    <mergeCell ref="N46:O46"/>
    <mergeCell ref="P46:Q46"/>
    <mergeCell ref="J47:K47"/>
    <mergeCell ref="L47:M47"/>
    <mergeCell ref="N47:O47"/>
    <mergeCell ref="P47:Q47"/>
    <mergeCell ref="J48:K48"/>
    <mergeCell ref="L48:M48"/>
    <mergeCell ref="N48:O48"/>
    <mergeCell ref="P48:Q48"/>
    <mergeCell ref="J49:K49"/>
    <mergeCell ref="L49:M49"/>
    <mergeCell ref="N49:O49"/>
    <mergeCell ref="P49:Q49"/>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I29" sqref="I29:P45"/>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45</v>
      </c>
      <c r="G1" s="226" t="s">
        <v>3</v>
      </c>
      <c r="H1" s="216" t="s">
        <v>4</v>
      </c>
      <c r="I1" s="329" t="s">
        <v>5</v>
      </c>
      <c r="J1" s="261"/>
      <c r="K1" s="262" t="s">
        <v>323</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200</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46</v>
      </c>
      <c r="G1" s="226" t="s">
        <v>3</v>
      </c>
      <c r="H1" s="216"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403</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5"/>
  <sheetViews>
    <sheetView workbookViewId="0">
      <selection activeCell="F29" sqref="F29"/>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9.28515625" style="25" bestFit="1"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3" ht="12.75" x14ac:dyDescent="0.2">
      <c r="A1" s="132" t="s">
        <v>0</v>
      </c>
      <c r="B1" s="125">
        <v>2014</v>
      </c>
      <c r="C1" s="132" t="s">
        <v>1</v>
      </c>
      <c r="D1" s="125"/>
      <c r="E1" s="132" t="s">
        <v>2</v>
      </c>
      <c r="F1" s="125">
        <v>47</v>
      </c>
      <c r="G1" s="133" t="s">
        <v>3</v>
      </c>
      <c r="H1" s="125" t="s">
        <v>4</v>
      </c>
      <c r="I1" s="329" t="s">
        <v>5</v>
      </c>
      <c r="J1" s="261"/>
      <c r="K1" s="330" t="s">
        <v>324</v>
      </c>
      <c r="L1" s="382"/>
      <c r="M1" s="382"/>
      <c r="N1" s="382"/>
      <c r="O1" s="383"/>
      <c r="P1" s="333" t="s">
        <v>6</v>
      </c>
      <c r="Q1" s="261"/>
      <c r="R1" s="334"/>
      <c r="S1" s="272"/>
      <c r="T1" s="135"/>
      <c r="U1" s="135"/>
      <c r="V1" s="135"/>
      <c r="W1" s="135"/>
      <c r="X1" s="135"/>
      <c r="Y1" s="135"/>
      <c r="Z1" s="136"/>
    </row>
    <row r="2" spans="1:33"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3" ht="15.75" customHeight="1" x14ac:dyDescent="0.2">
      <c r="A3" s="71" t="s">
        <v>29</v>
      </c>
      <c r="B3" s="144">
        <v>41819</v>
      </c>
      <c r="C3" s="71" t="s">
        <v>29</v>
      </c>
      <c r="D3" s="71" t="s">
        <v>29</v>
      </c>
      <c r="E3" s="71" t="s">
        <v>260</v>
      </c>
      <c r="F3" s="71" t="s">
        <v>350</v>
      </c>
      <c r="G3" s="71" t="s">
        <v>225</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3"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c r="AE4" s="95" t="s">
        <v>346</v>
      </c>
      <c r="AF4" s="95" t="s">
        <v>347</v>
      </c>
      <c r="AG4" s="95" t="s">
        <v>348</v>
      </c>
    </row>
    <row r="5" spans="1:33" ht="15.75" customHeight="1" x14ac:dyDescent="0.2">
      <c r="A5" s="80" t="s">
        <v>103</v>
      </c>
      <c r="B5" s="185">
        <v>41786</v>
      </c>
      <c r="C5" s="80" t="s">
        <v>105</v>
      </c>
      <c r="D5" s="80" t="s">
        <v>29</v>
      </c>
      <c r="E5" s="80" t="s">
        <v>156</v>
      </c>
      <c r="F5" s="80" t="s">
        <v>157</v>
      </c>
      <c r="G5" s="80" t="s">
        <v>215</v>
      </c>
      <c r="H5" s="80" t="s">
        <v>29</v>
      </c>
      <c r="I5" s="80" t="s">
        <v>29</v>
      </c>
      <c r="J5" s="80">
        <v>1074</v>
      </c>
      <c r="K5" s="80">
        <v>4</v>
      </c>
      <c r="L5" s="91" t="s">
        <v>29</v>
      </c>
      <c r="M5" s="91" t="s">
        <v>29</v>
      </c>
      <c r="N5" s="80">
        <v>352</v>
      </c>
      <c r="O5" s="80">
        <v>175</v>
      </c>
      <c r="P5" s="145" t="s">
        <v>29</v>
      </c>
      <c r="Q5" s="145" t="s">
        <v>29</v>
      </c>
      <c r="R5" s="145" t="s">
        <v>29</v>
      </c>
      <c r="S5" s="145" t="s">
        <v>29</v>
      </c>
      <c r="T5" s="145" t="s">
        <v>29</v>
      </c>
      <c r="U5" s="80" t="s">
        <v>4</v>
      </c>
      <c r="V5" s="80" t="s">
        <v>184</v>
      </c>
      <c r="W5" s="80" t="s">
        <v>155</v>
      </c>
      <c r="X5" s="145" t="s">
        <v>29</v>
      </c>
      <c r="Y5" s="145" t="s">
        <v>29</v>
      </c>
      <c r="Z5" s="145" t="s">
        <v>29</v>
      </c>
      <c r="AA5" s="67">
        <v>0.125</v>
      </c>
      <c r="AB5" s="69" t="s">
        <v>205</v>
      </c>
      <c r="AC5" s="96"/>
      <c r="AD5" s="96"/>
      <c r="AE5" s="69" t="s">
        <v>216</v>
      </c>
      <c r="AF5" s="96">
        <v>52</v>
      </c>
      <c r="AG5" s="96">
        <v>8.4</v>
      </c>
    </row>
    <row r="6" spans="1:33" s="127" customFormat="1" ht="15.75" customHeight="1" x14ac:dyDescent="0.2">
      <c r="A6" s="128"/>
      <c r="B6" s="186">
        <v>41798</v>
      </c>
      <c r="C6" s="128"/>
      <c r="D6" s="128"/>
      <c r="E6" s="128"/>
      <c r="F6" s="128" t="s">
        <v>157</v>
      </c>
      <c r="G6" s="128" t="s">
        <v>225</v>
      </c>
      <c r="H6" s="128"/>
      <c r="I6" s="128"/>
      <c r="J6" s="128"/>
      <c r="K6" s="128"/>
      <c r="L6" s="147"/>
      <c r="M6" s="147"/>
      <c r="N6" s="128"/>
      <c r="O6" s="128"/>
      <c r="P6" s="148"/>
      <c r="Q6" s="148"/>
      <c r="R6" s="148"/>
      <c r="S6" s="148"/>
      <c r="T6" s="148"/>
      <c r="U6" s="128"/>
      <c r="V6" s="128"/>
      <c r="W6" s="128"/>
      <c r="X6" s="148"/>
      <c r="Y6" s="148"/>
      <c r="Z6" s="148"/>
      <c r="AA6" s="98"/>
      <c r="AB6" s="100"/>
      <c r="AC6" s="100"/>
      <c r="AD6" s="97" t="s">
        <v>205</v>
      </c>
      <c r="AE6" s="100"/>
      <c r="AF6" s="100"/>
      <c r="AG6" s="100"/>
    </row>
    <row r="7" spans="1:33" ht="16.5" customHeight="1" x14ac:dyDescent="0.2">
      <c r="A7" s="187" t="s">
        <v>33</v>
      </c>
      <c r="B7" s="138" t="s">
        <v>9</v>
      </c>
      <c r="C7" s="150" t="s">
        <v>34</v>
      </c>
      <c r="D7" s="150" t="s">
        <v>35</v>
      </c>
      <c r="E7" s="150" t="s">
        <v>36</v>
      </c>
      <c r="F7" s="150" t="s">
        <v>37</v>
      </c>
      <c r="G7" s="150" t="s">
        <v>38</v>
      </c>
      <c r="H7" s="151" t="s">
        <v>39</v>
      </c>
      <c r="I7" s="152" t="s">
        <v>9</v>
      </c>
      <c r="J7" s="420" t="s">
        <v>40</v>
      </c>
      <c r="K7" s="420"/>
      <c r="L7" s="420" t="s">
        <v>41</v>
      </c>
      <c r="M7" s="420"/>
      <c r="N7" s="420" t="s">
        <v>42</v>
      </c>
      <c r="O7" s="420"/>
      <c r="P7" s="420" t="s">
        <v>43</v>
      </c>
      <c r="Q7" s="420"/>
      <c r="R7" s="74"/>
      <c r="S7" s="421" t="s">
        <v>44</v>
      </c>
      <c r="T7" s="422"/>
      <c r="U7" s="422"/>
      <c r="V7" s="422"/>
      <c r="W7" s="422"/>
      <c r="X7" s="422"/>
      <c r="Y7" s="422"/>
      <c r="Z7" s="267"/>
    </row>
    <row r="8" spans="1:33" ht="15.75" customHeight="1" x14ac:dyDescent="0.2">
      <c r="A8" s="154" t="s">
        <v>45</v>
      </c>
      <c r="B8" s="142"/>
      <c r="C8" s="155">
        <v>41795</v>
      </c>
      <c r="D8" s="155">
        <v>41797</v>
      </c>
      <c r="E8" s="155">
        <v>41799</v>
      </c>
      <c r="F8" s="155">
        <v>41801</v>
      </c>
      <c r="G8" s="156">
        <f>AVERAGE(C8:F8)</f>
        <v>41798</v>
      </c>
      <c r="H8" s="157" t="s">
        <v>46</v>
      </c>
      <c r="I8" s="158"/>
      <c r="J8" s="276" t="s">
        <v>354</v>
      </c>
      <c r="K8" s="267"/>
      <c r="L8" s="346" t="s">
        <v>355</v>
      </c>
      <c r="M8" s="267"/>
      <c r="N8" s="346" t="s">
        <v>356</v>
      </c>
      <c r="O8" s="267"/>
      <c r="P8" s="347" t="s">
        <v>357</v>
      </c>
      <c r="Q8" s="267"/>
      <c r="R8" s="159" t="s">
        <v>47</v>
      </c>
      <c r="S8" s="160"/>
      <c r="T8" s="106">
        <v>4</v>
      </c>
      <c r="U8" s="348" t="s">
        <v>48</v>
      </c>
      <c r="V8" s="348"/>
      <c r="W8" s="348"/>
      <c r="X8" s="349" t="s">
        <v>29</v>
      </c>
      <c r="Y8" s="350"/>
      <c r="Z8" s="351"/>
    </row>
    <row r="9" spans="1:33" ht="15.75" customHeight="1" x14ac:dyDescent="0.2">
      <c r="A9" s="161" t="s">
        <v>49</v>
      </c>
      <c r="B9" s="142" t="s">
        <v>29</v>
      </c>
      <c r="C9" s="142" t="s">
        <v>29</v>
      </c>
      <c r="D9" s="142" t="s">
        <v>29</v>
      </c>
      <c r="E9" s="142" t="s">
        <v>29</v>
      </c>
      <c r="F9" s="142" t="s">
        <v>29</v>
      </c>
      <c r="G9" s="162"/>
      <c r="H9" s="157" t="s">
        <v>50</v>
      </c>
      <c r="I9" s="166">
        <v>41835</v>
      </c>
      <c r="J9" s="341">
        <f>I9-C17</f>
        <v>3</v>
      </c>
      <c r="K9" s="336"/>
      <c r="L9" s="341">
        <v>2</v>
      </c>
      <c r="M9" s="336"/>
      <c r="N9" s="341">
        <v>1</v>
      </c>
      <c r="O9" s="336"/>
      <c r="P9" s="341">
        <v>0</v>
      </c>
      <c r="Q9" s="336"/>
      <c r="R9" s="164" t="s">
        <v>51</v>
      </c>
      <c r="S9" s="165"/>
      <c r="T9" s="106">
        <v>0</v>
      </c>
      <c r="U9" s="342" t="s">
        <v>52</v>
      </c>
      <c r="V9" s="342"/>
      <c r="W9" s="342"/>
      <c r="X9" s="343" t="s">
        <v>29</v>
      </c>
      <c r="Y9" s="344"/>
      <c r="Z9" s="345"/>
    </row>
    <row r="10" spans="1:33" ht="15.75" customHeight="1" x14ac:dyDescent="0.2">
      <c r="A10" s="161" t="s">
        <v>49</v>
      </c>
      <c r="B10" s="142" t="s">
        <v>29</v>
      </c>
      <c r="C10" s="142" t="s">
        <v>29</v>
      </c>
      <c r="D10" s="142" t="s">
        <v>29</v>
      </c>
      <c r="E10" s="142" t="s">
        <v>29</v>
      </c>
      <c r="F10" s="142" t="s">
        <v>29</v>
      </c>
      <c r="G10" s="162"/>
      <c r="H10" s="157" t="s">
        <v>53</v>
      </c>
      <c r="I10" s="166">
        <v>41835</v>
      </c>
      <c r="J10" s="355">
        <v>58</v>
      </c>
      <c r="K10" s="336"/>
      <c r="L10" s="356">
        <v>53</v>
      </c>
      <c r="M10" s="336"/>
      <c r="N10" s="356">
        <v>49</v>
      </c>
      <c r="O10" s="336"/>
      <c r="P10" s="357">
        <v>33</v>
      </c>
      <c r="Q10" s="336"/>
      <c r="R10" s="164" t="s">
        <v>54</v>
      </c>
      <c r="S10" s="165"/>
      <c r="T10" s="106">
        <v>4</v>
      </c>
      <c r="U10" s="342" t="s">
        <v>55</v>
      </c>
      <c r="V10" s="342"/>
      <c r="W10" s="342"/>
      <c r="X10" s="343" t="s">
        <v>29</v>
      </c>
      <c r="Y10" s="344"/>
      <c r="Z10" s="345"/>
    </row>
    <row r="11" spans="1:33" ht="15" customHeight="1" x14ac:dyDescent="0.2">
      <c r="A11" s="161" t="s">
        <v>49</v>
      </c>
      <c r="B11" s="142" t="s">
        <v>29</v>
      </c>
      <c r="C11" s="142" t="s">
        <v>29</v>
      </c>
      <c r="D11" s="142" t="s">
        <v>29</v>
      </c>
      <c r="E11" s="142" t="s">
        <v>29</v>
      </c>
      <c r="F11" s="142" t="s">
        <v>29</v>
      </c>
      <c r="G11" s="162"/>
      <c r="H11" s="157" t="s">
        <v>56</v>
      </c>
      <c r="I11" s="167"/>
      <c r="J11" s="352" t="s">
        <v>29</v>
      </c>
      <c r="K11" s="336"/>
      <c r="L11" s="353" t="s">
        <v>29</v>
      </c>
      <c r="M11" s="336"/>
      <c r="N11" s="353" t="s">
        <v>29</v>
      </c>
      <c r="O11" s="336"/>
      <c r="P11" s="354" t="s">
        <v>29</v>
      </c>
      <c r="Q11" s="336"/>
      <c r="R11" s="164" t="s">
        <v>57</v>
      </c>
      <c r="S11" s="165"/>
      <c r="T11" s="106">
        <v>4</v>
      </c>
      <c r="U11" s="342" t="s">
        <v>58</v>
      </c>
      <c r="V11" s="342"/>
      <c r="W11" s="342"/>
      <c r="X11" s="343" t="s">
        <v>29</v>
      </c>
      <c r="Y11" s="344"/>
      <c r="Z11" s="345"/>
    </row>
    <row r="12" spans="1:33" ht="15" customHeight="1" x14ac:dyDescent="0.2">
      <c r="A12" s="161" t="s">
        <v>49</v>
      </c>
      <c r="B12" s="142" t="s">
        <v>29</v>
      </c>
      <c r="C12" s="142" t="s">
        <v>29</v>
      </c>
      <c r="D12" s="142" t="s">
        <v>29</v>
      </c>
      <c r="E12" s="142" t="s">
        <v>29</v>
      </c>
      <c r="F12" s="142" t="s">
        <v>29</v>
      </c>
      <c r="G12" s="162"/>
      <c r="H12" s="157" t="s">
        <v>59</v>
      </c>
      <c r="I12" s="166">
        <v>41840</v>
      </c>
      <c r="J12" s="341">
        <f>I12-C17</f>
        <v>8</v>
      </c>
      <c r="K12" s="336"/>
      <c r="L12" s="341">
        <v>8</v>
      </c>
      <c r="M12" s="336"/>
      <c r="N12" s="341">
        <f>I12-E17</f>
        <v>7</v>
      </c>
      <c r="O12" s="336"/>
      <c r="P12" s="362">
        <f>I12-F17</f>
        <v>6</v>
      </c>
      <c r="Q12" s="336"/>
      <c r="R12" s="164" t="s">
        <v>60</v>
      </c>
      <c r="S12" s="165"/>
      <c r="T12" s="106">
        <v>4</v>
      </c>
      <c r="U12" s="342" t="s">
        <v>61</v>
      </c>
      <c r="V12" s="342"/>
      <c r="W12" s="342"/>
      <c r="X12" s="343" t="s">
        <v>29</v>
      </c>
      <c r="Y12" s="344"/>
      <c r="Z12" s="345"/>
    </row>
    <row r="13" spans="1:33" ht="15.75" customHeight="1" x14ac:dyDescent="0.2">
      <c r="A13" s="161" t="s">
        <v>49</v>
      </c>
      <c r="B13" s="142" t="s">
        <v>29</v>
      </c>
      <c r="C13" s="142" t="s">
        <v>29</v>
      </c>
      <c r="D13" s="142" t="s">
        <v>29</v>
      </c>
      <c r="E13" s="142" t="s">
        <v>29</v>
      </c>
      <c r="F13" s="142" t="s">
        <v>29</v>
      </c>
      <c r="G13" s="162"/>
      <c r="H13" s="157" t="s">
        <v>62</v>
      </c>
      <c r="I13" s="166">
        <v>41840</v>
      </c>
      <c r="J13" s="357">
        <v>191</v>
      </c>
      <c r="K13" s="336"/>
      <c r="L13" s="356">
        <v>186</v>
      </c>
      <c r="M13" s="336"/>
      <c r="N13" s="366">
        <v>165</v>
      </c>
      <c r="O13" s="272"/>
      <c r="P13" s="367">
        <v>110</v>
      </c>
      <c r="Q13" s="261"/>
      <c r="R13" s="164" t="s">
        <v>63</v>
      </c>
      <c r="S13" s="165"/>
      <c r="T13" s="168">
        <v>0</v>
      </c>
      <c r="U13" s="398" t="s">
        <v>64</v>
      </c>
      <c r="V13" s="399"/>
      <c r="W13" s="400"/>
      <c r="X13" s="359" t="s">
        <v>29</v>
      </c>
      <c r="Y13" s="360"/>
      <c r="Z13" s="361"/>
    </row>
    <row r="14" spans="1:33" ht="15.75" customHeight="1" x14ac:dyDescent="0.2">
      <c r="A14" s="161" t="s">
        <v>49</v>
      </c>
      <c r="B14" s="142" t="s">
        <v>29</v>
      </c>
      <c r="C14" s="142" t="s">
        <v>29</v>
      </c>
      <c r="D14" s="142" t="s">
        <v>29</v>
      </c>
      <c r="E14" s="142" t="s">
        <v>29</v>
      </c>
      <c r="F14" s="142" t="s">
        <v>29</v>
      </c>
      <c r="G14" s="162"/>
      <c r="H14" s="157" t="s">
        <v>65</v>
      </c>
      <c r="I14" s="167"/>
      <c r="J14" s="352" t="s">
        <v>29</v>
      </c>
      <c r="K14" s="336"/>
      <c r="L14" s="353" t="s">
        <v>29</v>
      </c>
      <c r="M14" s="336"/>
      <c r="N14" s="353" t="s">
        <v>29</v>
      </c>
      <c r="O14" s="336"/>
      <c r="P14" s="354" t="s">
        <v>29</v>
      </c>
      <c r="Q14" s="272"/>
      <c r="R14" s="401" t="s">
        <v>66</v>
      </c>
      <c r="S14" s="402"/>
      <c r="T14" s="402"/>
      <c r="U14" s="402"/>
      <c r="V14" s="402"/>
      <c r="W14" s="402"/>
      <c r="X14" s="402"/>
      <c r="Y14" s="402"/>
      <c r="Z14" s="402"/>
      <c r="AA14" s="202"/>
      <c r="AB14" s="202"/>
      <c r="AC14" s="202"/>
    </row>
    <row r="15" spans="1:33" ht="15.75" customHeight="1" x14ac:dyDescent="0.2">
      <c r="A15" s="161" t="s">
        <v>49</v>
      </c>
      <c r="B15" s="142" t="s">
        <v>29</v>
      </c>
      <c r="C15" s="142" t="s">
        <v>29</v>
      </c>
      <c r="D15" s="142" t="s">
        <v>29</v>
      </c>
      <c r="E15" s="142" t="s">
        <v>29</v>
      </c>
      <c r="F15" s="142" t="s">
        <v>29</v>
      </c>
      <c r="G15" s="162"/>
      <c r="H15" s="157" t="s">
        <v>67</v>
      </c>
      <c r="I15" s="167"/>
      <c r="J15" s="352" t="s">
        <v>29</v>
      </c>
      <c r="K15" s="336"/>
      <c r="L15" s="353" t="s">
        <v>29</v>
      </c>
      <c r="M15" s="336"/>
      <c r="N15" s="353" t="s">
        <v>29</v>
      </c>
      <c r="O15" s="336"/>
      <c r="P15" s="354" t="s">
        <v>29</v>
      </c>
      <c r="Q15" s="272"/>
      <c r="R15" s="404"/>
      <c r="S15" s="405"/>
      <c r="T15" s="405"/>
      <c r="U15" s="405"/>
      <c r="V15" s="405"/>
      <c r="W15" s="405"/>
      <c r="X15" s="405"/>
      <c r="Y15" s="405"/>
      <c r="Z15" s="405"/>
      <c r="AA15" s="202"/>
      <c r="AB15" s="202"/>
      <c r="AC15" s="202"/>
    </row>
    <row r="16" spans="1:33" ht="15.75" customHeight="1" x14ac:dyDescent="0.2">
      <c r="A16" s="161" t="s">
        <v>49</v>
      </c>
      <c r="B16" s="142" t="s">
        <v>29</v>
      </c>
      <c r="C16" s="142" t="s">
        <v>29</v>
      </c>
      <c r="D16" s="142" t="s">
        <v>29</v>
      </c>
      <c r="E16" s="142" t="s">
        <v>29</v>
      </c>
      <c r="F16" s="142" t="s">
        <v>29</v>
      </c>
      <c r="G16" s="162"/>
      <c r="H16" s="157" t="s">
        <v>68</v>
      </c>
      <c r="I16" s="167"/>
      <c r="J16" s="352" t="s">
        <v>29</v>
      </c>
      <c r="K16" s="336"/>
      <c r="L16" s="353" t="s">
        <v>29</v>
      </c>
      <c r="M16" s="336"/>
      <c r="N16" s="353" t="s">
        <v>29</v>
      </c>
      <c r="O16" s="336"/>
      <c r="P16" s="363" t="s">
        <v>29</v>
      </c>
      <c r="Q16" s="293"/>
      <c r="R16" s="305" t="s">
        <v>412</v>
      </c>
      <c r="S16" s="305"/>
      <c r="T16" s="305"/>
      <c r="U16" s="305"/>
      <c r="V16" s="305"/>
      <c r="W16" s="305"/>
      <c r="X16" s="305"/>
      <c r="Y16" s="305"/>
      <c r="Z16" s="305"/>
      <c r="AA16" s="203"/>
      <c r="AB16" s="204"/>
      <c r="AC16" s="204"/>
    </row>
    <row r="17" spans="1:29" ht="15.75" customHeight="1" x14ac:dyDescent="0.2">
      <c r="A17" s="171" t="s">
        <v>69</v>
      </c>
      <c r="B17" s="142"/>
      <c r="C17" s="155">
        <v>41832</v>
      </c>
      <c r="D17" s="155">
        <v>41832</v>
      </c>
      <c r="E17" s="155">
        <v>41833</v>
      </c>
      <c r="F17" s="155">
        <v>41834</v>
      </c>
      <c r="G17" s="156">
        <f>AVERAGE(C17:F17)</f>
        <v>41832.75</v>
      </c>
      <c r="H17" s="157" t="s">
        <v>70</v>
      </c>
      <c r="I17" s="163">
        <v>41845</v>
      </c>
      <c r="J17" s="364">
        <f>I17-C17</f>
        <v>13</v>
      </c>
      <c r="K17" s="336"/>
      <c r="L17" s="364">
        <v>13</v>
      </c>
      <c r="M17" s="336"/>
      <c r="N17" s="364">
        <f>I17-E17</f>
        <v>12</v>
      </c>
      <c r="O17" s="272"/>
      <c r="P17" s="365">
        <f>I17-F17</f>
        <v>11</v>
      </c>
      <c r="Q17" s="261"/>
      <c r="R17" s="307"/>
      <c r="S17" s="307"/>
      <c r="T17" s="307"/>
      <c r="U17" s="307"/>
      <c r="V17" s="307"/>
      <c r="W17" s="307"/>
      <c r="X17" s="307"/>
      <c r="Y17" s="307"/>
      <c r="Z17" s="307"/>
      <c r="AA17" s="204"/>
      <c r="AB17" s="204"/>
      <c r="AC17" s="204"/>
    </row>
    <row r="18" spans="1:29" ht="15.75" customHeight="1" x14ac:dyDescent="0.2">
      <c r="A18" s="338" t="s">
        <v>71</v>
      </c>
      <c r="B18" s="368"/>
      <c r="C18" s="172">
        <f>C17-C8</f>
        <v>37</v>
      </c>
      <c r="D18" s="172">
        <f>D17-D8</f>
        <v>35</v>
      </c>
      <c r="E18" s="172">
        <f>E17-E8</f>
        <v>34</v>
      </c>
      <c r="F18" s="172">
        <f>F17-F8</f>
        <v>33</v>
      </c>
      <c r="G18" s="173">
        <f>AVERAGE(C18:E18)</f>
        <v>35.333333333333336</v>
      </c>
      <c r="H18" s="157" t="s">
        <v>72</v>
      </c>
      <c r="I18" s="163">
        <v>41845</v>
      </c>
      <c r="J18" s="357">
        <v>369</v>
      </c>
      <c r="K18" s="336"/>
      <c r="L18" s="356">
        <v>415</v>
      </c>
      <c r="M18" s="336"/>
      <c r="N18" s="366">
        <v>386</v>
      </c>
      <c r="O18" s="272"/>
      <c r="P18" s="472">
        <v>285</v>
      </c>
      <c r="Q18" s="472"/>
      <c r="R18" s="307"/>
      <c r="S18" s="307"/>
      <c r="T18" s="307"/>
      <c r="U18" s="307"/>
      <c r="V18" s="307"/>
      <c r="W18" s="307"/>
      <c r="X18" s="307"/>
      <c r="Y18" s="307"/>
      <c r="Z18" s="307"/>
      <c r="AA18" s="204"/>
      <c r="AB18" s="204"/>
      <c r="AC18" s="204"/>
    </row>
    <row r="19" spans="1:29" ht="15.75" customHeight="1" x14ac:dyDescent="0.2">
      <c r="A19" s="340" t="s">
        <v>73</v>
      </c>
      <c r="B19" s="340"/>
      <c r="C19" s="339" t="s">
        <v>40</v>
      </c>
      <c r="D19" s="339" t="s">
        <v>41</v>
      </c>
      <c r="E19" s="339" t="s">
        <v>42</v>
      </c>
      <c r="F19" s="339" t="s">
        <v>43</v>
      </c>
      <c r="G19" s="339" t="s">
        <v>38</v>
      </c>
      <c r="H19" s="167" t="s">
        <v>78</v>
      </c>
      <c r="I19" s="163">
        <v>41845</v>
      </c>
      <c r="J19" s="357" t="s">
        <v>369</v>
      </c>
      <c r="K19" s="336"/>
      <c r="L19" s="356" t="s">
        <v>369</v>
      </c>
      <c r="M19" s="336"/>
      <c r="N19" s="366" t="s">
        <v>369</v>
      </c>
      <c r="O19" s="272"/>
      <c r="P19" s="371" t="s">
        <v>29</v>
      </c>
      <c r="Q19" s="261"/>
      <c r="R19" s="307"/>
      <c r="S19" s="307"/>
      <c r="T19" s="307"/>
      <c r="U19" s="307"/>
      <c r="V19" s="307"/>
      <c r="W19" s="307"/>
      <c r="X19" s="307"/>
      <c r="Y19" s="307"/>
      <c r="Z19" s="307"/>
      <c r="AA19" s="204"/>
      <c r="AB19" s="204"/>
      <c r="AC19" s="204"/>
    </row>
    <row r="20" spans="1:29" ht="15" customHeight="1" x14ac:dyDescent="0.2">
      <c r="A20" s="369"/>
      <c r="B20" s="369"/>
      <c r="C20" s="261"/>
      <c r="D20" s="261"/>
      <c r="E20" s="261"/>
      <c r="F20" s="261"/>
      <c r="G20" s="261"/>
      <c r="H20" s="167" t="s">
        <v>67</v>
      </c>
      <c r="I20" s="167"/>
      <c r="J20" s="354" t="s">
        <v>29</v>
      </c>
      <c r="K20" s="336"/>
      <c r="L20" s="353" t="s">
        <v>29</v>
      </c>
      <c r="M20" s="336"/>
      <c r="N20" s="370" t="s">
        <v>29</v>
      </c>
      <c r="O20" s="272"/>
      <c r="P20" s="371" t="s">
        <v>29</v>
      </c>
      <c r="Q20" s="261"/>
      <c r="R20" s="307"/>
      <c r="S20" s="307"/>
      <c r="T20" s="307"/>
      <c r="U20" s="307"/>
      <c r="V20" s="307"/>
      <c r="W20" s="307"/>
      <c r="X20" s="307"/>
      <c r="Y20" s="307"/>
      <c r="Z20" s="307"/>
      <c r="AA20" s="204"/>
      <c r="AB20" s="204"/>
      <c r="AC20" s="204"/>
    </row>
    <row r="21" spans="1:29" ht="15.75" customHeight="1" x14ac:dyDescent="0.2">
      <c r="A21" s="372" t="s">
        <v>79</v>
      </c>
      <c r="B21" s="373"/>
      <c r="C21" s="25" t="s">
        <v>438</v>
      </c>
      <c r="D21" s="25" t="s">
        <v>424</v>
      </c>
      <c r="E21" s="25" t="s">
        <v>439</v>
      </c>
      <c r="F21" s="25" t="s">
        <v>440</v>
      </c>
      <c r="G21" s="122" t="s">
        <v>29</v>
      </c>
      <c r="H21" s="157" t="s">
        <v>68</v>
      </c>
      <c r="I21" s="167"/>
      <c r="J21" s="354" t="s">
        <v>29</v>
      </c>
      <c r="K21" s="336"/>
      <c r="L21" s="353" t="s">
        <v>29</v>
      </c>
      <c r="M21" s="336"/>
      <c r="N21" s="370" t="s">
        <v>29</v>
      </c>
      <c r="O21" s="272"/>
      <c r="P21" s="371" t="s">
        <v>29</v>
      </c>
      <c r="Q21" s="261"/>
      <c r="R21" s="307"/>
      <c r="S21" s="307"/>
      <c r="T21" s="307"/>
      <c r="U21" s="307"/>
      <c r="V21" s="307"/>
      <c r="W21" s="307"/>
      <c r="X21" s="307"/>
      <c r="Y21" s="307"/>
      <c r="Z21" s="307"/>
      <c r="AA21" s="204"/>
      <c r="AB21" s="204"/>
      <c r="AC21" s="204"/>
    </row>
    <row r="22" spans="1:29" ht="15.75" customHeight="1" x14ac:dyDescent="0.2">
      <c r="A22" s="372" t="s">
        <v>46</v>
      </c>
      <c r="B22" s="373"/>
      <c r="C22" s="122" t="s">
        <v>354</v>
      </c>
      <c r="D22" s="122" t="s">
        <v>355</v>
      </c>
      <c r="E22" s="122" t="s">
        <v>356</v>
      </c>
      <c r="F22" s="122" t="s">
        <v>407</v>
      </c>
      <c r="G22" s="71" t="s">
        <v>29</v>
      </c>
      <c r="H22" s="176" t="s">
        <v>80</v>
      </c>
      <c r="I22" s="163">
        <v>41850</v>
      </c>
      <c r="J22" s="364">
        <f>I22-C17</f>
        <v>18</v>
      </c>
      <c r="K22" s="336"/>
      <c r="L22" s="364">
        <f>I22-D17</f>
        <v>18</v>
      </c>
      <c r="M22" s="336"/>
      <c r="N22" s="364">
        <f>I22-E17</f>
        <v>17</v>
      </c>
      <c r="O22" s="272"/>
      <c r="P22" s="365">
        <f>I22-F17</f>
        <v>16</v>
      </c>
      <c r="Q22" s="261"/>
      <c r="R22" s="307"/>
      <c r="S22" s="307"/>
      <c r="T22" s="307"/>
      <c r="U22" s="307"/>
      <c r="V22" s="307"/>
      <c r="W22" s="307"/>
      <c r="X22" s="307"/>
      <c r="Y22" s="307"/>
      <c r="Z22" s="307"/>
      <c r="AA22" s="204"/>
      <c r="AB22" s="204"/>
      <c r="AC22" s="204"/>
    </row>
    <row r="23" spans="1:29" ht="15.75" customHeight="1" x14ac:dyDescent="0.2">
      <c r="A23" s="372" t="s">
        <v>81</v>
      </c>
      <c r="B23" s="373"/>
      <c r="C23" s="200">
        <v>41855</v>
      </c>
      <c r="D23" s="200">
        <v>41855</v>
      </c>
      <c r="E23" s="200">
        <v>41855</v>
      </c>
      <c r="F23" s="200">
        <v>41855</v>
      </c>
      <c r="G23" s="106" t="s">
        <v>29</v>
      </c>
      <c r="H23" s="178" t="s">
        <v>82</v>
      </c>
      <c r="I23" s="163">
        <v>41850</v>
      </c>
      <c r="J23" s="357">
        <v>485</v>
      </c>
      <c r="K23" s="336"/>
      <c r="L23" s="356">
        <v>645</v>
      </c>
      <c r="M23" s="336"/>
      <c r="N23" s="366">
        <v>563</v>
      </c>
      <c r="O23" s="272"/>
      <c r="P23" s="367">
        <v>498</v>
      </c>
      <c r="Q23" s="261"/>
      <c r="R23" s="307"/>
      <c r="S23" s="307"/>
      <c r="T23" s="307"/>
      <c r="U23" s="307"/>
      <c r="V23" s="307"/>
      <c r="W23" s="307"/>
      <c r="X23" s="307"/>
      <c r="Y23" s="307"/>
      <c r="Z23" s="307"/>
      <c r="AA23" s="204"/>
      <c r="AB23" s="204"/>
      <c r="AC23" s="204"/>
    </row>
    <row r="24" spans="1:29" ht="15.75" customHeight="1" x14ac:dyDescent="0.2">
      <c r="A24" s="372" t="s">
        <v>12</v>
      </c>
      <c r="B24" s="373"/>
      <c r="C24" s="71">
        <v>220612777</v>
      </c>
      <c r="D24" s="177">
        <v>168705295</v>
      </c>
      <c r="E24" s="177">
        <v>168705294</v>
      </c>
      <c r="F24" s="177">
        <v>168705296</v>
      </c>
      <c r="G24" s="106" t="s">
        <v>29</v>
      </c>
      <c r="H24" s="178" t="s">
        <v>83</v>
      </c>
      <c r="I24" s="163">
        <v>41850</v>
      </c>
      <c r="J24" s="354" t="s">
        <v>29</v>
      </c>
      <c r="K24" s="336"/>
      <c r="L24" s="372" t="s">
        <v>29</v>
      </c>
      <c r="M24" s="336"/>
      <c r="N24" s="380" t="s">
        <v>29</v>
      </c>
      <c r="O24" s="272"/>
      <c r="P24" s="366" t="s">
        <v>369</v>
      </c>
      <c r="Q24" s="272"/>
      <c r="R24" s="307"/>
      <c r="S24" s="307"/>
      <c r="T24" s="307"/>
      <c r="U24" s="307"/>
      <c r="V24" s="307"/>
      <c r="W24" s="307"/>
      <c r="X24" s="307"/>
      <c r="Y24" s="307"/>
      <c r="Z24" s="307"/>
      <c r="AA24" s="204"/>
      <c r="AB24" s="204"/>
      <c r="AC24" s="204"/>
    </row>
    <row r="25" spans="1:29" ht="15.75" customHeight="1" x14ac:dyDescent="0.2">
      <c r="A25" s="372" t="s">
        <v>84</v>
      </c>
      <c r="B25" s="373"/>
      <c r="C25" s="71" t="s">
        <v>410</v>
      </c>
      <c r="D25" s="71" t="s">
        <v>410</v>
      </c>
      <c r="E25" s="71" t="s">
        <v>410</v>
      </c>
      <c r="F25" s="71" t="s">
        <v>410</v>
      </c>
      <c r="G25" s="106" t="s">
        <v>29</v>
      </c>
      <c r="H25" s="178" t="s">
        <v>67</v>
      </c>
      <c r="I25" s="167"/>
      <c r="J25" s="354" t="s">
        <v>29</v>
      </c>
      <c r="K25" s="336"/>
      <c r="L25" s="372" t="s">
        <v>29</v>
      </c>
      <c r="M25" s="336"/>
      <c r="N25" s="380" t="s">
        <v>29</v>
      </c>
      <c r="O25" s="272"/>
      <c r="P25" s="371" t="s">
        <v>29</v>
      </c>
      <c r="Q25" s="261"/>
      <c r="R25" s="307"/>
      <c r="S25" s="307"/>
      <c r="T25" s="307"/>
      <c r="U25" s="307"/>
      <c r="V25" s="307"/>
      <c r="W25" s="307"/>
      <c r="X25" s="307"/>
      <c r="Y25" s="307"/>
      <c r="Z25" s="307"/>
      <c r="AA25" s="204"/>
      <c r="AB25" s="204"/>
      <c r="AC25" s="204"/>
    </row>
    <row r="26" spans="1:29" ht="15.75" customHeight="1" x14ac:dyDescent="0.2">
      <c r="A26" s="372" t="s">
        <v>11</v>
      </c>
      <c r="B26" s="373"/>
      <c r="C26" s="71" t="s">
        <v>398</v>
      </c>
      <c r="D26" s="71" t="s">
        <v>398</v>
      </c>
      <c r="E26" s="71" t="s">
        <v>413</v>
      </c>
      <c r="F26" s="71" t="s">
        <v>413</v>
      </c>
      <c r="G26" s="106" t="s">
        <v>29</v>
      </c>
      <c r="H26" s="178" t="s">
        <v>68</v>
      </c>
      <c r="I26" s="167"/>
      <c r="J26" s="354" t="s">
        <v>29</v>
      </c>
      <c r="K26" s="336"/>
      <c r="L26" s="372" t="s">
        <v>29</v>
      </c>
      <c r="M26" s="336"/>
      <c r="N26" s="380" t="s">
        <v>29</v>
      </c>
      <c r="O26" s="272"/>
      <c r="P26" s="371" t="s">
        <v>29</v>
      </c>
      <c r="Q26" s="261"/>
      <c r="R26" s="307"/>
      <c r="S26" s="307"/>
      <c r="T26" s="307"/>
      <c r="U26" s="307"/>
      <c r="V26" s="307"/>
      <c r="W26" s="307"/>
      <c r="X26" s="307"/>
      <c r="Y26" s="307"/>
      <c r="Z26" s="307"/>
      <c r="AA26" s="204"/>
      <c r="AB26" s="204"/>
      <c r="AC26" s="204"/>
    </row>
    <row r="27" spans="1:29" ht="15.75" customHeight="1" x14ac:dyDescent="0.2">
      <c r="A27" s="374" t="s">
        <v>85</v>
      </c>
      <c r="B27" s="375"/>
      <c r="C27" s="71" t="s">
        <v>410</v>
      </c>
      <c r="D27" s="71" t="s">
        <v>410</v>
      </c>
      <c r="E27" s="71" t="s">
        <v>410</v>
      </c>
      <c r="F27" s="71" t="s">
        <v>410</v>
      </c>
      <c r="G27" s="106" t="s">
        <v>29</v>
      </c>
      <c r="H27" s="178" t="s">
        <v>86</v>
      </c>
      <c r="I27" s="167"/>
      <c r="J27" s="354" t="s">
        <v>29</v>
      </c>
      <c r="K27" s="336"/>
      <c r="L27" s="372" t="s">
        <v>29</v>
      </c>
      <c r="M27" s="336"/>
      <c r="N27" s="380" t="s">
        <v>29</v>
      </c>
      <c r="O27" s="272"/>
      <c r="P27" s="371" t="s">
        <v>29</v>
      </c>
      <c r="Q27" s="261"/>
      <c r="R27" s="307"/>
      <c r="S27" s="307"/>
      <c r="T27" s="307"/>
      <c r="U27" s="307"/>
      <c r="V27" s="307"/>
      <c r="W27" s="307"/>
      <c r="X27" s="307"/>
      <c r="Y27" s="307"/>
      <c r="Z27" s="307"/>
      <c r="AA27" s="204"/>
      <c r="AB27" s="204"/>
      <c r="AC27" s="204"/>
    </row>
    <row r="28" spans="1:29" ht="15.75" customHeight="1" x14ac:dyDescent="0.2">
      <c r="A28" s="378" t="s">
        <v>87</v>
      </c>
      <c r="B28" s="379"/>
      <c r="C28" s="71" t="s">
        <v>410</v>
      </c>
      <c r="D28" s="71" t="s">
        <v>410</v>
      </c>
      <c r="E28" s="71" t="s">
        <v>410</v>
      </c>
      <c r="F28" s="71" t="s">
        <v>410</v>
      </c>
      <c r="G28" s="106" t="s">
        <v>29</v>
      </c>
      <c r="H28" s="178" t="s">
        <v>88</v>
      </c>
      <c r="I28" s="167"/>
      <c r="J28" s="354" t="s">
        <v>29</v>
      </c>
      <c r="K28" s="336"/>
      <c r="L28" s="372" t="s">
        <v>29</v>
      </c>
      <c r="M28" s="336"/>
      <c r="N28" s="380" t="s">
        <v>29</v>
      </c>
      <c r="O28" s="272"/>
      <c r="P28" s="371" t="s">
        <v>29</v>
      </c>
      <c r="Q28" s="261"/>
      <c r="R28" s="307"/>
      <c r="S28" s="307"/>
      <c r="T28" s="307"/>
      <c r="U28" s="307"/>
      <c r="V28" s="307"/>
      <c r="W28" s="307"/>
      <c r="X28" s="307"/>
      <c r="Y28" s="307"/>
      <c r="Z28" s="307"/>
      <c r="AA28" s="204"/>
      <c r="AB28" s="204"/>
      <c r="AC28" s="204"/>
    </row>
    <row r="29" spans="1:29" ht="15.75" customHeight="1" x14ac:dyDescent="0.2">
      <c r="A29" s="126"/>
      <c r="B29" s="180"/>
      <c r="C29" s="181"/>
      <c r="D29" s="181"/>
      <c r="E29" s="181"/>
      <c r="F29" s="181"/>
      <c r="G29" s="181"/>
      <c r="H29" s="176" t="s">
        <v>80</v>
      </c>
      <c r="I29" s="163">
        <v>41855</v>
      </c>
      <c r="J29" s="364">
        <f>I29-C17</f>
        <v>23</v>
      </c>
      <c r="K29" s="336"/>
      <c r="L29" s="364">
        <f>I29-D17</f>
        <v>23</v>
      </c>
      <c r="M29" s="336"/>
      <c r="N29" s="364">
        <f>I29-E17</f>
        <v>22</v>
      </c>
      <c r="O29" s="272"/>
      <c r="P29" s="365">
        <v>21</v>
      </c>
      <c r="Q29" s="261"/>
      <c r="R29" s="182"/>
      <c r="S29" s="181"/>
      <c r="T29" s="181"/>
      <c r="U29" s="181"/>
      <c r="V29" s="181"/>
      <c r="W29" s="181"/>
      <c r="X29" s="181"/>
      <c r="Y29" s="181"/>
      <c r="Z29" s="181"/>
    </row>
    <row r="30" spans="1:29" ht="18" customHeight="1" x14ac:dyDescent="0.2">
      <c r="H30" s="178" t="s">
        <v>82</v>
      </c>
      <c r="I30" s="163">
        <v>41855</v>
      </c>
      <c r="J30" s="357">
        <v>511</v>
      </c>
      <c r="K30" s="336"/>
      <c r="L30" s="356">
        <v>730</v>
      </c>
      <c r="M30" s="336"/>
      <c r="N30" s="366">
        <v>668</v>
      </c>
      <c r="O30" s="272"/>
      <c r="P30" s="367">
        <v>548</v>
      </c>
      <c r="Q30" s="261"/>
    </row>
    <row r="31" spans="1:29" ht="18" customHeight="1" x14ac:dyDescent="0.2">
      <c r="H31" s="178" t="s">
        <v>83</v>
      </c>
      <c r="I31" s="163">
        <v>41855</v>
      </c>
      <c r="J31" s="357" t="s">
        <v>369</v>
      </c>
      <c r="K31" s="336"/>
      <c r="L31" s="356" t="s">
        <v>369</v>
      </c>
      <c r="M31" s="336"/>
      <c r="N31" s="366" t="s">
        <v>369</v>
      </c>
      <c r="O31" s="272"/>
      <c r="P31" s="367" t="s">
        <v>369</v>
      </c>
      <c r="Q31" s="261"/>
    </row>
    <row r="32" spans="1:29" ht="18" customHeight="1" x14ac:dyDescent="0.2">
      <c r="H32" s="178" t="s">
        <v>67</v>
      </c>
      <c r="I32" s="167"/>
      <c r="J32" s="354" t="s">
        <v>29</v>
      </c>
      <c r="K32" s="336"/>
      <c r="L32" s="372" t="s">
        <v>29</v>
      </c>
      <c r="M32" s="336"/>
      <c r="N32" s="380" t="s">
        <v>29</v>
      </c>
      <c r="O32" s="272"/>
      <c r="P32" s="371" t="s">
        <v>29</v>
      </c>
      <c r="Q32" s="261"/>
    </row>
    <row r="33" spans="8:17" ht="18" customHeight="1" x14ac:dyDescent="0.2">
      <c r="H33" s="178" t="s">
        <v>68</v>
      </c>
      <c r="I33" s="167"/>
      <c r="J33" s="354" t="s">
        <v>29</v>
      </c>
      <c r="K33" s="336"/>
      <c r="L33" s="372" t="s">
        <v>29</v>
      </c>
      <c r="M33" s="336"/>
      <c r="N33" s="380" t="s">
        <v>29</v>
      </c>
      <c r="O33" s="272"/>
      <c r="P33" s="371" t="s">
        <v>29</v>
      </c>
      <c r="Q33" s="261"/>
    </row>
    <row r="34" spans="8:17" ht="18" customHeight="1" x14ac:dyDescent="0.2">
      <c r="H34" s="178" t="s">
        <v>86</v>
      </c>
      <c r="I34" s="167"/>
      <c r="J34" s="354" t="s">
        <v>29</v>
      </c>
      <c r="K34" s="336"/>
      <c r="L34" s="372" t="s">
        <v>29</v>
      </c>
      <c r="M34" s="336"/>
      <c r="N34" s="380" t="s">
        <v>29</v>
      </c>
      <c r="O34" s="272"/>
      <c r="P34" s="371" t="s">
        <v>29</v>
      </c>
      <c r="Q34" s="261"/>
    </row>
    <row r="35" spans="8:17" ht="18" customHeight="1" x14ac:dyDescent="0.2">
      <c r="H35" s="178" t="s">
        <v>88</v>
      </c>
      <c r="I35" s="167"/>
      <c r="J35" s="354" t="s">
        <v>29</v>
      </c>
      <c r="K35" s="336"/>
      <c r="L35" s="372" t="s">
        <v>29</v>
      </c>
      <c r="M35" s="336"/>
      <c r="N35" s="380" t="s">
        <v>29</v>
      </c>
      <c r="O35" s="272"/>
      <c r="P35" s="371" t="s">
        <v>29</v>
      </c>
      <c r="Q35" s="261"/>
    </row>
  </sheetData>
  <mergeCells count="156">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3:K13"/>
    <mergeCell ref="L13:M13"/>
    <mergeCell ref="N13:O13"/>
    <mergeCell ref="P13:Q13"/>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J17:K17"/>
    <mergeCell ref="N14:O14"/>
    <mergeCell ref="P14:Q14"/>
    <mergeCell ref="R14:Z15"/>
    <mergeCell ref="J15:K15"/>
    <mergeCell ref="L15:M15"/>
    <mergeCell ref="N15:O15"/>
    <mergeCell ref="P15:Q15"/>
    <mergeCell ref="J18:K18"/>
    <mergeCell ref="L18:M18"/>
    <mergeCell ref="N18:O18"/>
    <mergeCell ref="P18:Q18"/>
    <mergeCell ref="R16:Z28"/>
    <mergeCell ref="L17:M17"/>
    <mergeCell ref="N17:O17"/>
    <mergeCell ref="P17:Q17"/>
    <mergeCell ref="J14:K14"/>
    <mergeCell ref="L14:M14"/>
    <mergeCell ref="U13:W13"/>
    <mergeCell ref="X13:Z13"/>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7:K7"/>
    <mergeCell ref="L7:M7"/>
    <mergeCell ref="N7:O7"/>
    <mergeCell ref="P7:Q7"/>
    <mergeCell ref="S7:Z7"/>
    <mergeCell ref="J9:K9"/>
    <mergeCell ref="L9:M9"/>
    <mergeCell ref="N9:O9"/>
    <mergeCell ref="P9:Q9"/>
    <mergeCell ref="U9:W9"/>
    <mergeCell ref="X9:Z9"/>
    <mergeCell ref="J8:K8"/>
    <mergeCell ref="L8:M8"/>
    <mergeCell ref="N8:O8"/>
    <mergeCell ref="P8:Q8"/>
    <mergeCell ref="U8:W8"/>
    <mergeCell ref="X8:Z8"/>
    <mergeCell ref="I1:J1"/>
    <mergeCell ref="K1:O1"/>
    <mergeCell ref="P1:Q1"/>
    <mergeCell ref="R1:S1"/>
    <mergeCell ref="L2:M2"/>
    <mergeCell ref="Q2:R2"/>
    <mergeCell ref="Y2:Z2"/>
    <mergeCell ref="L4:M4"/>
    <mergeCell ref="Q4:R4"/>
    <mergeCell ref="Y4:Z4"/>
    <mergeCell ref="J29:K29"/>
    <mergeCell ref="L29:M29"/>
    <mergeCell ref="N29:O29"/>
    <mergeCell ref="P29:Q29"/>
    <mergeCell ref="J30:K30"/>
    <mergeCell ref="L30:M30"/>
    <mergeCell ref="N30:O30"/>
    <mergeCell ref="P30:Q30"/>
    <mergeCell ref="J31:K31"/>
    <mergeCell ref="L31:M31"/>
    <mergeCell ref="N31:O31"/>
    <mergeCell ref="P31:Q31"/>
    <mergeCell ref="J35:K35"/>
    <mergeCell ref="L35:M35"/>
    <mergeCell ref="N35:O35"/>
    <mergeCell ref="P35:Q35"/>
    <mergeCell ref="J32:K32"/>
    <mergeCell ref="L32:M32"/>
    <mergeCell ref="N32:O32"/>
    <mergeCell ref="P32:Q32"/>
    <mergeCell ref="J33:K33"/>
    <mergeCell ref="L33:M33"/>
    <mergeCell ref="N33:O33"/>
    <mergeCell ref="P33:Q33"/>
    <mergeCell ref="J34:K34"/>
    <mergeCell ref="L34:M34"/>
    <mergeCell ref="N34:O34"/>
    <mergeCell ref="P34:Q34"/>
  </mergeCells>
  <pageMargins left="0.7" right="0.7" top="0.75" bottom="0.75" header="0.3" footer="0.3"/>
  <pageSetup orientation="portrait" r:id="rId1"/>
  <legacy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A14" sqref="AA14"/>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48</v>
      </c>
      <c r="G1" s="226" t="s">
        <v>3</v>
      </c>
      <c r="H1" s="216"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409" t="s">
        <v>300</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B23" sqref="AB23"/>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49</v>
      </c>
      <c r="G1" s="226" t="s">
        <v>3</v>
      </c>
      <c r="H1" s="216"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409" t="s">
        <v>377</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1"/>
  <sheetViews>
    <sheetView topLeftCell="A9"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3" width="6.140625" style="25" customWidth="1"/>
    <col min="14" max="16" width="5" style="25" customWidth="1"/>
    <col min="17" max="17" width="4.85546875" style="25" customWidth="1"/>
    <col min="18" max="18" width="6.570312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1" ht="12.75" x14ac:dyDescent="0.2">
      <c r="A1" s="58" t="s">
        <v>0</v>
      </c>
      <c r="B1" s="59">
        <v>2014</v>
      </c>
      <c r="C1" s="58" t="s">
        <v>1</v>
      </c>
      <c r="D1" s="59"/>
      <c r="E1" s="58" t="s">
        <v>2</v>
      </c>
      <c r="F1" s="55">
        <v>50</v>
      </c>
      <c r="G1" s="56" t="s">
        <v>3</v>
      </c>
      <c r="H1" s="55" t="s">
        <v>4</v>
      </c>
      <c r="I1" s="260" t="s">
        <v>5</v>
      </c>
      <c r="J1" s="261"/>
      <c r="K1" s="330" t="s">
        <v>325</v>
      </c>
      <c r="L1" s="382"/>
      <c r="M1" s="382"/>
      <c r="N1" s="382"/>
      <c r="O1" s="383"/>
      <c r="P1" s="263" t="s">
        <v>6</v>
      </c>
      <c r="Q1" s="261"/>
      <c r="R1" s="264"/>
      <c r="S1" s="265"/>
      <c r="T1" s="16"/>
      <c r="U1" s="16"/>
      <c r="V1" s="16"/>
      <c r="W1" s="16"/>
      <c r="X1" s="16"/>
      <c r="Y1" s="16"/>
      <c r="Z1" s="34"/>
    </row>
    <row r="2" spans="1:31" ht="27.75" customHeight="1" x14ac:dyDescent="0.2">
      <c r="A2" s="57" t="s">
        <v>8</v>
      </c>
      <c r="B2" s="54" t="s">
        <v>9</v>
      </c>
      <c r="C2" s="54" t="s">
        <v>10</v>
      </c>
      <c r="D2" s="54" t="s">
        <v>11</v>
      </c>
      <c r="E2" s="54" t="s">
        <v>12</v>
      </c>
      <c r="F2" s="54" t="s">
        <v>13</v>
      </c>
      <c r="G2" s="54" t="s">
        <v>14</v>
      </c>
      <c r="H2" s="54" t="s">
        <v>15</v>
      </c>
      <c r="I2" s="13" t="s">
        <v>16</v>
      </c>
      <c r="J2" s="54" t="s">
        <v>17</v>
      </c>
      <c r="K2" s="54" t="s">
        <v>18</v>
      </c>
      <c r="L2" s="473"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32" t="s">
        <v>90</v>
      </c>
      <c r="AD2" s="31" t="s">
        <v>95</v>
      </c>
    </row>
    <row r="3" spans="1:31" ht="15.75" customHeight="1" x14ac:dyDescent="0.2">
      <c r="A3" s="28" t="s">
        <v>103</v>
      </c>
      <c r="B3" s="64">
        <v>41801</v>
      </c>
      <c r="C3" s="28" t="s">
        <v>29</v>
      </c>
      <c r="D3" s="18" t="s">
        <v>29</v>
      </c>
      <c r="E3" s="18" t="s">
        <v>29</v>
      </c>
      <c r="F3" s="28" t="s">
        <v>245</v>
      </c>
      <c r="G3" s="28" t="s">
        <v>225</v>
      </c>
      <c r="H3" s="18" t="s">
        <v>29</v>
      </c>
      <c r="I3" s="18" t="s">
        <v>29</v>
      </c>
      <c r="J3" s="18" t="s">
        <v>29</v>
      </c>
      <c r="K3" s="18" t="s">
        <v>29</v>
      </c>
      <c r="L3" s="41" t="s">
        <v>29</v>
      </c>
      <c r="M3" s="41" t="s">
        <v>29</v>
      </c>
      <c r="N3" s="18" t="s">
        <v>29</v>
      </c>
      <c r="O3" s="18" t="s">
        <v>29</v>
      </c>
      <c r="P3" s="20" t="s">
        <v>29</v>
      </c>
      <c r="Q3" s="20" t="s">
        <v>29</v>
      </c>
      <c r="R3" s="20" t="s">
        <v>29</v>
      </c>
      <c r="S3" s="20" t="s">
        <v>29</v>
      </c>
      <c r="T3" s="20" t="s">
        <v>29</v>
      </c>
      <c r="U3" s="18" t="s">
        <v>29</v>
      </c>
      <c r="V3" s="18" t="s">
        <v>29</v>
      </c>
      <c r="W3" s="18" t="s">
        <v>29</v>
      </c>
      <c r="X3" s="20" t="s">
        <v>29</v>
      </c>
      <c r="Y3" s="33" t="s">
        <v>29</v>
      </c>
      <c r="Z3" s="33" t="s">
        <v>29</v>
      </c>
      <c r="AB3" s="96"/>
      <c r="AC3" s="96"/>
      <c r="AD3" s="69" t="s">
        <v>205</v>
      </c>
      <c r="AE3" s="96"/>
    </row>
    <row r="4" spans="1:31"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5" t="s">
        <v>26</v>
      </c>
      <c r="V4" s="27" t="s">
        <v>92</v>
      </c>
      <c r="W4" s="27" t="s">
        <v>93</v>
      </c>
      <c r="X4" s="5" t="s">
        <v>27</v>
      </c>
      <c r="Y4" s="271" t="s">
        <v>28</v>
      </c>
      <c r="Z4" s="272"/>
      <c r="AA4" s="31" t="s">
        <v>89</v>
      </c>
      <c r="AB4" s="31" t="s">
        <v>91</v>
      </c>
      <c r="AC4" s="99" t="s">
        <v>90</v>
      </c>
      <c r="AD4" s="31" t="s">
        <v>95</v>
      </c>
      <c r="AE4" s="95" t="s">
        <v>287</v>
      </c>
    </row>
    <row r="5" spans="1:31" ht="15.75" customHeight="1" x14ac:dyDescent="0.2">
      <c r="A5" s="28" t="s">
        <v>103</v>
      </c>
      <c r="B5" s="64">
        <v>41806</v>
      </c>
      <c r="C5" s="28" t="s">
        <v>241</v>
      </c>
      <c r="D5" s="18" t="s">
        <v>29</v>
      </c>
      <c r="E5" s="18">
        <v>98741384</v>
      </c>
      <c r="F5" s="28" t="s">
        <v>239</v>
      </c>
      <c r="G5" s="28" t="s">
        <v>219</v>
      </c>
      <c r="H5" s="18" t="s">
        <v>29</v>
      </c>
      <c r="I5" s="37" t="s">
        <v>29</v>
      </c>
      <c r="J5" s="37">
        <v>1065</v>
      </c>
      <c r="K5" s="37">
        <v>4</v>
      </c>
      <c r="L5" s="42">
        <v>65</v>
      </c>
      <c r="M5" s="42" t="s">
        <v>29</v>
      </c>
      <c r="N5" s="37">
        <v>355</v>
      </c>
      <c r="O5" s="37">
        <v>166</v>
      </c>
      <c r="P5" s="38" t="s">
        <v>29</v>
      </c>
      <c r="Q5" s="38">
        <v>23</v>
      </c>
      <c r="R5" s="20" t="s">
        <v>29</v>
      </c>
      <c r="S5" s="20" t="s">
        <v>29</v>
      </c>
      <c r="T5" s="20" t="s">
        <v>29</v>
      </c>
      <c r="U5" s="28" t="s">
        <v>216</v>
      </c>
      <c r="V5" s="18" t="s">
        <v>29</v>
      </c>
      <c r="W5" s="18" t="s">
        <v>29</v>
      </c>
      <c r="X5" s="20" t="s">
        <v>29</v>
      </c>
      <c r="Y5" s="20" t="s">
        <v>29</v>
      </c>
      <c r="Z5" s="20" t="s">
        <v>29</v>
      </c>
      <c r="AA5" s="66" t="s">
        <v>242</v>
      </c>
      <c r="AB5" s="69" t="s">
        <v>205</v>
      </c>
      <c r="AC5" s="69" t="s">
        <v>240</v>
      </c>
      <c r="AD5" s="96"/>
      <c r="AE5" s="96">
        <v>70</v>
      </c>
    </row>
    <row r="6" spans="1:31" ht="16.5" customHeight="1" x14ac:dyDescent="0.2">
      <c r="A6" s="12" t="s">
        <v>33</v>
      </c>
      <c r="B6" s="5" t="s">
        <v>9</v>
      </c>
      <c r="C6" s="60" t="s">
        <v>34</v>
      </c>
      <c r="D6" s="60" t="s">
        <v>35</v>
      </c>
      <c r="E6" s="60" t="s">
        <v>36</v>
      </c>
      <c r="F6" s="60" t="s">
        <v>37</v>
      </c>
      <c r="G6" s="60" t="s">
        <v>38</v>
      </c>
      <c r="H6" s="36" t="s">
        <v>39</v>
      </c>
      <c r="I6" s="62" t="s">
        <v>9</v>
      </c>
      <c r="J6" s="280" t="s">
        <v>40</v>
      </c>
      <c r="K6" s="280"/>
      <c r="L6" s="280" t="s">
        <v>41</v>
      </c>
      <c r="M6" s="280"/>
      <c r="N6" s="280" t="s">
        <v>42</v>
      </c>
      <c r="O6" s="280"/>
      <c r="P6" s="280" t="s">
        <v>43</v>
      </c>
      <c r="Q6" s="280"/>
      <c r="R6" s="35"/>
      <c r="S6" s="273" t="s">
        <v>44</v>
      </c>
      <c r="T6" s="274"/>
      <c r="U6" s="274"/>
      <c r="V6" s="274"/>
      <c r="W6" s="275"/>
      <c r="X6" s="274"/>
      <c r="Y6" s="274"/>
      <c r="Z6" s="268"/>
    </row>
    <row r="7" spans="1:31" ht="15.75" customHeight="1" x14ac:dyDescent="0.2">
      <c r="A7" s="1" t="s">
        <v>45</v>
      </c>
      <c r="B7" s="20"/>
      <c r="C7" s="93" t="s">
        <v>260</v>
      </c>
      <c r="D7" s="93" t="s">
        <v>260</v>
      </c>
      <c r="E7" s="93" t="s">
        <v>260</v>
      </c>
      <c r="F7" s="93" t="s">
        <v>260</v>
      </c>
      <c r="G7" s="15" t="e">
        <f>AVERAGE(C7:F7)</f>
        <v>#DIV/0!</v>
      </c>
      <c r="H7" s="6" t="s">
        <v>46</v>
      </c>
      <c r="I7" s="39"/>
      <c r="J7" s="276" t="s">
        <v>360</v>
      </c>
      <c r="K7" s="267"/>
      <c r="L7" s="346" t="s">
        <v>361</v>
      </c>
      <c r="M7" s="267"/>
      <c r="N7" s="346" t="s">
        <v>356</v>
      </c>
      <c r="O7" s="267"/>
      <c r="P7" s="347" t="s">
        <v>357</v>
      </c>
      <c r="Q7" s="267"/>
      <c r="R7" s="23" t="s">
        <v>47</v>
      </c>
      <c r="S7" s="24"/>
      <c r="T7" s="43">
        <v>4</v>
      </c>
      <c r="U7" s="279" t="s">
        <v>48</v>
      </c>
      <c r="V7" s="279"/>
      <c r="W7" s="279"/>
      <c r="X7" s="281" t="s">
        <v>29</v>
      </c>
      <c r="Y7" s="282"/>
      <c r="Z7" s="283"/>
    </row>
    <row r="8" spans="1:31" ht="15.75" customHeight="1" x14ac:dyDescent="0.2">
      <c r="A8" s="3" t="s">
        <v>49</v>
      </c>
      <c r="B8" s="20" t="s">
        <v>29</v>
      </c>
      <c r="C8" s="20" t="s">
        <v>29</v>
      </c>
      <c r="D8" s="20" t="s">
        <v>29</v>
      </c>
      <c r="E8" s="20" t="s">
        <v>29</v>
      </c>
      <c r="F8" s="20" t="s">
        <v>29</v>
      </c>
      <c r="G8" s="60"/>
      <c r="H8" s="6" t="s">
        <v>50</v>
      </c>
      <c r="I8" s="17">
        <v>41833</v>
      </c>
      <c r="J8" s="287">
        <v>2</v>
      </c>
      <c r="K8" s="268"/>
      <c r="L8" s="287">
        <v>1</v>
      </c>
      <c r="M8" s="268"/>
      <c r="N8" s="287">
        <v>0</v>
      </c>
      <c r="O8" s="268"/>
      <c r="P8" s="446" t="s">
        <v>410</v>
      </c>
      <c r="Q8" s="268"/>
      <c r="R8" s="22" t="s">
        <v>51</v>
      </c>
      <c r="S8" s="11"/>
      <c r="T8" s="43">
        <v>0</v>
      </c>
      <c r="U8" s="310" t="s">
        <v>52</v>
      </c>
      <c r="V8" s="310"/>
      <c r="W8" s="310"/>
      <c r="X8" s="298" t="s">
        <v>29</v>
      </c>
      <c r="Y8" s="299"/>
      <c r="Z8" s="300"/>
    </row>
    <row r="9" spans="1:31" ht="15.75" customHeight="1" x14ac:dyDescent="0.2">
      <c r="A9" s="3" t="s">
        <v>49</v>
      </c>
      <c r="B9" s="20" t="s">
        <v>29</v>
      </c>
      <c r="C9" s="20" t="s">
        <v>29</v>
      </c>
      <c r="D9" s="20" t="s">
        <v>29</v>
      </c>
      <c r="E9" s="20" t="s">
        <v>29</v>
      </c>
      <c r="F9" s="20" t="s">
        <v>29</v>
      </c>
      <c r="G9" s="60"/>
      <c r="H9" s="6" t="s">
        <v>53</v>
      </c>
      <c r="I9" s="102">
        <v>41833</v>
      </c>
      <c r="J9" s="289">
        <v>2</v>
      </c>
      <c r="K9" s="268"/>
      <c r="L9" s="290">
        <v>2</v>
      </c>
      <c r="M9" s="268"/>
      <c r="N9" s="290">
        <v>1</v>
      </c>
      <c r="O9" s="268"/>
      <c r="P9" s="291">
        <v>0</v>
      </c>
      <c r="Q9" s="268"/>
      <c r="R9" s="22" t="s">
        <v>54</v>
      </c>
      <c r="S9" s="11"/>
      <c r="T9" s="43">
        <v>4</v>
      </c>
      <c r="U9" s="310" t="s">
        <v>55</v>
      </c>
      <c r="V9" s="310"/>
      <c r="W9" s="310"/>
      <c r="X9" s="298" t="s">
        <v>29</v>
      </c>
      <c r="Y9" s="299"/>
      <c r="Z9" s="300"/>
    </row>
    <row r="10" spans="1:31" ht="15" customHeight="1" x14ac:dyDescent="0.2">
      <c r="A10" s="3" t="s">
        <v>49</v>
      </c>
      <c r="B10" s="20" t="s">
        <v>29</v>
      </c>
      <c r="C10" s="20" t="s">
        <v>29</v>
      </c>
      <c r="D10" s="20" t="s">
        <v>29</v>
      </c>
      <c r="E10" s="20" t="s">
        <v>29</v>
      </c>
      <c r="F10" s="20" t="s">
        <v>29</v>
      </c>
      <c r="G10" s="60"/>
      <c r="H10" s="6" t="s">
        <v>56</v>
      </c>
      <c r="I10" s="10"/>
      <c r="J10" s="284" t="s">
        <v>29</v>
      </c>
      <c r="K10" s="268"/>
      <c r="L10" s="285" t="s">
        <v>29</v>
      </c>
      <c r="M10" s="268"/>
      <c r="N10" s="285" t="s">
        <v>29</v>
      </c>
      <c r="O10" s="268"/>
      <c r="P10" s="286" t="s">
        <v>29</v>
      </c>
      <c r="Q10" s="268"/>
      <c r="R10" s="22" t="s">
        <v>57</v>
      </c>
      <c r="S10" s="11"/>
      <c r="T10" s="43">
        <v>3</v>
      </c>
      <c r="U10" s="310" t="s">
        <v>58</v>
      </c>
      <c r="V10" s="310"/>
      <c r="W10" s="310"/>
      <c r="X10" s="298" t="s">
        <v>29</v>
      </c>
      <c r="Y10" s="299"/>
      <c r="Z10" s="300"/>
    </row>
    <row r="11" spans="1:31" ht="15" customHeight="1" x14ac:dyDescent="0.2">
      <c r="A11" s="3" t="s">
        <v>49</v>
      </c>
      <c r="B11" s="20" t="s">
        <v>29</v>
      </c>
      <c r="C11" s="20" t="s">
        <v>29</v>
      </c>
      <c r="D11" s="20" t="s">
        <v>29</v>
      </c>
      <c r="E11" s="20" t="s">
        <v>29</v>
      </c>
      <c r="F11" s="20" t="s">
        <v>29</v>
      </c>
      <c r="G11" s="60"/>
      <c r="H11" s="6" t="s">
        <v>59</v>
      </c>
      <c r="I11" s="17">
        <v>41836</v>
      </c>
      <c r="J11" s="287">
        <v>5</v>
      </c>
      <c r="K11" s="268"/>
      <c r="L11" s="287">
        <v>4</v>
      </c>
      <c r="M11" s="268"/>
      <c r="N11" s="287">
        <v>3</v>
      </c>
      <c r="O11" s="268"/>
      <c r="P11" s="288">
        <v>1</v>
      </c>
      <c r="Q11" s="268"/>
      <c r="R11" s="22" t="s">
        <v>60</v>
      </c>
      <c r="S11" s="11"/>
      <c r="T11" s="43">
        <v>3</v>
      </c>
      <c r="U11" s="310" t="s">
        <v>61</v>
      </c>
      <c r="V11" s="310"/>
      <c r="W11" s="310"/>
      <c r="X11" s="298" t="s">
        <v>29</v>
      </c>
      <c r="Y11" s="299"/>
      <c r="Z11" s="300"/>
    </row>
    <row r="12" spans="1:31" ht="15.75" customHeight="1" x14ac:dyDescent="0.2">
      <c r="A12" s="3" t="s">
        <v>49</v>
      </c>
      <c r="B12" s="20" t="s">
        <v>29</v>
      </c>
      <c r="C12" s="20" t="s">
        <v>29</v>
      </c>
      <c r="D12" s="20" t="s">
        <v>29</v>
      </c>
      <c r="E12" s="20" t="s">
        <v>29</v>
      </c>
      <c r="F12" s="20" t="s">
        <v>29</v>
      </c>
      <c r="G12" s="60"/>
      <c r="H12" s="6" t="s">
        <v>62</v>
      </c>
      <c r="I12" s="102">
        <v>41836</v>
      </c>
      <c r="J12" s="289">
        <v>3</v>
      </c>
      <c r="K12" s="268"/>
      <c r="L12" s="290">
        <v>3</v>
      </c>
      <c r="M12" s="268"/>
      <c r="N12" s="290">
        <v>77</v>
      </c>
      <c r="O12" s="268"/>
      <c r="P12" s="291">
        <v>1</v>
      </c>
      <c r="Q12" s="268"/>
      <c r="R12" s="22" t="s">
        <v>63</v>
      </c>
      <c r="S12" s="11"/>
      <c r="T12" s="45">
        <v>1</v>
      </c>
      <c r="U12" s="311" t="s">
        <v>64</v>
      </c>
      <c r="V12" s="311"/>
      <c r="W12" s="311"/>
      <c r="X12" s="301" t="s">
        <v>29</v>
      </c>
      <c r="Y12" s="302"/>
      <c r="Z12" s="303"/>
    </row>
    <row r="13" spans="1:31" ht="15.75" customHeight="1" x14ac:dyDescent="0.2">
      <c r="A13" s="3" t="s">
        <v>49</v>
      </c>
      <c r="B13" s="20" t="s">
        <v>29</v>
      </c>
      <c r="C13" s="20" t="s">
        <v>29</v>
      </c>
      <c r="D13" s="20" t="s">
        <v>29</v>
      </c>
      <c r="E13" s="20" t="s">
        <v>29</v>
      </c>
      <c r="F13" s="20" t="s">
        <v>29</v>
      </c>
      <c r="G13" s="60"/>
      <c r="H13" s="6" t="s">
        <v>65</v>
      </c>
      <c r="I13" s="10"/>
      <c r="J13" s="284" t="s">
        <v>29</v>
      </c>
      <c r="K13" s="268"/>
      <c r="L13" s="285" t="s">
        <v>29</v>
      </c>
      <c r="M13" s="268"/>
      <c r="N13" s="285" t="s">
        <v>29</v>
      </c>
      <c r="O13" s="268"/>
      <c r="P13" s="286" t="s">
        <v>29</v>
      </c>
      <c r="Q13" s="272"/>
      <c r="R13" s="424" t="s">
        <v>66</v>
      </c>
      <c r="S13" s="425"/>
      <c r="T13" s="425"/>
      <c r="U13" s="425"/>
      <c r="V13" s="425"/>
      <c r="W13" s="425"/>
      <c r="X13" s="425"/>
      <c r="Y13" s="425"/>
      <c r="Z13" s="426"/>
    </row>
    <row r="14" spans="1:31" ht="15.75" customHeight="1" x14ac:dyDescent="0.2">
      <c r="A14" s="3" t="s">
        <v>49</v>
      </c>
      <c r="B14" s="20" t="s">
        <v>29</v>
      </c>
      <c r="C14" s="20" t="s">
        <v>29</v>
      </c>
      <c r="D14" s="20" t="s">
        <v>29</v>
      </c>
      <c r="E14" s="20" t="s">
        <v>29</v>
      </c>
      <c r="F14" s="20" t="s">
        <v>29</v>
      </c>
      <c r="G14" s="60"/>
      <c r="H14" s="6" t="s">
        <v>67</v>
      </c>
      <c r="I14" s="10"/>
      <c r="J14" s="284" t="s">
        <v>29</v>
      </c>
      <c r="K14" s="268"/>
      <c r="L14" s="285" t="s">
        <v>29</v>
      </c>
      <c r="M14" s="268"/>
      <c r="N14" s="285" t="s">
        <v>29</v>
      </c>
      <c r="O14" s="268"/>
      <c r="P14" s="286" t="s">
        <v>29</v>
      </c>
      <c r="Q14" s="272"/>
      <c r="R14" s="427"/>
      <c r="S14" s="428"/>
      <c r="T14" s="428"/>
      <c r="U14" s="428"/>
      <c r="V14" s="428"/>
      <c r="W14" s="428"/>
      <c r="X14" s="428"/>
      <c r="Y14" s="428"/>
      <c r="Z14" s="428"/>
    </row>
    <row r="15" spans="1:31" ht="15.75" customHeight="1" x14ac:dyDescent="0.2">
      <c r="A15" s="3" t="s">
        <v>49</v>
      </c>
      <c r="B15" s="20" t="s">
        <v>29</v>
      </c>
      <c r="C15" s="20" t="s">
        <v>29</v>
      </c>
      <c r="D15" s="20" t="s">
        <v>29</v>
      </c>
      <c r="E15" s="20" t="s">
        <v>29</v>
      </c>
      <c r="F15" s="20" t="s">
        <v>29</v>
      </c>
      <c r="G15" s="60"/>
      <c r="H15" s="6" t="s">
        <v>68</v>
      </c>
      <c r="I15" s="10"/>
      <c r="J15" s="284" t="s">
        <v>29</v>
      </c>
      <c r="K15" s="268"/>
      <c r="L15" s="285" t="s">
        <v>29</v>
      </c>
      <c r="M15" s="268"/>
      <c r="N15" s="285" t="s">
        <v>29</v>
      </c>
      <c r="O15" s="268"/>
      <c r="P15" s="292" t="s">
        <v>29</v>
      </c>
      <c r="Q15" s="293"/>
      <c r="R15" s="305" t="s">
        <v>434</v>
      </c>
      <c r="S15" s="305"/>
      <c r="T15" s="305"/>
      <c r="U15" s="305"/>
      <c r="V15" s="305"/>
      <c r="W15" s="305"/>
      <c r="X15" s="305"/>
      <c r="Y15" s="305"/>
      <c r="Z15" s="305"/>
    </row>
    <row r="16" spans="1:31" ht="15.75" customHeight="1" x14ac:dyDescent="0.2">
      <c r="A16" s="14" t="s">
        <v>69</v>
      </c>
      <c r="B16" s="20"/>
      <c r="C16" s="19">
        <v>41831</v>
      </c>
      <c r="D16" s="19">
        <v>41832</v>
      </c>
      <c r="E16" s="19">
        <v>41833</v>
      </c>
      <c r="F16" s="19">
        <v>41835</v>
      </c>
      <c r="G16" s="15">
        <f>AVERAGE(C16:F16)</f>
        <v>41832.75</v>
      </c>
      <c r="H16" s="6" t="s">
        <v>70</v>
      </c>
      <c r="I16" s="17">
        <v>41841</v>
      </c>
      <c r="J16" s="294">
        <v>10</v>
      </c>
      <c r="K16" s="268"/>
      <c r="L16" s="294">
        <v>9</v>
      </c>
      <c r="M16" s="268"/>
      <c r="N16" s="294">
        <v>8</v>
      </c>
      <c r="O16" s="272"/>
      <c r="P16" s="295">
        <v>6</v>
      </c>
      <c r="Q16" s="261"/>
      <c r="R16" s="307"/>
      <c r="S16" s="307"/>
      <c r="T16" s="307"/>
      <c r="U16" s="307"/>
      <c r="V16" s="307"/>
      <c r="W16" s="307"/>
      <c r="X16" s="307"/>
      <c r="Y16" s="307"/>
      <c r="Z16" s="308"/>
    </row>
    <row r="17" spans="1:26" ht="15.75" customHeight="1" x14ac:dyDescent="0.2">
      <c r="A17" s="323" t="s">
        <v>71</v>
      </c>
      <c r="B17" s="324"/>
      <c r="C17" s="50">
        <v>41836</v>
      </c>
      <c r="D17" s="50">
        <v>41836</v>
      </c>
      <c r="E17" s="50">
        <v>41837</v>
      </c>
      <c r="F17" s="50">
        <v>41838</v>
      </c>
      <c r="G17" s="51">
        <f>AVERAGE(C17:E17)</f>
        <v>41836.333333333336</v>
      </c>
      <c r="H17" s="6" t="s">
        <v>72</v>
      </c>
      <c r="I17" s="102">
        <v>41841</v>
      </c>
      <c r="J17" s="291">
        <v>8</v>
      </c>
      <c r="K17" s="268"/>
      <c r="L17" s="290">
        <v>8</v>
      </c>
      <c r="M17" s="268"/>
      <c r="N17" s="320">
        <v>237</v>
      </c>
      <c r="O17" s="272"/>
      <c r="P17" s="309">
        <v>128</v>
      </c>
      <c r="Q17" s="261"/>
      <c r="R17" s="307"/>
      <c r="S17" s="307"/>
      <c r="T17" s="307"/>
      <c r="U17" s="307"/>
      <c r="V17" s="307"/>
      <c r="W17" s="307"/>
      <c r="X17" s="307"/>
      <c r="Y17" s="307"/>
      <c r="Z17" s="308"/>
    </row>
    <row r="18" spans="1:26" ht="15.75" customHeight="1" x14ac:dyDescent="0.2">
      <c r="A18" s="327" t="s">
        <v>73</v>
      </c>
      <c r="B18" s="327"/>
      <c r="C18" s="325" t="s">
        <v>40</v>
      </c>
      <c r="D18" s="325" t="s">
        <v>41</v>
      </c>
      <c r="E18" s="325" t="s">
        <v>42</v>
      </c>
      <c r="F18" s="325" t="s">
        <v>43</v>
      </c>
      <c r="G18" s="326" t="s">
        <v>38</v>
      </c>
      <c r="H18" s="49" t="s">
        <v>78</v>
      </c>
      <c r="I18" s="10"/>
      <c r="J18" s="286" t="s">
        <v>29</v>
      </c>
      <c r="K18" s="268"/>
      <c r="L18" s="285" t="s">
        <v>29</v>
      </c>
      <c r="M18" s="268"/>
      <c r="N18" s="296" t="s">
        <v>29</v>
      </c>
      <c r="O18" s="272"/>
      <c r="P18" s="297" t="s">
        <v>29</v>
      </c>
      <c r="Q18" s="261"/>
      <c r="R18" s="307"/>
      <c r="S18" s="307"/>
      <c r="T18" s="307"/>
      <c r="U18" s="307"/>
      <c r="V18" s="307"/>
      <c r="W18" s="307"/>
      <c r="X18" s="307"/>
      <c r="Y18" s="307"/>
      <c r="Z18" s="308"/>
    </row>
    <row r="19" spans="1:26" ht="15" customHeight="1" x14ac:dyDescent="0.2">
      <c r="A19" s="328"/>
      <c r="B19" s="328"/>
      <c r="C19" s="261"/>
      <c r="D19" s="261"/>
      <c r="E19" s="261"/>
      <c r="F19" s="261"/>
      <c r="G19" s="261"/>
      <c r="H19" s="49" t="s">
        <v>67</v>
      </c>
      <c r="I19" s="10"/>
      <c r="J19" s="286" t="s">
        <v>29</v>
      </c>
      <c r="K19" s="268"/>
      <c r="L19" s="285" t="s">
        <v>29</v>
      </c>
      <c r="M19" s="268"/>
      <c r="N19" s="296" t="s">
        <v>29</v>
      </c>
      <c r="O19" s="272"/>
      <c r="P19" s="297" t="s">
        <v>29</v>
      </c>
      <c r="Q19" s="261"/>
      <c r="R19" s="307"/>
      <c r="S19" s="307"/>
      <c r="T19" s="307"/>
      <c r="U19" s="307"/>
      <c r="V19" s="307"/>
      <c r="W19" s="307"/>
      <c r="X19" s="307"/>
      <c r="Y19" s="307"/>
      <c r="Z19" s="308"/>
    </row>
    <row r="20" spans="1:26" ht="15.75" customHeight="1" x14ac:dyDescent="0.2">
      <c r="A20" s="312" t="s">
        <v>79</v>
      </c>
      <c r="B20" s="313"/>
      <c r="C20" s="122" t="s">
        <v>441</v>
      </c>
      <c r="D20" s="122" t="s">
        <v>428</v>
      </c>
      <c r="E20" s="122" t="s">
        <v>432</v>
      </c>
      <c r="F20" s="122" t="s">
        <v>410</v>
      </c>
      <c r="G20" s="52" t="s">
        <v>29</v>
      </c>
      <c r="H20" s="6" t="s">
        <v>68</v>
      </c>
      <c r="I20" s="10"/>
      <c r="J20" s="286" t="s">
        <v>29</v>
      </c>
      <c r="K20" s="268"/>
      <c r="L20" s="285" t="s">
        <v>29</v>
      </c>
      <c r="M20" s="268"/>
      <c r="N20" s="296" t="s">
        <v>29</v>
      </c>
      <c r="O20" s="272"/>
      <c r="P20" s="297" t="s">
        <v>29</v>
      </c>
      <c r="Q20" s="261"/>
      <c r="R20" s="307"/>
      <c r="S20" s="307"/>
      <c r="T20" s="307"/>
      <c r="U20" s="307"/>
      <c r="V20" s="307"/>
      <c r="W20" s="307"/>
      <c r="X20" s="307"/>
      <c r="Y20" s="307"/>
      <c r="Z20" s="308"/>
    </row>
    <row r="21" spans="1:26" ht="15.75" customHeight="1" x14ac:dyDescent="0.2">
      <c r="A21" s="312" t="s">
        <v>46</v>
      </c>
      <c r="B21" s="313"/>
      <c r="C21" s="28" t="s">
        <v>354</v>
      </c>
      <c r="D21" s="28" t="s">
        <v>355</v>
      </c>
      <c r="E21" s="28" t="s">
        <v>356</v>
      </c>
      <c r="F21" s="28" t="s">
        <v>407</v>
      </c>
      <c r="G21" s="18" t="s">
        <v>29</v>
      </c>
      <c r="H21" s="47" t="s">
        <v>80</v>
      </c>
      <c r="I21" s="17">
        <v>41846</v>
      </c>
      <c r="J21" s="294">
        <v>15</v>
      </c>
      <c r="K21" s="268"/>
      <c r="L21" s="294">
        <v>14</v>
      </c>
      <c r="M21" s="268"/>
      <c r="N21" s="294">
        <v>13</v>
      </c>
      <c r="O21" s="272"/>
      <c r="P21" s="295">
        <v>11</v>
      </c>
      <c r="Q21" s="261"/>
      <c r="R21" s="307"/>
      <c r="S21" s="307"/>
      <c r="T21" s="307"/>
      <c r="U21" s="307"/>
      <c r="V21" s="307"/>
      <c r="W21" s="307"/>
      <c r="X21" s="307"/>
      <c r="Y21" s="307"/>
      <c r="Z21" s="308"/>
    </row>
    <row r="22" spans="1:26" ht="15.75" customHeight="1" x14ac:dyDescent="0.2">
      <c r="A22" s="312" t="s">
        <v>81</v>
      </c>
      <c r="B22" s="313"/>
      <c r="C22" s="121">
        <v>41859</v>
      </c>
      <c r="D22" s="121">
        <v>41859</v>
      </c>
      <c r="E22" s="121">
        <v>41859</v>
      </c>
      <c r="F22" s="28" t="s">
        <v>410</v>
      </c>
      <c r="G22" s="43" t="s">
        <v>29</v>
      </c>
      <c r="H22" s="48" t="s">
        <v>82</v>
      </c>
      <c r="I22" s="17">
        <v>41846</v>
      </c>
      <c r="J22" s="291">
        <v>13</v>
      </c>
      <c r="K22" s="268"/>
      <c r="L22" s="290">
        <v>13</v>
      </c>
      <c r="M22" s="268"/>
      <c r="N22" s="320">
        <v>487</v>
      </c>
      <c r="O22" s="272"/>
      <c r="P22" s="309">
        <v>284</v>
      </c>
      <c r="Q22" s="261"/>
      <c r="R22" s="307"/>
      <c r="S22" s="307"/>
      <c r="T22" s="307"/>
      <c r="U22" s="307"/>
      <c r="V22" s="307"/>
      <c r="W22" s="307"/>
      <c r="X22" s="307"/>
      <c r="Y22" s="307"/>
      <c r="Z22" s="308"/>
    </row>
    <row r="23" spans="1:26" ht="15.75" customHeight="1" x14ac:dyDescent="0.2">
      <c r="A23" s="312" t="s">
        <v>12</v>
      </c>
      <c r="B23" s="313"/>
      <c r="C23" s="28">
        <v>220612995</v>
      </c>
      <c r="D23" s="18">
        <v>220612994</v>
      </c>
      <c r="E23" s="18">
        <v>194719217</v>
      </c>
      <c r="F23" s="28" t="s">
        <v>410</v>
      </c>
      <c r="G23" s="43" t="s">
        <v>29</v>
      </c>
      <c r="H23" s="48" t="s">
        <v>83</v>
      </c>
      <c r="I23" s="8"/>
      <c r="J23" s="429" t="s">
        <v>369</v>
      </c>
      <c r="K23" s="268"/>
      <c r="L23" s="430" t="s">
        <v>369</v>
      </c>
      <c r="M23" s="268"/>
      <c r="N23" s="431" t="s">
        <v>369</v>
      </c>
      <c r="O23" s="272"/>
      <c r="P23" s="297" t="s">
        <v>29</v>
      </c>
      <c r="Q23" s="261"/>
      <c r="R23" s="307"/>
      <c r="S23" s="307"/>
      <c r="T23" s="307"/>
      <c r="U23" s="307"/>
      <c r="V23" s="307"/>
      <c r="W23" s="307"/>
      <c r="X23" s="307"/>
      <c r="Y23" s="307"/>
      <c r="Z23" s="308"/>
    </row>
    <row r="24" spans="1:26" ht="15.75" customHeight="1" x14ac:dyDescent="0.2">
      <c r="A24" s="312" t="s">
        <v>84</v>
      </c>
      <c r="B24" s="313"/>
      <c r="C24" s="25" t="s">
        <v>410</v>
      </c>
      <c r="D24" s="28" t="s">
        <v>410</v>
      </c>
      <c r="E24" s="28" t="s">
        <v>410</v>
      </c>
      <c r="F24" s="28" t="s">
        <v>410</v>
      </c>
      <c r="G24" s="43" t="s">
        <v>29</v>
      </c>
      <c r="H24" s="48" t="s">
        <v>67</v>
      </c>
      <c r="I24" s="10"/>
      <c r="J24" s="286" t="s">
        <v>29</v>
      </c>
      <c r="K24" s="268"/>
      <c r="L24" s="321" t="s">
        <v>29</v>
      </c>
      <c r="M24" s="268"/>
      <c r="N24" s="322" t="s">
        <v>29</v>
      </c>
      <c r="O24" s="272"/>
      <c r="P24" s="297" t="s">
        <v>29</v>
      </c>
      <c r="Q24" s="261"/>
      <c r="R24" s="307"/>
      <c r="S24" s="307"/>
      <c r="T24" s="307"/>
      <c r="U24" s="307"/>
      <c r="V24" s="307"/>
      <c r="W24" s="307"/>
      <c r="X24" s="307"/>
      <c r="Y24" s="307"/>
      <c r="Z24" s="308"/>
    </row>
    <row r="25" spans="1:26" ht="15.75" customHeight="1" x14ac:dyDescent="0.2">
      <c r="A25" s="312" t="s">
        <v>11</v>
      </c>
      <c r="B25" s="313"/>
      <c r="C25" s="28" t="s">
        <v>398</v>
      </c>
      <c r="D25" s="28" t="s">
        <v>398</v>
      </c>
      <c r="E25" s="28" t="s">
        <v>413</v>
      </c>
      <c r="F25" s="28" t="s">
        <v>410</v>
      </c>
      <c r="G25" s="43" t="s">
        <v>29</v>
      </c>
      <c r="H25" s="48" t="s">
        <v>68</v>
      </c>
      <c r="I25" s="10"/>
      <c r="J25" s="286" t="s">
        <v>29</v>
      </c>
      <c r="K25" s="268"/>
      <c r="L25" s="321" t="s">
        <v>29</v>
      </c>
      <c r="M25" s="268"/>
      <c r="N25" s="322" t="s">
        <v>29</v>
      </c>
      <c r="O25" s="272"/>
      <c r="P25" s="297" t="s">
        <v>29</v>
      </c>
      <c r="Q25" s="261"/>
      <c r="R25" s="307"/>
      <c r="S25" s="307"/>
      <c r="T25" s="307"/>
      <c r="U25" s="307"/>
      <c r="V25" s="307"/>
      <c r="W25" s="307"/>
      <c r="X25" s="307"/>
      <c r="Y25" s="307"/>
      <c r="Z25" s="308"/>
    </row>
    <row r="26" spans="1:26" ht="15.75" customHeight="1" x14ac:dyDescent="0.2">
      <c r="A26" s="314" t="s">
        <v>85</v>
      </c>
      <c r="B26" s="315"/>
      <c r="C26" s="25" t="s">
        <v>410</v>
      </c>
      <c r="D26" s="28" t="s">
        <v>410</v>
      </c>
      <c r="E26" s="28" t="s">
        <v>410</v>
      </c>
      <c r="F26" s="121">
        <v>41858</v>
      </c>
      <c r="G26" s="43" t="s">
        <v>29</v>
      </c>
      <c r="H26" s="48" t="s">
        <v>86</v>
      </c>
      <c r="I26" s="10"/>
      <c r="J26" s="286" t="s">
        <v>29</v>
      </c>
      <c r="K26" s="268"/>
      <c r="L26" s="321" t="s">
        <v>29</v>
      </c>
      <c r="M26" s="268"/>
      <c r="N26" s="322" t="s">
        <v>29</v>
      </c>
      <c r="O26" s="272"/>
      <c r="P26" s="297" t="s">
        <v>29</v>
      </c>
      <c r="Q26" s="261"/>
      <c r="R26" s="307"/>
      <c r="S26" s="307"/>
      <c r="T26" s="307"/>
      <c r="U26" s="307"/>
      <c r="V26" s="307"/>
      <c r="W26" s="307"/>
      <c r="X26" s="307"/>
      <c r="Y26" s="307"/>
      <c r="Z26" s="308"/>
    </row>
    <row r="27" spans="1:26" ht="15.75" customHeight="1" x14ac:dyDescent="0.2">
      <c r="A27" s="316" t="s">
        <v>87</v>
      </c>
      <c r="B27" s="317"/>
      <c r="C27" s="28" t="s">
        <v>410</v>
      </c>
      <c r="D27" s="28" t="s">
        <v>410</v>
      </c>
      <c r="E27" s="28" t="s">
        <v>410</v>
      </c>
      <c r="F27" s="70">
        <f>F26-F16</f>
        <v>23</v>
      </c>
      <c r="G27" s="43" t="s">
        <v>29</v>
      </c>
      <c r="H27" s="48" t="s">
        <v>88</v>
      </c>
      <c r="I27" s="10"/>
      <c r="J27" s="286" t="s">
        <v>29</v>
      </c>
      <c r="K27" s="268"/>
      <c r="L27" s="321" t="s">
        <v>29</v>
      </c>
      <c r="M27" s="268"/>
      <c r="N27" s="322" t="s">
        <v>29</v>
      </c>
      <c r="O27" s="272"/>
      <c r="P27" s="297" t="s">
        <v>29</v>
      </c>
      <c r="Q27" s="261"/>
      <c r="R27" s="307"/>
      <c r="S27" s="307"/>
      <c r="T27" s="307"/>
      <c r="U27" s="307"/>
      <c r="V27" s="307"/>
      <c r="W27" s="307"/>
      <c r="X27" s="307"/>
      <c r="Y27" s="307"/>
      <c r="Z27" s="308"/>
    </row>
    <row r="28" spans="1:26" ht="15.75" customHeight="1" x14ac:dyDescent="0.2">
      <c r="A28" s="61"/>
      <c r="B28" s="7"/>
      <c r="C28" s="4"/>
      <c r="D28" s="4"/>
      <c r="E28" s="4"/>
      <c r="F28" s="4"/>
      <c r="G28" s="4"/>
      <c r="H28" s="47" t="s">
        <v>80</v>
      </c>
      <c r="I28" s="17">
        <v>41851</v>
      </c>
      <c r="J28" s="294">
        <v>20</v>
      </c>
      <c r="K28" s="268"/>
      <c r="L28" s="294">
        <v>19</v>
      </c>
      <c r="M28" s="268"/>
      <c r="N28" s="294">
        <v>18</v>
      </c>
      <c r="O28" s="272"/>
      <c r="P28" s="295">
        <v>16</v>
      </c>
      <c r="Q28" s="261"/>
      <c r="R28" s="53"/>
      <c r="S28" s="30"/>
      <c r="T28" s="4"/>
      <c r="U28" s="4"/>
      <c r="V28" s="4"/>
      <c r="W28" s="26"/>
      <c r="X28" s="4"/>
      <c r="Y28" s="4"/>
      <c r="Z28" s="4"/>
    </row>
    <row r="29" spans="1:26" ht="18" customHeight="1" x14ac:dyDescent="0.2">
      <c r="H29" s="48" t="s">
        <v>82</v>
      </c>
      <c r="I29" s="17">
        <v>41851</v>
      </c>
      <c r="J29" s="291">
        <v>18</v>
      </c>
      <c r="K29" s="268"/>
      <c r="L29" s="290">
        <v>18</v>
      </c>
      <c r="M29" s="268"/>
      <c r="N29" s="320">
        <v>648</v>
      </c>
      <c r="O29" s="272"/>
      <c r="P29" s="309">
        <v>378</v>
      </c>
      <c r="Q29" s="261"/>
    </row>
    <row r="30" spans="1:26" ht="18" customHeight="1" x14ac:dyDescent="0.2">
      <c r="H30" s="48" t="s">
        <v>83</v>
      </c>
      <c r="I30" s="8"/>
      <c r="J30" s="322" t="s">
        <v>29</v>
      </c>
      <c r="K30" s="272"/>
      <c r="L30" s="322" t="s">
        <v>29</v>
      </c>
      <c r="M30" s="272"/>
      <c r="N30" s="322" t="s">
        <v>29</v>
      </c>
      <c r="O30" s="272"/>
      <c r="P30" s="431" t="s">
        <v>369</v>
      </c>
      <c r="Q30" s="272"/>
    </row>
    <row r="31" spans="1:26" ht="18" customHeight="1" x14ac:dyDescent="0.2">
      <c r="H31" s="48" t="s">
        <v>67</v>
      </c>
      <c r="I31" s="10"/>
      <c r="J31" s="286" t="s">
        <v>29</v>
      </c>
      <c r="K31" s="268"/>
      <c r="L31" s="321" t="s">
        <v>29</v>
      </c>
      <c r="M31" s="268"/>
      <c r="N31" s="322" t="s">
        <v>29</v>
      </c>
      <c r="O31" s="272"/>
      <c r="P31" s="297" t="s">
        <v>29</v>
      </c>
      <c r="Q31" s="261"/>
    </row>
    <row r="32" spans="1:26" ht="18" customHeight="1" x14ac:dyDescent="0.2">
      <c r="H32" s="48" t="s">
        <v>68</v>
      </c>
      <c r="I32" s="10"/>
      <c r="J32" s="286" t="s">
        <v>29</v>
      </c>
      <c r="K32" s="268"/>
      <c r="L32" s="321" t="s">
        <v>29</v>
      </c>
      <c r="M32" s="268"/>
      <c r="N32" s="322" t="s">
        <v>29</v>
      </c>
      <c r="O32" s="272"/>
      <c r="P32" s="297" t="s">
        <v>29</v>
      </c>
      <c r="Q32" s="261"/>
    </row>
    <row r="33" spans="8:17" ht="18" customHeight="1" x14ac:dyDescent="0.2">
      <c r="H33" s="48" t="s">
        <v>86</v>
      </c>
      <c r="I33" s="10"/>
      <c r="J33" s="286" t="s">
        <v>29</v>
      </c>
      <c r="K33" s="268"/>
      <c r="L33" s="321" t="s">
        <v>29</v>
      </c>
      <c r="M33" s="268"/>
      <c r="N33" s="322" t="s">
        <v>29</v>
      </c>
      <c r="O33" s="272"/>
      <c r="P33" s="297" t="s">
        <v>29</v>
      </c>
      <c r="Q33" s="261"/>
    </row>
    <row r="34" spans="8:17" ht="18" customHeight="1" x14ac:dyDescent="0.2">
      <c r="H34" s="48" t="s">
        <v>88</v>
      </c>
      <c r="I34" s="10"/>
      <c r="J34" s="286" t="s">
        <v>29</v>
      </c>
      <c r="K34" s="268"/>
      <c r="L34" s="321" t="s">
        <v>29</v>
      </c>
      <c r="M34" s="268"/>
      <c r="N34" s="322" t="s">
        <v>29</v>
      </c>
      <c r="O34" s="272"/>
      <c r="P34" s="297" t="s">
        <v>29</v>
      </c>
      <c r="Q34" s="261"/>
    </row>
    <row r="35" spans="8:17" ht="18" customHeight="1" x14ac:dyDescent="0.2">
      <c r="H35" s="47" t="s">
        <v>80</v>
      </c>
      <c r="I35" s="17">
        <v>41859</v>
      </c>
      <c r="J35" s="294">
        <f>I35-C16</f>
        <v>28</v>
      </c>
      <c r="K35" s="268"/>
      <c r="L35" s="294">
        <f>I35-D16</f>
        <v>27</v>
      </c>
      <c r="M35" s="268"/>
      <c r="N35" s="294">
        <v>26</v>
      </c>
      <c r="O35" s="272"/>
      <c r="P35" s="365" t="s">
        <v>410</v>
      </c>
      <c r="Q35" s="261"/>
    </row>
    <row r="36" spans="8:17" ht="18" customHeight="1" x14ac:dyDescent="0.2">
      <c r="H36" s="48" t="s">
        <v>82</v>
      </c>
      <c r="I36" s="17">
        <v>41859</v>
      </c>
      <c r="J36" s="291">
        <v>599</v>
      </c>
      <c r="K36" s="268"/>
      <c r="L36" s="290">
        <v>617</v>
      </c>
      <c r="M36" s="268"/>
      <c r="N36" s="320">
        <v>864</v>
      </c>
      <c r="O36" s="272"/>
      <c r="P36" s="367" t="s">
        <v>410</v>
      </c>
      <c r="Q36" s="261"/>
    </row>
    <row r="37" spans="8:17" ht="18" customHeight="1" x14ac:dyDescent="0.2">
      <c r="H37" s="48" t="s">
        <v>83</v>
      </c>
      <c r="I37" s="17">
        <v>41859</v>
      </c>
      <c r="J37" s="429" t="s">
        <v>369</v>
      </c>
      <c r="K37" s="268"/>
      <c r="L37" s="430" t="s">
        <v>369</v>
      </c>
      <c r="M37" s="268"/>
      <c r="N37" s="431" t="s">
        <v>369</v>
      </c>
      <c r="O37" s="272"/>
      <c r="P37" s="297"/>
      <c r="Q37" s="261"/>
    </row>
    <row r="38" spans="8:17" ht="18" customHeight="1" x14ac:dyDescent="0.2">
      <c r="H38" s="48" t="s">
        <v>67</v>
      </c>
      <c r="I38" s="10"/>
      <c r="J38" s="286" t="s">
        <v>29</v>
      </c>
      <c r="K38" s="268"/>
      <c r="L38" s="321" t="s">
        <v>29</v>
      </c>
      <c r="M38" s="268"/>
      <c r="N38" s="322" t="s">
        <v>29</v>
      </c>
      <c r="O38" s="272"/>
      <c r="P38" s="297" t="s">
        <v>29</v>
      </c>
      <c r="Q38" s="261"/>
    </row>
    <row r="39" spans="8:17" ht="18" customHeight="1" x14ac:dyDescent="0.2">
      <c r="H39" s="48" t="s">
        <v>68</v>
      </c>
      <c r="I39" s="10"/>
      <c r="J39" s="286" t="s">
        <v>29</v>
      </c>
      <c r="K39" s="268"/>
      <c r="L39" s="321" t="s">
        <v>29</v>
      </c>
      <c r="M39" s="268"/>
      <c r="N39" s="322" t="s">
        <v>29</v>
      </c>
      <c r="O39" s="272"/>
      <c r="P39" s="297" t="s">
        <v>29</v>
      </c>
      <c r="Q39" s="261"/>
    </row>
    <row r="40" spans="8:17" ht="18" customHeight="1" x14ac:dyDescent="0.2">
      <c r="H40" s="48" t="s">
        <v>86</v>
      </c>
      <c r="I40" s="10"/>
      <c r="J40" s="286" t="s">
        <v>29</v>
      </c>
      <c r="K40" s="268"/>
      <c r="L40" s="321" t="s">
        <v>29</v>
      </c>
      <c r="M40" s="268"/>
      <c r="N40" s="322" t="s">
        <v>29</v>
      </c>
      <c r="O40" s="272"/>
      <c r="P40" s="297" t="s">
        <v>29</v>
      </c>
      <c r="Q40" s="261"/>
    </row>
    <row r="41" spans="8:17" ht="18" customHeight="1" x14ac:dyDescent="0.2">
      <c r="H41" s="48" t="s">
        <v>88</v>
      </c>
      <c r="I41" s="10"/>
      <c r="J41" s="286" t="s">
        <v>29</v>
      </c>
      <c r="K41" s="268"/>
      <c r="L41" s="321" t="s">
        <v>29</v>
      </c>
      <c r="M41" s="268"/>
      <c r="N41" s="322" t="s">
        <v>29</v>
      </c>
      <c r="O41" s="272"/>
      <c r="P41" s="297" t="s">
        <v>29</v>
      </c>
      <c r="Q41" s="261"/>
    </row>
  </sheetData>
  <mergeCells count="184">
    <mergeCell ref="J15:K15"/>
    <mergeCell ref="L15:M15"/>
    <mergeCell ref="N15:O15"/>
    <mergeCell ref="P15:Q15"/>
    <mergeCell ref="R15:Z27"/>
    <mergeCell ref="J16:K16"/>
    <mergeCell ref="L16:M16"/>
    <mergeCell ref="N16:O16"/>
    <mergeCell ref="P16:Q16"/>
    <mergeCell ref="J28:K28"/>
    <mergeCell ref="L28:M28"/>
    <mergeCell ref="N28:O28"/>
    <mergeCell ref="P28:Q28"/>
    <mergeCell ref="J29:K29"/>
    <mergeCell ref="A26:B26"/>
    <mergeCell ref="J26:K26"/>
    <mergeCell ref="L26:M26"/>
    <mergeCell ref="N26:O26"/>
    <mergeCell ref="P26:Q26"/>
    <mergeCell ref="A27:B27"/>
    <mergeCell ref="J27:K27"/>
    <mergeCell ref="L27:M27"/>
    <mergeCell ref="N27:O27"/>
    <mergeCell ref="P27:Q27"/>
    <mergeCell ref="L29:M29"/>
    <mergeCell ref="N29:O29"/>
    <mergeCell ref="P29:Q29"/>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 ref="J30:K30"/>
    <mergeCell ref="L30:M30"/>
    <mergeCell ref="N30:O30"/>
    <mergeCell ref="P30:Q30"/>
    <mergeCell ref="J31:K31"/>
    <mergeCell ref="L31:M31"/>
    <mergeCell ref="N31:O31"/>
    <mergeCell ref="P31:Q31"/>
    <mergeCell ref="J32:K32"/>
    <mergeCell ref="L32:M32"/>
    <mergeCell ref="N32:O32"/>
    <mergeCell ref="P32:Q32"/>
    <mergeCell ref="J33:K33"/>
    <mergeCell ref="L33:M33"/>
    <mergeCell ref="N33:O33"/>
    <mergeCell ref="P33:Q33"/>
    <mergeCell ref="J34:K34"/>
    <mergeCell ref="L34:M34"/>
    <mergeCell ref="N34:O34"/>
    <mergeCell ref="P34:Q34"/>
    <mergeCell ref="J35:K35"/>
    <mergeCell ref="L35:M35"/>
    <mergeCell ref="N35:O35"/>
    <mergeCell ref="P35:Q35"/>
    <mergeCell ref="J36:K36"/>
    <mergeCell ref="L36:M36"/>
    <mergeCell ref="N36:O36"/>
    <mergeCell ref="P36:Q36"/>
    <mergeCell ref="J40:K40"/>
    <mergeCell ref="L40:M40"/>
    <mergeCell ref="N40:O40"/>
    <mergeCell ref="P40:Q40"/>
    <mergeCell ref="J41:K41"/>
    <mergeCell ref="L41:M41"/>
    <mergeCell ref="N41:O41"/>
    <mergeCell ref="P41:Q41"/>
    <mergeCell ref="J37:K37"/>
    <mergeCell ref="L37:M37"/>
    <mergeCell ref="N37:O37"/>
    <mergeCell ref="P37:Q37"/>
    <mergeCell ref="J38:K38"/>
    <mergeCell ref="L38:M38"/>
    <mergeCell ref="N38:O38"/>
    <mergeCell ref="P38:Q38"/>
    <mergeCell ref="J39:K39"/>
    <mergeCell ref="L39:M39"/>
    <mergeCell ref="N39:O39"/>
    <mergeCell ref="P39:Q39"/>
  </mergeCell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9"/>
  <sheetViews>
    <sheetView topLeftCell="A13" workbookViewId="0">
      <selection activeCell="U36" sqref="U36"/>
    </sheetView>
  </sheetViews>
  <sheetFormatPr defaultColWidth="11.85546875" defaultRowHeight="18" customHeight="1" x14ac:dyDescent="0.2"/>
  <cols>
    <col min="1" max="1" width="9.140625" style="25" customWidth="1"/>
    <col min="2" max="2" width="8.140625" style="25" bestFit="1" customWidth="1"/>
    <col min="3" max="3" width="9.28515625" style="25" customWidth="1"/>
    <col min="4" max="4" width="6.85546875" style="25" customWidth="1"/>
    <col min="5" max="5" width="9.28515625" style="25" bestFit="1"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3" ht="12.75" x14ac:dyDescent="0.2">
      <c r="A1" s="132" t="s">
        <v>0</v>
      </c>
      <c r="B1" s="125">
        <v>2014</v>
      </c>
      <c r="C1" s="132" t="s">
        <v>1</v>
      </c>
      <c r="D1" s="125"/>
      <c r="E1" s="132" t="s">
        <v>2</v>
      </c>
      <c r="F1" s="125">
        <v>51</v>
      </c>
      <c r="G1" s="133" t="s">
        <v>3</v>
      </c>
      <c r="H1" s="125" t="s">
        <v>4</v>
      </c>
      <c r="I1" s="329" t="s">
        <v>5</v>
      </c>
      <c r="J1" s="261"/>
      <c r="K1" s="262" t="s">
        <v>188</v>
      </c>
      <c r="L1" s="261"/>
      <c r="M1" s="261"/>
      <c r="N1" s="261"/>
      <c r="O1" s="261"/>
      <c r="P1" s="333" t="s">
        <v>6</v>
      </c>
      <c r="Q1" s="261"/>
      <c r="R1" s="334"/>
      <c r="S1" s="272"/>
      <c r="T1" s="135"/>
      <c r="U1" s="135"/>
      <c r="V1" s="135"/>
      <c r="W1" s="135"/>
      <c r="X1" s="135"/>
      <c r="Y1" s="135"/>
      <c r="Z1" s="136"/>
    </row>
    <row r="2" spans="1:33"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3" ht="15.75" customHeight="1" x14ac:dyDescent="0.2">
      <c r="A3" s="71" t="s">
        <v>29</v>
      </c>
      <c r="B3" s="144">
        <v>41803</v>
      </c>
      <c r="C3" s="71" t="s">
        <v>29</v>
      </c>
      <c r="D3" s="71" t="s">
        <v>29</v>
      </c>
      <c r="E3" s="71" t="s">
        <v>235</v>
      </c>
      <c r="F3" s="71" t="s">
        <v>235</v>
      </c>
      <c r="G3" s="71" t="s">
        <v>225</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B3" s="96"/>
      <c r="AC3" s="96"/>
      <c r="AD3" s="69" t="s">
        <v>205</v>
      </c>
    </row>
    <row r="4" spans="1:33"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99" t="s">
        <v>90</v>
      </c>
      <c r="AD4" s="31" t="s">
        <v>95</v>
      </c>
      <c r="AE4" s="95" t="s">
        <v>346</v>
      </c>
      <c r="AF4" s="95" t="s">
        <v>347</v>
      </c>
      <c r="AG4" s="95" t="s">
        <v>348</v>
      </c>
    </row>
    <row r="5" spans="1:33" ht="15.75" customHeight="1" x14ac:dyDescent="0.2">
      <c r="A5" s="71" t="s">
        <v>103</v>
      </c>
      <c r="B5" s="144">
        <v>41780</v>
      </c>
      <c r="C5" s="71" t="s">
        <v>105</v>
      </c>
      <c r="D5" s="71" t="s">
        <v>29</v>
      </c>
      <c r="E5" s="71" t="s">
        <v>115</v>
      </c>
      <c r="F5" s="71" t="s">
        <v>116</v>
      </c>
      <c r="G5" s="71" t="s">
        <v>215</v>
      </c>
      <c r="H5" s="71" t="s">
        <v>29</v>
      </c>
      <c r="I5" s="80" t="s">
        <v>29</v>
      </c>
      <c r="J5" s="80">
        <v>1032</v>
      </c>
      <c r="K5" s="80">
        <v>3</v>
      </c>
      <c r="L5" s="91" t="s">
        <v>29</v>
      </c>
      <c r="M5" s="91" t="s">
        <v>29</v>
      </c>
      <c r="N5" s="80">
        <v>363</v>
      </c>
      <c r="O5" s="80">
        <v>173</v>
      </c>
      <c r="P5" s="145" t="s">
        <v>29</v>
      </c>
      <c r="Q5" s="145" t="s">
        <v>29</v>
      </c>
      <c r="R5" s="145" t="s">
        <v>29</v>
      </c>
      <c r="S5" s="145" t="s">
        <v>29</v>
      </c>
      <c r="T5" s="145" t="s">
        <v>29</v>
      </c>
      <c r="U5" s="80" t="s">
        <v>4</v>
      </c>
      <c r="V5" s="80" t="s">
        <v>113</v>
      </c>
      <c r="W5" s="80" t="s">
        <v>114</v>
      </c>
      <c r="X5" s="142" t="s">
        <v>29</v>
      </c>
      <c r="Y5" s="142" t="s">
        <v>29</v>
      </c>
      <c r="Z5" s="142" t="s">
        <v>29</v>
      </c>
      <c r="AA5" s="67">
        <v>0.33333333333333331</v>
      </c>
      <c r="AB5" s="69" t="s">
        <v>205</v>
      </c>
      <c r="AC5" s="96"/>
      <c r="AD5" s="96"/>
      <c r="AE5" s="69" t="s">
        <v>216</v>
      </c>
      <c r="AF5" s="96">
        <v>46</v>
      </c>
      <c r="AG5" s="96">
        <v>5.6</v>
      </c>
    </row>
    <row r="6" spans="1:33" ht="15.75" customHeight="1" x14ac:dyDescent="0.2">
      <c r="A6" s="71"/>
      <c r="B6" s="144">
        <v>41803</v>
      </c>
      <c r="C6" s="71"/>
      <c r="D6" s="71"/>
      <c r="E6" s="71" t="s">
        <v>235</v>
      </c>
      <c r="F6" s="71" t="s">
        <v>235</v>
      </c>
      <c r="G6" s="71" t="s">
        <v>225</v>
      </c>
      <c r="H6" s="106"/>
      <c r="I6" s="128"/>
      <c r="J6" s="128"/>
      <c r="K6" s="128"/>
      <c r="L6" s="147"/>
      <c r="M6" s="147"/>
      <c r="N6" s="128"/>
      <c r="O6" s="128"/>
      <c r="P6" s="148"/>
      <c r="Q6" s="148"/>
      <c r="R6" s="148"/>
      <c r="S6" s="148"/>
      <c r="T6" s="148"/>
      <c r="U6" s="128"/>
      <c r="V6" s="128"/>
      <c r="W6" s="128"/>
      <c r="X6" s="188"/>
      <c r="Y6" s="188"/>
      <c r="Z6" s="189"/>
      <c r="AA6" s="67"/>
      <c r="AB6" s="96"/>
      <c r="AC6" s="96"/>
      <c r="AD6" s="69" t="s">
        <v>205</v>
      </c>
      <c r="AE6" s="96"/>
      <c r="AF6" s="96"/>
      <c r="AG6" s="96"/>
    </row>
    <row r="7" spans="1:33" ht="16.5" customHeight="1" x14ac:dyDescent="0.2">
      <c r="A7" s="149" t="s">
        <v>33</v>
      </c>
      <c r="B7" s="139" t="s">
        <v>9</v>
      </c>
      <c r="C7" s="162" t="s">
        <v>34</v>
      </c>
      <c r="D7" s="162" t="s">
        <v>35</v>
      </c>
      <c r="E7" s="162" t="s">
        <v>36</v>
      </c>
      <c r="F7" s="162" t="s">
        <v>37</v>
      </c>
      <c r="G7" s="162" t="s">
        <v>38</v>
      </c>
      <c r="H7" s="190" t="s">
        <v>39</v>
      </c>
      <c r="I7" s="152" t="s">
        <v>9</v>
      </c>
      <c r="J7" s="420" t="s">
        <v>40</v>
      </c>
      <c r="K7" s="420"/>
      <c r="L7" s="420" t="s">
        <v>41</v>
      </c>
      <c r="M7" s="420"/>
      <c r="N7" s="420" t="s">
        <v>42</v>
      </c>
      <c r="O7" s="420"/>
      <c r="P7" s="420" t="s">
        <v>43</v>
      </c>
      <c r="Q7" s="420"/>
      <c r="R7" s="74"/>
      <c r="S7" s="421" t="s">
        <v>44</v>
      </c>
      <c r="T7" s="422"/>
      <c r="U7" s="422"/>
      <c r="V7" s="422"/>
      <c r="W7" s="422"/>
      <c r="X7" s="275"/>
      <c r="Y7" s="275"/>
      <c r="Z7" s="336"/>
    </row>
    <row r="8" spans="1:33" ht="15.75" customHeight="1" x14ac:dyDescent="0.2">
      <c r="A8" s="154" t="s">
        <v>45</v>
      </c>
      <c r="B8" s="142"/>
      <c r="C8" s="155">
        <v>41794</v>
      </c>
      <c r="D8" s="155">
        <v>41796</v>
      </c>
      <c r="E8" s="155">
        <v>41798</v>
      </c>
      <c r="F8" s="155">
        <v>41800</v>
      </c>
      <c r="G8" s="156">
        <f>AVERAGE(C8:F8)</f>
        <v>41797</v>
      </c>
      <c r="H8" s="157" t="s">
        <v>46</v>
      </c>
      <c r="I8" s="158"/>
      <c r="J8" s="276" t="s">
        <v>354</v>
      </c>
      <c r="K8" s="267"/>
      <c r="L8" s="346" t="s">
        <v>355</v>
      </c>
      <c r="M8" s="267"/>
      <c r="N8" s="346" t="s">
        <v>356</v>
      </c>
      <c r="O8" s="267"/>
      <c r="P8" s="347" t="s">
        <v>407</v>
      </c>
      <c r="Q8" s="267"/>
      <c r="R8" s="159" t="s">
        <v>47</v>
      </c>
      <c r="S8" s="160"/>
      <c r="T8" s="106">
        <v>4</v>
      </c>
      <c r="U8" s="348" t="s">
        <v>48</v>
      </c>
      <c r="V8" s="348"/>
      <c r="W8" s="348"/>
      <c r="X8" s="349" t="s">
        <v>29</v>
      </c>
      <c r="Y8" s="350"/>
      <c r="Z8" s="351"/>
    </row>
    <row r="9" spans="1:33" ht="15.75" customHeight="1" x14ac:dyDescent="0.2">
      <c r="A9" s="161" t="s">
        <v>49</v>
      </c>
      <c r="B9" s="142" t="s">
        <v>29</v>
      </c>
      <c r="C9" s="142" t="s">
        <v>29</v>
      </c>
      <c r="D9" s="142" t="s">
        <v>29</v>
      </c>
      <c r="E9" s="142" t="s">
        <v>29</v>
      </c>
      <c r="F9" s="142" t="s">
        <v>29</v>
      </c>
      <c r="G9" s="162"/>
      <c r="H9" s="157" t="s">
        <v>50</v>
      </c>
      <c r="I9" s="166">
        <v>41830</v>
      </c>
      <c r="J9" s="341">
        <f>I9-C17</f>
        <v>0</v>
      </c>
      <c r="K9" s="336"/>
      <c r="L9" s="341">
        <v>0</v>
      </c>
      <c r="M9" s="336"/>
      <c r="N9" s="341" t="s">
        <v>410</v>
      </c>
      <c r="O9" s="336"/>
      <c r="P9" s="341" t="s">
        <v>410</v>
      </c>
      <c r="Q9" s="336"/>
      <c r="R9" s="164" t="s">
        <v>51</v>
      </c>
      <c r="S9" s="165"/>
      <c r="T9" s="106">
        <v>0</v>
      </c>
      <c r="U9" s="342" t="s">
        <v>52</v>
      </c>
      <c r="V9" s="342"/>
      <c r="W9" s="342"/>
      <c r="X9" s="343" t="s">
        <v>29</v>
      </c>
      <c r="Y9" s="344"/>
      <c r="Z9" s="345"/>
    </row>
    <row r="10" spans="1:33" ht="15.75" customHeight="1" x14ac:dyDescent="0.2">
      <c r="A10" s="161" t="s">
        <v>49</v>
      </c>
      <c r="B10" s="142" t="s">
        <v>29</v>
      </c>
      <c r="C10" s="142" t="s">
        <v>29</v>
      </c>
      <c r="D10" s="142" t="s">
        <v>29</v>
      </c>
      <c r="E10" s="142" t="s">
        <v>29</v>
      </c>
      <c r="F10" s="142" t="s">
        <v>29</v>
      </c>
      <c r="G10" s="162"/>
      <c r="H10" s="157" t="s">
        <v>53</v>
      </c>
      <c r="I10" s="166">
        <v>41830</v>
      </c>
      <c r="J10" s="355">
        <v>37</v>
      </c>
      <c r="K10" s="336"/>
      <c r="L10" s="356">
        <v>35</v>
      </c>
      <c r="M10" s="336"/>
      <c r="N10" s="356" t="s">
        <v>410</v>
      </c>
      <c r="O10" s="336"/>
      <c r="P10" s="357" t="s">
        <v>410</v>
      </c>
      <c r="Q10" s="336"/>
      <c r="R10" s="164" t="s">
        <v>54</v>
      </c>
      <c r="S10" s="165"/>
      <c r="T10" s="106">
        <v>4</v>
      </c>
      <c r="U10" s="342" t="s">
        <v>55</v>
      </c>
      <c r="V10" s="342"/>
      <c r="W10" s="342"/>
      <c r="X10" s="343" t="s">
        <v>29</v>
      </c>
      <c r="Y10" s="344"/>
      <c r="Z10" s="345"/>
    </row>
    <row r="11" spans="1:33" ht="15" customHeight="1" x14ac:dyDescent="0.2">
      <c r="A11" s="161" t="s">
        <v>49</v>
      </c>
      <c r="B11" s="142" t="s">
        <v>29</v>
      </c>
      <c r="C11" s="142" t="s">
        <v>29</v>
      </c>
      <c r="D11" s="142" t="s">
        <v>29</v>
      </c>
      <c r="E11" s="142" t="s">
        <v>29</v>
      </c>
      <c r="F11" s="142" t="s">
        <v>29</v>
      </c>
      <c r="G11" s="162"/>
      <c r="H11" s="157" t="s">
        <v>56</v>
      </c>
      <c r="I11" s="167"/>
      <c r="J11" s="352" t="s">
        <v>29</v>
      </c>
      <c r="K11" s="336"/>
      <c r="L11" s="353" t="s">
        <v>29</v>
      </c>
      <c r="M11" s="336"/>
      <c r="N11" s="353" t="s">
        <v>29</v>
      </c>
      <c r="O11" s="336"/>
      <c r="P11" s="354" t="s">
        <v>29</v>
      </c>
      <c r="Q11" s="336"/>
      <c r="R11" s="164" t="s">
        <v>57</v>
      </c>
      <c r="S11" s="165"/>
      <c r="T11" s="106">
        <v>3</v>
      </c>
      <c r="U11" s="342" t="s">
        <v>58</v>
      </c>
      <c r="V11" s="342"/>
      <c r="W11" s="342"/>
      <c r="X11" s="343" t="s">
        <v>29</v>
      </c>
      <c r="Y11" s="344"/>
      <c r="Z11" s="345"/>
    </row>
    <row r="12" spans="1:33" ht="15" customHeight="1" x14ac:dyDescent="0.2">
      <c r="A12" s="161" t="s">
        <v>49</v>
      </c>
      <c r="B12" s="142" t="s">
        <v>29</v>
      </c>
      <c r="C12" s="142" t="s">
        <v>29</v>
      </c>
      <c r="D12" s="142" t="s">
        <v>29</v>
      </c>
      <c r="E12" s="142" t="s">
        <v>29</v>
      </c>
      <c r="F12" s="142" t="s">
        <v>29</v>
      </c>
      <c r="G12" s="162"/>
      <c r="H12" s="157" t="s">
        <v>59</v>
      </c>
      <c r="I12" s="166">
        <v>41835</v>
      </c>
      <c r="J12" s="341">
        <f>I12-C17</f>
        <v>5</v>
      </c>
      <c r="K12" s="336"/>
      <c r="L12" s="341">
        <v>5</v>
      </c>
      <c r="M12" s="336"/>
      <c r="N12" s="341">
        <v>4</v>
      </c>
      <c r="O12" s="336"/>
      <c r="P12" s="362" t="s">
        <v>410</v>
      </c>
      <c r="Q12" s="336"/>
      <c r="R12" s="164" t="s">
        <v>60</v>
      </c>
      <c r="S12" s="165"/>
      <c r="T12" s="106">
        <v>3</v>
      </c>
      <c r="U12" s="342" t="s">
        <v>61</v>
      </c>
      <c r="V12" s="342"/>
      <c r="W12" s="342"/>
      <c r="X12" s="343" t="s">
        <v>29</v>
      </c>
      <c r="Y12" s="344"/>
      <c r="Z12" s="345"/>
    </row>
    <row r="13" spans="1:33" ht="15.75" customHeight="1" x14ac:dyDescent="0.2">
      <c r="A13" s="161" t="s">
        <v>49</v>
      </c>
      <c r="B13" s="142" t="s">
        <v>29</v>
      </c>
      <c r="C13" s="142" t="s">
        <v>29</v>
      </c>
      <c r="D13" s="142" t="s">
        <v>29</v>
      </c>
      <c r="E13" s="142" t="s">
        <v>29</v>
      </c>
      <c r="F13" s="142" t="s">
        <v>29</v>
      </c>
      <c r="G13" s="162"/>
      <c r="H13" s="157" t="s">
        <v>62</v>
      </c>
      <c r="I13" s="166">
        <v>41835</v>
      </c>
      <c r="J13" s="355">
        <v>82</v>
      </c>
      <c r="K13" s="475"/>
      <c r="L13" s="376">
        <v>86</v>
      </c>
      <c r="M13" s="440"/>
      <c r="N13" s="376">
        <v>57</v>
      </c>
      <c r="O13" s="440"/>
      <c r="P13" s="357" t="s">
        <v>410</v>
      </c>
      <c r="Q13" s="445"/>
      <c r="R13" s="164" t="s">
        <v>63</v>
      </c>
      <c r="S13" s="165"/>
      <c r="T13" s="168">
        <v>1</v>
      </c>
      <c r="U13" s="398" t="s">
        <v>64</v>
      </c>
      <c r="V13" s="399"/>
      <c r="W13" s="400"/>
      <c r="X13" s="359" t="s">
        <v>29</v>
      </c>
      <c r="Y13" s="360"/>
      <c r="Z13" s="361"/>
    </row>
    <row r="14" spans="1:33" ht="15.75" customHeight="1" x14ac:dyDescent="0.2">
      <c r="A14" s="161" t="s">
        <v>49</v>
      </c>
      <c r="B14" s="142" t="s">
        <v>29</v>
      </c>
      <c r="C14" s="142" t="s">
        <v>29</v>
      </c>
      <c r="D14" s="142" t="s">
        <v>29</v>
      </c>
      <c r="E14" s="142" t="s">
        <v>29</v>
      </c>
      <c r="F14" s="142" t="s">
        <v>29</v>
      </c>
      <c r="G14" s="162"/>
      <c r="H14" s="157" t="s">
        <v>65</v>
      </c>
      <c r="I14" s="167"/>
      <c r="J14" s="352" t="s">
        <v>29</v>
      </c>
      <c r="K14" s="336"/>
      <c r="L14" s="353" t="s">
        <v>29</v>
      </c>
      <c r="M14" s="336"/>
      <c r="N14" s="353" t="s">
        <v>29</v>
      </c>
      <c r="O14" s="336"/>
      <c r="P14" s="354" t="s">
        <v>29</v>
      </c>
      <c r="Q14" s="272"/>
      <c r="R14" s="401" t="s">
        <v>66</v>
      </c>
      <c r="S14" s="402"/>
      <c r="T14" s="402"/>
      <c r="U14" s="402"/>
      <c r="V14" s="402"/>
      <c r="W14" s="402"/>
      <c r="X14" s="402"/>
      <c r="Y14" s="402"/>
      <c r="Z14" s="402"/>
    </row>
    <row r="15" spans="1:33" ht="15.75" customHeight="1" x14ac:dyDescent="0.2">
      <c r="A15" s="161" t="s">
        <v>49</v>
      </c>
      <c r="B15" s="142" t="s">
        <v>29</v>
      </c>
      <c r="C15" s="142" t="s">
        <v>29</v>
      </c>
      <c r="D15" s="142" t="s">
        <v>29</v>
      </c>
      <c r="E15" s="142" t="s">
        <v>29</v>
      </c>
      <c r="F15" s="142" t="s">
        <v>29</v>
      </c>
      <c r="G15" s="162"/>
      <c r="H15" s="157" t="s">
        <v>67</v>
      </c>
      <c r="I15" s="167"/>
      <c r="J15" s="352" t="s">
        <v>29</v>
      </c>
      <c r="K15" s="336"/>
      <c r="L15" s="353" t="s">
        <v>29</v>
      </c>
      <c r="M15" s="336"/>
      <c r="N15" s="353" t="s">
        <v>29</v>
      </c>
      <c r="O15" s="336"/>
      <c r="P15" s="354" t="s">
        <v>29</v>
      </c>
      <c r="Q15" s="272"/>
      <c r="R15" s="404"/>
      <c r="S15" s="405"/>
      <c r="T15" s="405"/>
      <c r="U15" s="405"/>
      <c r="V15" s="405"/>
      <c r="W15" s="405"/>
      <c r="X15" s="405"/>
      <c r="Y15" s="405"/>
      <c r="Z15" s="405"/>
    </row>
    <row r="16" spans="1:33" ht="15.75" customHeight="1" x14ac:dyDescent="0.2">
      <c r="A16" s="161" t="s">
        <v>49</v>
      </c>
      <c r="B16" s="142" t="s">
        <v>29</v>
      </c>
      <c r="C16" s="142" t="s">
        <v>29</v>
      </c>
      <c r="D16" s="142" t="s">
        <v>29</v>
      </c>
      <c r="E16" s="142" t="s">
        <v>29</v>
      </c>
      <c r="F16" s="142" t="s">
        <v>29</v>
      </c>
      <c r="G16" s="162"/>
      <c r="H16" s="157" t="s">
        <v>68</v>
      </c>
      <c r="I16" s="167"/>
      <c r="J16" s="352" t="s">
        <v>29</v>
      </c>
      <c r="K16" s="336"/>
      <c r="L16" s="353" t="s">
        <v>29</v>
      </c>
      <c r="M16" s="336"/>
      <c r="N16" s="353" t="s">
        <v>29</v>
      </c>
      <c r="O16" s="336"/>
      <c r="P16" s="363" t="s">
        <v>29</v>
      </c>
      <c r="Q16" s="293"/>
      <c r="R16" s="305" t="s">
        <v>435</v>
      </c>
      <c r="S16" s="305"/>
      <c r="T16" s="305"/>
      <c r="U16" s="305"/>
      <c r="V16" s="305"/>
      <c r="W16" s="305"/>
      <c r="X16" s="305"/>
      <c r="Y16" s="305"/>
      <c r="Z16" s="306"/>
    </row>
    <row r="17" spans="1:26" ht="15.75" customHeight="1" x14ac:dyDescent="0.2">
      <c r="A17" s="171" t="s">
        <v>69</v>
      </c>
      <c r="B17" s="142"/>
      <c r="C17" s="155">
        <v>41830</v>
      </c>
      <c r="D17" s="155">
        <v>41830</v>
      </c>
      <c r="E17" s="155">
        <v>41831</v>
      </c>
      <c r="F17" s="155">
        <v>41832</v>
      </c>
      <c r="G17" s="156">
        <f>AVERAGE(C17:F17)</f>
        <v>41830.75</v>
      </c>
      <c r="H17" s="157" t="s">
        <v>70</v>
      </c>
      <c r="I17" s="166">
        <v>41840</v>
      </c>
      <c r="J17" s="364">
        <f>I17-C17</f>
        <v>10</v>
      </c>
      <c r="K17" s="336"/>
      <c r="L17" s="364">
        <v>10</v>
      </c>
      <c r="M17" s="336"/>
      <c r="N17" s="364">
        <v>9</v>
      </c>
      <c r="O17" s="272"/>
      <c r="P17" s="365" t="s">
        <v>410</v>
      </c>
      <c r="Q17" s="261"/>
      <c r="R17" s="307"/>
      <c r="S17" s="307"/>
      <c r="T17" s="307"/>
      <c r="U17" s="307"/>
      <c r="V17" s="307"/>
      <c r="W17" s="307"/>
      <c r="X17" s="307"/>
      <c r="Y17" s="307"/>
      <c r="Z17" s="308"/>
    </row>
    <row r="18" spans="1:26" ht="15.75" customHeight="1" x14ac:dyDescent="0.2">
      <c r="A18" s="338" t="s">
        <v>71</v>
      </c>
      <c r="B18" s="368"/>
      <c r="C18" s="172">
        <f>C17-C8</f>
        <v>36</v>
      </c>
      <c r="D18" s="172">
        <f>D17-D8</f>
        <v>34</v>
      </c>
      <c r="E18" s="172">
        <f>E17-E8</f>
        <v>33</v>
      </c>
      <c r="F18" s="172">
        <f>F17-F8</f>
        <v>32</v>
      </c>
      <c r="G18" s="173">
        <f>AVERAGE(C18:E18)</f>
        <v>34.333333333333336</v>
      </c>
      <c r="H18" s="157" t="s">
        <v>72</v>
      </c>
      <c r="I18" s="166">
        <v>41840</v>
      </c>
      <c r="J18" s="357">
        <v>256</v>
      </c>
      <c r="K18" s="336"/>
      <c r="L18" s="356">
        <v>266</v>
      </c>
      <c r="M18" s="336"/>
      <c r="N18" s="366">
        <v>195</v>
      </c>
      <c r="O18" s="272"/>
      <c r="P18" s="367" t="s">
        <v>410</v>
      </c>
      <c r="Q18" s="261"/>
      <c r="R18" s="307"/>
      <c r="S18" s="307"/>
      <c r="T18" s="307"/>
      <c r="U18" s="307"/>
      <c r="V18" s="307"/>
      <c r="W18" s="307"/>
      <c r="X18" s="307"/>
      <c r="Y18" s="307"/>
      <c r="Z18" s="308"/>
    </row>
    <row r="19" spans="1:26" ht="15.75" customHeight="1" x14ac:dyDescent="0.2">
      <c r="A19" s="340" t="s">
        <v>73</v>
      </c>
      <c r="B19" s="340"/>
      <c r="C19" s="339" t="s">
        <v>40</v>
      </c>
      <c r="D19" s="339" t="s">
        <v>41</v>
      </c>
      <c r="E19" s="339" t="s">
        <v>42</v>
      </c>
      <c r="F19" s="339" t="s">
        <v>43</v>
      </c>
      <c r="G19" s="339" t="s">
        <v>38</v>
      </c>
      <c r="H19" s="167" t="s">
        <v>78</v>
      </c>
      <c r="I19" s="167"/>
      <c r="J19" s="354" t="s">
        <v>29</v>
      </c>
      <c r="K19" s="336"/>
      <c r="L19" s="353" t="s">
        <v>29</v>
      </c>
      <c r="M19" s="336"/>
      <c r="N19" s="370" t="s">
        <v>29</v>
      </c>
      <c r="O19" s="272"/>
      <c r="P19" s="371" t="s">
        <v>29</v>
      </c>
      <c r="Q19" s="261"/>
      <c r="R19" s="307"/>
      <c r="S19" s="307"/>
      <c r="T19" s="307"/>
      <c r="U19" s="307"/>
      <c r="V19" s="307"/>
      <c r="W19" s="307"/>
      <c r="X19" s="307"/>
      <c r="Y19" s="307"/>
      <c r="Z19" s="308"/>
    </row>
    <row r="20" spans="1:26" ht="15" customHeight="1" x14ac:dyDescent="0.2">
      <c r="A20" s="369"/>
      <c r="B20" s="369"/>
      <c r="C20" s="261"/>
      <c r="D20" s="261"/>
      <c r="E20" s="261"/>
      <c r="F20" s="261"/>
      <c r="G20" s="261"/>
      <c r="H20" s="167" t="s">
        <v>67</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79</v>
      </c>
      <c r="B21" s="373"/>
      <c r="C21" s="122" t="s">
        <v>430</v>
      </c>
      <c r="D21" s="122" t="s">
        <v>430</v>
      </c>
      <c r="E21" s="122" t="s">
        <v>429</v>
      </c>
      <c r="F21" s="122" t="s">
        <v>410</v>
      </c>
      <c r="G21" s="122" t="s">
        <v>29</v>
      </c>
      <c r="H21" s="157" t="s">
        <v>68</v>
      </c>
      <c r="I21" s="167"/>
      <c r="J21" s="354" t="s">
        <v>29</v>
      </c>
      <c r="K21" s="336"/>
      <c r="L21" s="353" t="s">
        <v>29</v>
      </c>
      <c r="M21" s="336"/>
      <c r="N21" s="370" t="s">
        <v>29</v>
      </c>
      <c r="O21" s="272"/>
      <c r="P21" s="371" t="s">
        <v>29</v>
      </c>
      <c r="Q21" s="261"/>
      <c r="R21" s="307"/>
      <c r="S21" s="307"/>
      <c r="T21" s="307"/>
      <c r="U21" s="307"/>
      <c r="V21" s="307"/>
      <c r="W21" s="307"/>
      <c r="X21" s="307"/>
      <c r="Y21" s="307"/>
      <c r="Z21" s="308"/>
    </row>
    <row r="22" spans="1:26" ht="15.75" customHeight="1" x14ac:dyDescent="0.2">
      <c r="A22" s="372" t="s">
        <v>46</v>
      </c>
      <c r="B22" s="373"/>
      <c r="C22" s="25" t="s">
        <v>354</v>
      </c>
      <c r="D22" s="25" t="s">
        <v>355</v>
      </c>
      <c r="E22" s="25" t="s">
        <v>356</v>
      </c>
      <c r="F22" s="71" t="s">
        <v>407</v>
      </c>
      <c r="G22" s="71" t="s">
        <v>29</v>
      </c>
      <c r="H22" s="176" t="s">
        <v>80</v>
      </c>
      <c r="I22" s="166">
        <v>41845</v>
      </c>
      <c r="J22" s="364">
        <f>I22-C17</f>
        <v>15</v>
      </c>
      <c r="K22" s="336"/>
      <c r="L22" s="364">
        <v>15</v>
      </c>
      <c r="M22" s="336"/>
      <c r="N22" s="364">
        <v>14</v>
      </c>
      <c r="O22" s="272"/>
      <c r="P22" s="365" t="s">
        <v>410</v>
      </c>
      <c r="Q22" s="261"/>
      <c r="R22" s="307"/>
      <c r="S22" s="307"/>
      <c r="T22" s="307"/>
      <c r="U22" s="307"/>
      <c r="V22" s="307"/>
      <c r="W22" s="307"/>
      <c r="X22" s="307"/>
      <c r="Y22" s="307"/>
      <c r="Z22" s="308"/>
    </row>
    <row r="23" spans="1:26" ht="15.75" customHeight="1" x14ac:dyDescent="0.2">
      <c r="A23" s="372" t="s">
        <v>81</v>
      </c>
      <c r="B23" s="373"/>
      <c r="C23" s="200">
        <v>41855</v>
      </c>
      <c r="D23" s="200">
        <v>41855</v>
      </c>
      <c r="E23" s="200">
        <v>41855</v>
      </c>
      <c r="F23" s="71" t="s">
        <v>410</v>
      </c>
      <c r="G23" s="106" t="s">
        <v>29</v>
      </c>
      <c r="H23" s="178" t="s">
        <v>82</v>
      </c>
      <c r="I23" s="166">
        <v>41845</v>
      </c>
      <c r="J23" s="357">
        <v>468</v>
      </c>
      <c r="K23" s="336"/>
      <c r="L23" s="356">
        <v>469</v>
      </c>
      <c r="M23" s="336"/>
      <c r="N23" s="366">
        <v>325</v>
      </c>
      <c r="O23" s="272"/>
      <c r="P23" s="367" t="s">
        <v>410</v>
      </c>
      <c r="Q23" s="261"/>
      <c r="R23" s="307"/>
      <c r="S23" s="307"/>
      <c r="T23" s="307"/>
      <c r="U23" s="307"/>
      <c r="V23" s="307"/>
      <c r="W23" s="307"/>
      <c r="X23" s="307"/>
      <c r="Y23" s="307"/>
      <c r="Z23" s="308"/>
    </row>
    <row r="24" spans="1:26" ht="15.75" customHeight="1" x14ac:dyDescent="0.2">
      <c r="A24" s="372" t="s">
        <v>12</v>
      </c>
      <c r="B24" s="373"/>
      <c r="C24" s="71">
        <v>168705293</v>
      </c>
      <c r="D24" s="194">
        <v>168705292</v>
      </c>
      <c r="E24" s="194">
        <v>220612775</v>
      </c>
      <c r="F24" s="71" t="s">
        <v>410</v>
      </c>
      <c r="G24" s="106" t="s">
        <v>29</v>
      </c>
      <c r="H24" s="178" t="s">
        <v>83</v>
      </c>
      <c r="I24" s="166">
        <v>41845</v>
      </c>
      <c r="J24" s="357" t="s">
        <v>369</v>
      </c>
      <c r="K24" s="336"/>
      <c r="L24" s="356" t="s">
        <v>369</v>
      </c>
      <c r="M24" s="336"/>
      <c r="N24" s="380" t="s">
        <v>29</v>
      </c>
      <c r="O24" s="272"/>
      <c r="P24" s="371" t="s">
        <v>29</v>
      </c>
      <c r="Q24" s="261"/>
      <c r="R24" s="307"/>
      <c r="S24" s="307"/>
      <c r="T24" s="307"/>
      <c r="U24" s="307"/>
      <c r="V24" s="307"/>
      <c r="W24" s="307"/>
      <c r="X24" s="307"/>
      <c r="Y24" s="307"/>
      <c r="Z24" s="308"/>
    </row>
    <row r="25" spans="1:26" ht="15.75" customHeight="1" x14ac:dyDescent="0.2">
      <c r="A25" s="372" t="s">
        <v>84</v>
      </c>
      <c r="B25" s="373"/>
      <c r="C25" s="71" t="s">
        <v>413</v>
      </c>
      <c r="D25" s="71" t="s">
        <v>413</v>
      </c>
      <c r="E25" s="71" t="s">
        <v>398</v>
      </c>
      <c r="F25" s="71" t="s">
        <v>410</v>
      </c>
      <c r="G25" s="106" t="s">
        <v>29</v>
      </c>
      <c r="H25" s="178" t="s">
        <v>67</v>
      </c>
      <c r="I25" s="167"/>
      <c r="J25" s="354" t="s">
        <v>29</v>
      </c>
      <c r="K25" s="336"/>
      <c r="L25" s="372" t="s">
        <v>29</v>
      </c>
      <c r="M25" s="336"/>
      <c r="N25" s="380" t="s">
        <v>29</v>
      </c>
      <c r="O25" s="272"/>
      <c r="P25" s="371" t="s">
        <v>29</v>
      </c>
      <c r="Q25" s="261"/>
      <c r="R25" s="307"/>
      <c r="S25" s="307"/>
      <c r="T25" s="307"/>
      <c r="U25" s="307"/>
      <c r="V25" s="307"/>
      <c r="W25" s="307"/>
      <c r="X25" s="307"/>
      <c r="Y25" s="307"/>
      <c r="Z25" s="308"/>
    </row>
    <row r="26" spans="1:26" ht="15.75" customHeight="1" x14ac:dyDescent="0.2">
      <c r="A26" s="372" t="s">
        <v>11</v>
      </c>
      <c r="B26" s="373"/>
      <c r="C26" s="25" t="s">
        <v>410</v>
      </c>
      <c r="D26" s="71" t="s">
        <v>410</v>
      </c>
      <c r="E26" s="71" t="s">
        <v>410</v>
      </c>
      <c r="F26" s="71" t="s">
        <v>410</v>
      </c>
      <c r="G26" s="106" t="s">
        <v>29</v>
      </c>
      <c r="H26" s="178" t="s">
        <v>68</v>
      </c>
      <c r="I26" s="167"/>
      <c r="J26" s="354" t="s">
        <v>29</v>
      </c>
      <c r="K26" s="336"/>
      <c r="L26" s="372" t="s">
        <v>29</v>
      </c>
      <c r="M26" s="336"/>
      <c r="N26" s="380" t="s">
        <v>29</v>
      </c>
      <c r="O26" s="272"/>
      <c r="P26" s="371" t="s">
        <v>29</v>
      </c>
      <c r="Q26" s="261"/>
      <c r="R26" s="307"/>
      <c r="S26" s="307"/>
      <c r="T26" s="307"/>
      <c r="U26" s="307"/>
      <c r="V26" s="307"/>
      <c r="W26" s="307"/>
      <c r="X26" s="307"/>
      <c r="Y26" s="307"/>
      <c r="Z26" s="308"/>
    </row>
    <row r="27" spans="1:26" ht="15.75" customHeight="1" x14ac:dyDescent="0.2">
      <c r="A27" s="374" t="s">
        <v>85</v>
      </c>
      <c r="B27" s="375"/>
      <c r="C27" s="71" t="s">
        <v>410</v>
      </c>
      <c r="D27" s="71" t="s">
        <v>410</v>
      </c>
      <c r="E27" s="71" t="s">
        <v>410</v>
      </c>
      <c r="F27" s="177">
        <v>41834</v>
      </c>
      <c r="G27" s="106" t="s">
        <v>29</v>
      </c>
      <c r="H27" s="178" t="s">
        <v>86</v>
      </c>
      <c r="I27" s="167"/>
      <c r="J27" s="354" t="s">
        <v>29</v>
      </c>
      <c r="K27" s="336"/>
      <c r="L27" s="372" t="s">
        <v>29</v>
      </c>
      <c r="M27" s="336"/>
      <c r="N27" s="380" t="s">
        <v>29</v>
      </c>
      <c r="O27" s="272"/>
      <c r="P27" s="371" t="s">
        <v>29</v>
      </c>
      <c r="Q27" s="261"/>
      <c r="R27" s="307"/>
      <c r="S27" s="307"/>
      <c r="T27" s="307"/>
      <c r="U27" s="307"/>
      <c r="V27" s="307"/>
      <c r="W27" s="307"/>
      <c r="X27" s="307"/>
      <c r="Y27" s="307"/>
      <c r="Z27" s="308"/>
    </row>
    <row r="28" spans="1:26" ht="15.75" customHeight="1" x14ac:dyDescent="0.2">
      <c r="A28" s="378" t="s">
        <v>87</v>
      </c>
      <c r="B28" s="379"/>
      <c r="C28" s="71" t="s">
        <v>410</v>
      </c>
      <c r="D28" s="71" t="s">
        <v>410</v>
      </c>
      <c r="E28" s="71" t="s">
        <v>410</v>
      </c>
      <c r="F28" s="71">
        <v>3</v>
      </c>
      <c r="G28" s="106" t="s">
        <v>29</v>
      </c>
      <c r="H28" s="178" t="s">
        <v>88</v>
      </c>
      <c r="I28" s="167"/>
      <c r="J28" s="354" t="s">
        <v>29</v>
      </c>
      <c r="K28" s="336"/>
      <c r="L28" s="372" t="s">
        <v>29</v>
      </c>
      <c r="M28" s="336"/>
      <c r="N28" s="380" t="s">
        <v>29</v>
      </c>
      <c r="O28" s="272"/>
      <c r="P28" s="371" t="s">
        <v>29</v>
      </c>
      <c r="Q28" s="261"/>
      <c r="R28" s="307"/>
      <c r="S28" s="307"/>
      <c r="T28" s="307"/>
      <c r="U28" s="307"/>
      <c r="V28" s="307"/>
      <c r="W28" s="307"/>
      <c r="X28" s="307"/>
      <c r="Y28" s="307"/>
      <c r="Z28" s="308"/>
    </row>
    <row r="29" spans="1:26" ht="15.75" customHeight="1" x14ac:dyDescent="0.2">
      <c r="A29" s="126"/>
      <c r="B29" s="180"/>
      <c r="C29" s="181"/>
      <c r="D29" s="181"/>
      <c r="E29" s="181"/>
      <c r="F29" s="181"/>
      <c r="G29" s="181"/>
      <c r="H29" s="176" t="s">
        <v>80</v>
      </c>
      <c r="I29" s="166">
        <v>41850</v>
      </c>
      <c r="J29" s="364">
        <f>I29-C17</f>
        <v>20</v>
      </c>
      <c r="K29" s="336"/>
      <c r="L29" s="364">
        <v>20</v>
      </c>
      <c r="M29" s="336"/>
      <c r="N29" s="364">
        <v>19</v>
      </c>
      <c r="O29" s="272"/>
      <c r="P29" s="365" t="s">
        <v>410</v>
      </c>
      <c r="Q29" s="261"/>
      <c r="R29" s="182"/>
      <c r="S29" s="181"/>
      <c r="T29" s="181"/>
      <c r="U29" s="181"/>
      <c r="V29" s="181"/>
      <c r="W29" s="181"/>
      <c r="X29" s="181"/>
      <c r="Y29" s="181"/>
      <c r="Z29" s="181"/>
    </row>
    <row r="30" spans="1:26" ht="18" customHeight="1" x14ac:dyDescent="0.2">
      <c r="H30" s="178" t="s">
        <v>82</v>
      </c>
      <c r="I30" s="166">
        <v>41850</v>
      </c>
      <c r="J30" s="357">
        <v>658</v>
      </c>
      <c r="K30" s="336"/>
      <c r="L30" s="356">
        <v>664</v>
      </c>
      <c r="M30" s="336"/>
      <c r="N30" s="366">
        <v>479</v>
      </c>
      <c r="O30" s="272"/>
      <c r="P30" s="367" t="s">
        <v>410</v>
      </c>
      <c r="Q30" s="261"/>
    </row>
    <row r="31" spans="1:26" ht="18" customHeight="1" x14ac:dyDescent="0.2">
      <c r="H31" s="178" t="s">
        <v>83</v>
      </c>
      <c r="I31" s="166">
        <v>41850</v>
      </c>
      <c r="J31" s="354" t="s">
        <v>29</v>
      </c>
      <c r="K31" s="336"/>
      <c r="L31" s="372" t="s">
        <v>29</v>
      </c>
      <c r="M31" s="336"/>
      <c r="N31" s="366" t="s">
        <v>369</v>
      </c>
      <c r="O31" s="272"/>
      <c r="P31" s="371" t="s">
        <v>29</v>
      </c>
      <c r="Q31" s="261"/>
    </row>
    <row r="32" spans="1:26" ht="18" customHeight="1" x14ac:dyDescent="0.2">
      <c r="H32" s="178" t="s">
        <v>67</v>
      </c>
      <c r="I32" s="167"/>
      <c r="J32" s="354" t="s">
        <v>29</v>
      </c>
      <c r="K32" s="336"/>
      <c r="L32" s="372" t="s">
        <v>29</v>
      </c>
      <c r="M32" s="336"/>
      <c r="N32" s="380" t="s">
        <v>29</v>
      </c>
      <c r="O32" s="272"/>
      <c r="P32" s="371" t="s">
        <v>29</v>
      </c>
      <c r="Q32" s="261"/>
    </row>
    <row r="33" spans="8:17" ht="18" customHeight="1" x14ac:dyDescent="0.2">
      <c r="H33" s="178" t="s">
        <v>68</v>
      </c>
      <c r="I33" s="167"/>
      <c r="J33" s="354" t="s">
        <v>29</v>
      </c>
      <c r="K33" s="336"/>
      <c r="L33" s="372" t="s">
        <v>29</v>
      </c>
      <c r="M33" s="336"/>
      <c r="N33" s="380" t="s">
        <v>29</v>
      </c>
      <c r="O33" s="272"/>
      <c r="P33" s="371" t="s">
        <v>29</v>
      </c>
      <c r="Q33" s="261"/>
    </row>
    <row r="34" spans="8:17" ht="18" customHeight="1" x14ac:dyDescent="0.2">
      <c r="H34" s="178" t="s">
        <v>86</v>
      </c>
      <c r="I34" s="167"/>
      <c r="J34" s="354" t="s">
        <v>29</v>
      </c>
      <c r="K34" s="336"/>
      <c r="L34" s="372" t="s">
        <v>29</v>
      </c>
      <c r="M34" s="336"/>
      <c r="N34" s="380" t="s">
        <v>29</v>
      </c>
      <c r="O34" s="272"/>
      <c r="P34" s="371" t="s">
        <v>29</v>
      </c>
      <c r="Q34" s="261"/>
    </row>
    <row r="35" spans="8:17" ht="18" customHeight="1" x14ac:dyDescent="0.2">
      <c r="H35" s="178" t="s">
        <v>88</v>
      </c>
      <c r="I35" s="167"/>
      <c r="J35" s="354" t="s">
        <v>29</v>
      </c>
      <c r="K35" s="336"/>
      <c r="L35" s="372" t="s">
        <v>29</v>
      </c>
      <c r="M35" s="336"/>
      <c r="N35" s="380" t="s">
        <v>29</v>
      </c>
      <c r="O35" s="272"/>
      <c r="P35" s="371" t="s">
        <v>29</v>
      </c>
      <c r="Q35" s="261"/>
    </row>
    <row r="36" spans="8:17" ht="18" customHeight="1" x14ac:dyDescent="0.2">
      <c r="H36" s="176" t="s">
        <v>80</v>
      </c>
      <c r="I36" s="166">
        <v>41855</v>
      </c>
      <c r="J36" s="364">
        <f>I36-C17</f>
        <v>25</v>
      </c>
      <c r="K36" s="336"/>
      <c r="L36" s="364">
        <v>25</v>
      </c>
      <c r="M36" s="336"/>
      <c r="N36" s="364">
        <v>24</v>
      </c>
      <c r="O36" s="272"/>
      <c r="P36" s="365" t="s">
        <v>410</v>
      </c>
      <c r="Q36" s="261"/>
    </row>
    <row r="37" spans="8:17" ht="18" customHeight="1" x14ac:dyDescent="0.2">
      <c r="H37" s="178" t="s">
        <v>82</v>
      </c>
      <c r="I37" s="166">
        <v>41855</v>
      </c>
      <c r="J37" s="357">
        <v>661</v>
      </c>
      <c r="K37" s="336"/>
      <c r="L37" s="356">
        <v>746</v>
      </c>
      <c r="M37" s="336"/>
      <c r="N37" s="366">
        <v>566</v>
      </c>
      <c r="O37" s="272"/>
      <c r="P37" s="367" t="s">
        <v>410</v>
      </c>
      <c r="Q37" s="261"/>
    </row>
    <row r="38" spans="8:17" ht="18" customHeight="1" x14ac:dyDescent="0.2">
      <c r="H38" s="178" t="s">
        <v>83</v>
      </c>
      <c r="I38" s="166">
        <v>41855</v>
      </c>
      <c r="J38" s="357" t="s">
        <v>369</v>
      </c>
      <c r="K38" s="336"/>
      <c r="L38" s="356" t="s">
        <v>369</v>
      </c>
      <c r="M38" s="336"/>
      <c r="N38" s="366" t="s">
        <v>369</v>
      </c>
      <c r="O38" s="272"/>
      <c r="P38" s="419" t="s">
        <v>29</v>
      </c>
      <c r="Q38" s="474"/>
    </row>
    <row r="39" spans="8:17" ht="18" customHeight="1" x14ac:dyDescent="0.2">
      <c r="H39" s="178" t="s">
        <v>67</v>
      </c>
      <c r="I39" s="167"/>
      <c r="J39" s="354" t="s">
        <v>29</v>
      </c>
      <c r="K39" s="336"/>
      <c r="L39" s="372" t="s">
        <v>29</v>
      </c>
      <c r="M39" s="336"/>
      <c r="N39" s="380" t="s">
        <v>29</v>
      </c>
      <c r="O39" s="272"/>
      <c r="P39" s="419" t="s">
        <v>29</v>
      </c>
      <c r="Q39" s="474"/>
    </row>
    <row r="40" spans="8:17" ht="18" customHeight="1" x14ac:dyDescent="0.2">
      <c r="H40" s="178" t="s">
        <v>68</v>
      </c>
      <c r="I40" s="167"/>
      <c r="J40" s="354" t="s">
        <v>29</v>
      </c>
      <c r="K40" s="336"/>
      <c r="L40" s="372" t="s">
        <v>29</v>
      </c>
      <c r="M40" s="336"/>
      <c r="N40" s="380" t="s">
        <v>29</v>
      </c>
      <c r="O40" s="272"/>
      <c r="P40" s="371" t="s">
        <v>29</v>
      </c>
      <c r="Q40" s="261"/>
    </row>
    <row r="41" spans="8:17" ht="18" customHeight="1" x14ac:dyDescent="0.2">
      <c r="H41" s="178" t="s">
        <v>86</v>
      </c>
      <c r="I41" s="167"/>
      <c r="J41" s="354" t="s">
        <v>29</v>
      </c>
      <c r="K41" s="336"/>
      <c r="L41" s="372" t="s">
        <v>29</v>
      </c>
      <c r="M41" s="336"/>
      <c r="N41" s="380" t="s">
        <v>29</v>
      </c>
      <c r="O41" s="272"/>
      <c r="P41" s="371" t="s">
        <v>29</v>
      </c>
      <c r="Q41" s="261"/>
    </row>
    <row r="42" spans="8:17" ht="18" customHeight="1" x14ac:dyDescent="0.2">
      <c r="H42" s="178" t="s">
        <v>88</v>
      </c>
      <c r="I42" s="167"/>
      <c r="J42" s="354" t="s">
        <v>29</v>
      </c>
      <c r="K42" s="336"/>
      <c r="L42" s="372" t="s">
        <v>29</v>
      </c>
      <c r="M42" s="336"/>
      <c r="N42" s="380" t="s">
        <v>29</v>
      </c>
      <c r="O42" s="272"/>
      <c r="P42" s="371" t="s">
        <v>29</v>
      </c>
      <c r="Q42" s="261"/>
    </row>
    <row r="43" spans="8:17" ht="18" customHeight="1" x14ac:dyDescent="0.2">
      <c r="H43" s="176" t="s">
        <v>80</v>
      </c>
      <c r="I43" s="166">
        <v>41859</v>
      </c>
      <c r="J43" s="364">
        <f>I43-C17</f>
        <v>29</v>
      </c>
      <c r="K43" s="336"/>
      <c r="L43" s="364">
        <v>29</v>
      </c>
      <c r="M43" s="336"/>
      <c r="N43" s="364">
        <v>28</v>
      </c>
      <c r="O43" s="272"/>
      <c r="P43" s="365" t="s">
        <v>410</v>
      </c>
      <c r="Q43" s="261"/>
    </row>
    <row r="44" spans="8:17" ht="18" customHeight="1" x14ac:dyDescent="0.2">
      <c r="H44" s="178" t="s">
        <v>82</v>
      </c>
      <c r="I44" s="166">
        <v>41859</v>
      </c>
      <c r="J44" s="357">
        <v>755</v>
      </c>
      <c r="K44" s="336"/>
      <c r="L44" s="356">
        <v>824</v>
      </c>
      <c r="M44" s="336"/>
      <c r="N44" s="366">
        <v>562</v>
      </c>
      <c r="O44" s="272"/>
      <c r="P44" s="367" t="s">
        <v>410</v>
      </c>
      <c r="Q44" s="261"/>
    </row>
    <row r="45" spans="8:17" ht="18" customHeight="1" x14ac:dyDescent="0.2">
      <c r="H45" s="178" t="s">
        <v>83</v>
      </c>
      <c r="I45" s="179"/>
      <c r="J45" s="354" t="s">
        <v>29</v>
      </c>
      <c r="K45" s="336"/>
      <c r="L45" s="372" t="s">
        <v>29</v>
      </c>
      <c r="M45" s="336"/>
      <c r="N45" s="380" t="s">
        <v>29</v>
      </c>
      <c r="O45" s="272"/>
      <c r="P45" s="371" t="s">
        <v>29</v>
      </c>
      <c r="Q45" s="261"/>
    </row>
    <row r="46" spans="8:17" ht="18" customHeight="1" x14ac:dyDescent="0.2">
      <c r="H46" s="178" t="s">
        <v>67</v>
      </c>
      <c r="I46" s="167"/>
      <c r="J46" s="354" t="s">
        <v>29</v>
      </c>
      <c r="K46" s="336"/>
      <c r="L46" s="372" t="s">
        <v>29</v>
      </c>
      <c r="M46" s="336"/>
      <c r="N46" s="380" t="s">
        <v>29</v>
      </c>
      <c r="O46" s="272"/>
      <c r="P46" s="371" t="s">
        <v>29</v>
      </c>
      <c r="Q46" s="261"/>
    </row>
    <row r="47" spans="8:17" ht="18" customHeight="1" x14ac:dyDescent="0.2">
      <c r="H47" s="178" t="s">
        <v>68</v>
      </c>
      <c r="I47" s="167"/>
      <c r="J47" s="354" t="s">
        <v>29</v>
      </c>
      <c r="K47" s="336"/>
      <c r="L47" s="372" t="s">
        <v>29</v>
      </c>
      <c r="M47" s="336"/>
      <c r="N47" s="380" t="s">
        <v>29</v>
      </c>
      <c r="O47" s="272"/>
      <c r="P47" s="371" t="s">
        <v>29</v>
      </c>
      <c r="Q47" s="261"/>
    </row>
    <row r="48" spans="8:17" ht="18" customHeight="1" x14ac:dyDescent="0.2">
      <c r="H48" s="178" t="s">
        <v>86</v>
      </c>
      <c r="I48" s="167"/>
      <c r="J48" s="354" t="s">
        <v>29</v>
      </c>
      <c r="K48" s="336"/>
      <c r="L48" s="372" t="s">
        <v>29</v>
      </c>
      <c r="M48" s="336"/>
      <c r="N48" s="380" t="s">
        <v>29</v>
      </c>
      <c r="O48" s="272"/>
      <c r="P48" s="371" t="s">
        <v>29</v>
      </c>
      <c r="Q48" s="261"/>
    </row>
    <row r="49" spans="8:17" ht="18" customHeight="1" x14ac:dyDescent="0.2">
      <c r="H49" s="178" t="s">
        <v>88</v>
      </c>
      <c r="I49" s="167"/>
      <c r="J49" s="354" t="s">
        <v>29</v>
      </c>
      <c r="K49" s="336"/>
      <c r="L49" s="372" t="s">
        <v>29</v>
      </c>
      <c r="M49" s="336"/>
      <c r="N49" s="380" t="s">
        <v>29</v>
      </c>
      <c r="O49" s="272"/>
      <c r="P49" s="371" t="s">
        <v>29</v>
      </c>
      <c r="Q49" s="261"/>
    </row>
  </sheetData>
  <mergeCells count="212">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Z28"/>
    <mergeCell ref="J17:K17"/>
    <mergeCell ref="L17:M17"/>
    <mergeCell ref="N17:O17"/>
    <mergeCell ref="P17:Q17"/>
    <mergeCell ref="L23:M23"/>
    <mergeCell ref="N23:O23"/>
    <mergeCell ref="P23:Q23"/>
    <mergeCell ref="J14:K14"/>
    <mergeCell ref="L14:M14"/>
    <mergeCell ref="N14:O14"/>
    <mergeCell ref="P14:Q14"/>
    <mergeCell ref="R14:Z15"/>
    <mergeCell ref="J15:K15"/>
    <mergeCell ref="L15:M15"/>
    <mergeCell ref="N15:O15"/>
    <mergeCell ref="P15:Q15"/>
    <mergeCell ref="J13:K13"/>
    <mergeCell ref="L13:M13"/>
    <mergeCell ref="N13:O13"/>
    <mergeCell ref="P13:Q13"/>
    <mergeCell ref="U13:W13"/>
    <mergeCell ref="X13:Z13"/>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7:K7"/>
    <mergeCell ref="L7:M7"/>
    <mergeCell ref="N7:O7"/>
    <mergeCell ref="P7:Q7"/>
    <mergeCell ref="S7:Z7"/>
    <mergeCell ref="J9:K9"/>
    <mergeCell ref="L9:M9"/>
    <mergeCell ref="N9:O9"/>
    <mergeCell ref="P9:Q9"/>
    <mergeCell ref="U9:W9"/>
    <mergeCell ref="X9:Z9"/>
    <mergeCell ref="J8:K8"/>
    <mergeCell ref="L8:M8"/>
    <mergeCell ref="N8:O8"/>
    <mergeCell ref="P8:Q8"/>
    <mergeCell ref="U8:W8"/>
    <mergeCell ref="X8:Z8"/>
    <mergeCell ref="I1:J1"/>
    <mergeCell ref="K1:O1"/>
    <mergeCell ref="P1:Q1"/>
    <mergeCell ref="R1:S1"/>
    <mergeCell ref="L2:M2"/>
    <mergeCell ref="Q2:R2"/>
    <mergeCell ref="Y2:Z2"/>
    <mergeCell ref="L4:M4"/>
    <mergeCell ref="Q4:R4"/>
    <mergeCell ref="Y4:Z4"/>
    <mergeCell ref="J29:K29"/>
    <mergeCell ref="L29:M29"/>
    <mergeCell ref="N29:O29"/>
    <mergeCell ref="P29:Q29"/>
    <mergeCell ref="J30:K30"/>
    <mergeCell ref="L30:M30"/>
    <mergeCell ref="N30:O30"/>
    <mergeCell ref="P30:Q30"/>
    <mergeCell ref="J31:K31"/>
    <mergeCell ref="L31:M31"/>
    <mergeCell ref="N31:O31"/>
    <mergeCell ref="P31:Q31"/>
    <mergeCell ref="J35:K35"/>
    <mergeCell ref="L35:M35"/>
    <mergeCell ref="N35:O35"/>
    <mergeCell ref="P35:Q35"/>
    <mergeCell ref="J32:K32"/>
    <mergeCell ref="L32:M32"/>
    <mergeCell ref="N32:O32"/>
    <mergeCell ref="P32:Q32"/>
    <mergeCell ref="J33:K33"/>
    <mergeCell ref="L33:M33"/>
    <mergeCell ref="N33:O33"/>
    <mergeCell ref="P33:Q33"/>
    <mergeCell ref="J34:K34"/>
    <mergeCell ref="L34:M34"/>
    <mergeCell ref="N34:O34"/>
    <mergeCell ref="P34:Q34"/>
    <mergeCell ref="J36:K36"/>
    <mergeCell ref="L36:M36"/>
    <mergeCell ref="N36:O36"/>
    <mergeCell ref="P36:Q36"/>
    <mergeCell ref="J37:K37"/>
    <mergeCell ref="L37:M37"/>
    <mergeCell ref="N37:O37"/>
    <mergeCell ref="P37:Q37"/>
    <mergeCell ref="J38:K38"/>
    <mergeCell ref="L38:M38"/>
    <mergeCell ref="N38:O38"/>
    <mergeCell ref="P38:Q38"/>
    <mergeCell ref="J39:K39"/>
    <mergeCell ref="L39:M39"/>
    <mergeCell ref="N39:O39"/>
    <mergeCell ref="P39:Q39"/>
    <mergeCell ref="J40:K40"/>
    <mergeCell ref="L40:M40"/>
    <mergeCell ref="N40:O40"/>
    <mergeCell ref="P40:Q40"/>
    <mergeCell ref="J41:K41"/>
    <mergeCell ref="L41:M41"/>
    <mergeCell ref="N41:O41"/>
    <mergeCell ref="P41:Q41"/>
    <mergeCell ref="J42:K42"/>
    <mergeCell ref="L42:M42"/>
    <mergeCell ref="N42:O42"/>
    <mergeCell ref="P42:Q42"/>
    <mergeCell ref="J43:K43"/>
    <mergeCell ref="L43:M43"/>
    <mergeCell ref="N43:O43"/>
    <mergeCell ref="P43:Q43"/>
    <mergeCell ref="J44:K44"/>
    <mergeCell ref="L44:M44"/>
    <mergeCell ref="N44:O44"/>
    <mergeCell ref="P44:Q44"/>
    <mergeCell ref="J48:K48"/>
    <mergeCell ref="L48:M48"/>
    <mergeCell ref="N48:O48"/>
    <mergeCell ref="P48:Q48"/>
    <mergeCell ref="J49:K49"/>
    <mergeCell ref="L49:M49"/>
    <mergeCell ref="N49:O49"/>
    <mergeCell ref="P49:Q49"/>
    <mergeCell ref="J45:K45"/>
    <mergeCell ref="L45:M45"/>
    <mergeCell ref="N45:O45"/>
    <mergeCell ref="P45:Q45"/>
    <mergeCell ref="J46:K46"/>
    <mergeCell ref="L46:M46"/>
    <mergeCell ref="N46:O46"/>
    <mergeCell ref="P46:Q46"/>
    <mergeCell ref="J47:K47"/>
    <mergeCell ref="L47:M47"/>
    <mergeCell ref="N47:O47"/>
    <mergeCell ref="P47:Q47"/>
  </mergeCells>
  <pageMargins left="0.7" right="0.7" top="0.75" bottom="0.75" header="0.3" footer="0.3"/>
  <pageSetup orientation="portrait" horizontalDpi="4294967295" verticalDpi="4294967295"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C27" sqref="AC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16">
        <v>2014</v>
      </c>
      <c r="C1" s="132" t="s">
        <v>1</v>
      </c>
      <c r="D1" s="216"/>
      <c r="E1" s="132" t="s">
        <v>2</v>
      </c>
      <c r="F1" s="216">
        <v>52</v>
      </c>
      <c r="G1" s="226" t="s">
        <v>3</v>
      </c>
      <c r="H1" s="216" t="s">
        <v>4</v>
      </c>
      <c r="I1" s="329" t="s">
        <v>5</v>
      </c>
      <c r="J1" s="261"/>
      <c r="K1" s="262" t="s">
        <v>209</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28" t="s">
        <v>34</v>
      </c>
      <c r="D6" s="228" t="s">
        <v>35</v>
      </c>
      <c r="E6" s="228" t="s">
        <v>36</v>
      </c>
      <c r="F6" s="228" t="s">
        <v>37</v>
      </c>
      <c r="G6" s="228" t="s">
        <v>38</v>
      </c>
      <c r="H6" s="190" t="s">
        <v>39</v>
      </c>
      <c r="I6" s="227"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24"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28"/>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24"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28"/>
      <c r="H9" s="157" t="s">
        <v>53</v>
      </c>
      <c r="I9" s="179"/>
      <c r="J9" s="355" t="s">
        <v>29</v>
      </c>
      <c r="K9" s="336"/>
      <c r="L9" s="356" t="s">
        <v>29</v>
      </c>
      <c r="M9" s="336"/>
      <c r="N9" s="356" t="s">
        <v>29</v>
      </c>
      <c r="O9" s="336"/>
      <c r="P9" s="357" t="s">
        <v>29</v>
      </c>
      <c r="Q9" s="336"/>
      <c r="R9" s="164" t="s">
        <v>54</v>
      </c>
      <c r="S9" s="165"/>
      <c r="T9" s="224"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28"/>
      <c r="H10" s="157" t="s">
        <v>56</v>
      </c>
      <c r="I10" s="167"/>
      <c r="J10" s="352" t="s">
        <v>29</v>
      </c>
      <c r="K10" s="336"/>
      <c r="L10" s="353" t="s">
        <v>29</v>
      </c>
      <c r="M10" s="336"/>
      <c r="N10" s="353" t="s">
        <v>29</v>
      </c>
      <c r="O10" s="336"/>
      <c r="P10" s="354" t="s">
        <v>29</v>
      </c>
      <c r="Q10" s="336"/>
      <c r="R10" s="164" t="s">
        <v>57</v>
      </c>
      <c r="S10" s="165"/>
      <c r="T10" s="224"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28"/>
      <c r="H11" s="157" t="s">
        <v>59</v>
      </c>
      <c r="I11" s="163">
        <v>40767</v>
      </c>
      <c r="J11" s="341">
        <f>I11-C16</f>
        <v>40767</v>
      </c>
      <c r="K11" s="336"/>
      <c r="L11" s="341">
        <f>I11-D16</f>
        <v>40767</v>
      </c>
      <c r="M11" s="336"/>
      <c r="N11" s="341">
        <f>I11-E16</f>
        <v>40767</v>
      </c>
      <c r="O11" s="336"/>
      <c r="P11" s="362">
        <f>I11-F16</f>
        <v>40767</v>
      </c>
      <c r="Q11" s="336"/>
      <c r="R11" s="164" t="s">
        <v>60</v>
      </c>
      <c r="S11" s="165"/>
      <c r="T11" s="224"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28"/>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28"/>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28"/>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28"/>
      <c r="H15" s="157" t="s">
        <v>68</v>
      </c>
      <c r="I15" s="167"/>
      <c r="J15" s="352" t="s">
        <v>29</v>
      </c>
      <c r="K15" s="336"/>
      <c r="L15" s="353" t="s">
        <v>29</v>
      </c>
      <c r="M15" s="336"/>
      <c r="N15" s="353" t="s">
        <v>29</v>
      </c>
      <c r="O15" s="336"/>
      <c r="P15" s="363" t="s">
        <v>29</v>
      </c>
      <c r="Q15" s="293"/>
      <c r="R15" s="305" t="s">
        <v>301</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24"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24"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2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2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24"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24"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18"/>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22:B22"/>
    <mergeCell ref="J22:K22"/>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U29" sqref="U29"/>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53</v>
      </c>
      <c r="G1" s="241" t="s">
        <v>3</v>
      </c>
      <c r="H1" s="235" t="s">
        <v>4</v>
      </c>
      <c r="I1" s="329" t="s">
        <v>5</v>
      </c>
      <c r="J1" s="261"/>
      <c r="K1" s="262" t="s">
        <v>208</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144">
        <v>41802</v>
      </c>
      <c r="C3" s="71" t="s">
        <v>29</v>
      </c>
      <c r="D3" s="71" t="s">
        <v>29</v>
      </c>
      <c r="E3" s="71" t="s">
        <v>235</v>
      </c>
      <c r="F3" s="71" t="s">
        <v>235</v>
      </c>
      <c r="G3" s="71" t="s">
        <v>227</v>
      </c>
      <c r="H3" s="71" t="s">
        <v>212</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D3" s="69" t="s">
        <v>205</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144">
        <v>41802</v>
      </c>
      <c r="C5" s="71" t="s">
        <v>29</v>
      </c>
      <c r="D5" s="71" t="s">
        <v>29</v>
      </c>
      <c r="E5" s="71" t="s">
        <v>235</v>
      </c>
      <c r="F5" s="71" t="s">
        <v>235</v>
      </c>
      <c r="G5" s="71" t="s">
        <v>227</v>
      </c>
      <c r="H5" s="71" t="s">
        <v>212</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c r="AD5" s="69" t="s">
        <v>205</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t="s">
        <v>260</v>
      </c>
      <c r="D7" s="155" t="s">
        <v>260</v>
      </c>
      <c r="E7" s="155" t="s">
        <v>260</v>
      </c>
      <c r="F7" s="155"/>
      <c r="G7" s="156" t="e">
        <f>AVERAGE(C7:F7)</f>
        <v>#DIV/0!</v>
      </c>
      <c r="H7" s="157" t="s">
        <v>46</v>
      </c>
      <c r="I7" s="158"/>
      <c r="J7" s="276" t="s">
        <v>360</v>
      </c>
      <c r="K7" s="267"/>
      <c r="L7" s="346" t="s">
        <v>361</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41841</v>
      </c>
      <c r="J8" s="341">
        <f>IF(((I8-C16)&gt;0),(I8-C16),"/")</f>
        <v>41841</v>
      </c>
      <c r="K8" s="336"/>
      <c r="L8" s="341">
        <f>IF(((I8-D16)&gt;0),(I8-D16),"/")</f>
        <v>41841</v>
      </c>
      <c r="M8" s="336"/>
      <c r="N8" s="341">
        <f>IF(((I8-E16)&gt;0),(I8-E16),"/")</f>
        <v>41841</v>
      </c>
      <c r="O8" s="336"/>
      <c r="P8" s="341">
        <f>IF(((I8-F16)&gt;0),(I8-F16),"/")</f>
        <v>41841</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66">
        <v>41841</v>
      </c>
      <c r="J9" s="355">
        <v>125</v>
      </c>
      <c r="K9" s="336"/>
      <c r="L9" s="356">
        <v>82</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41848</v>
      </c>
      <c r="J11" s="341">
        <f>I11-C16</f>
        <v>41848</v>
      </c>
      <c r="K11" s="336"/>
      <c r="L11" s="341">
        <f>I11-D16</f>
        <v>41848</v>
      </c>
      <c r="M11" s="336"/>
      <c r="N11" s="341">
        <f>I11-E16</f>
        <v>41848</v>
      </c>
      <c r="O11" s="336"/>
      <c r="P11" s="362">
        <f>I11-F16</f>
        <v>41848</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66">
        <v>41848</v>
      </c>
      <c r="J12" s="355">
        <v>331</v>
      </c>
      <c r="K12" s="336"/>
      <c r="L12" s="356">
        <v>274</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376</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t="e">
        <f>C16-C7</f>
        <v>#VALUE!</v>
      </c>
      <c r="D17" s="172" t="e">
        <f>D16-D7</f>
        <v>#VALUE!</v>
      </c>
      <c r="E17" s="172" t="e">
        <f>E16-E7</f>
        <v>#VALUE!</v>
      </c>
      <c r="F17" s="172">
        <f>F16-F7</f>
        <v>0</v>
      </c>
      <c r="G17" s="173" t="e">
        <f>AVERAGE(C17:E17)</f>
        <v>#VALUE!</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8"/>
  <sheetViews>
    <sheetView workbookViewId="0">
      <selection sqref="A1:AG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7109375" style="25" bestFit="1" customWidth="1"/>
    <col min="6" max="6" width="14.7109375" style="25" bestFit="1"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15.85546875" style="25" customWidth="1"/>
    <col min="28" max="29" width="11.85546875" style="25"/>
    <col min="30" max="30" width="12.5703125" style="25" customWidth="1"/>
    <col min="31" max="16384" width="11.85546875" style="25"/>
  </cols>
  <sheetData>
    <row r="1" spans="1:33" ht="12.75" x14ac:dyDescent="0.2">
      <c r="A1" s="132" t="s">
        <v>0</v>
      </c>
      <c r="B1" s="235">
        <v>2014</v>
      </c>
      <c r="C1" s="132" t="s">
        <v>1</v>
      </c>
      <c r="D1" s="235"/>
      <c r="E1" s="132" t="s">
        <v>2</v>
      </c>
      <c r="F1" s="235">
        <v>54</v>
      </c>
      <c r="G1" s="241" t="s">
        <v>3</v>
      </c>
      <c r="H1" s="235" t="s">
        <v>4</v>
      </c>
      <c r="I1" s="329" t="s">
        <v>5</v>
      </c>
      <c r="J1" s="261"/>
      <c r="K1" s="262"/>
      <c r="L1" s="261"/>
      <c r="M1" s="261"/>
      <c r="N1" s="261"/>
      <c r="O1" s="261"/>
      <c r="P1" s="333" t="s">
        <v>6</v>
      </c>
      <c r="Q1" s="261"/>
      <c r="R1" s="334"/>
      <c r="S1" s="272"/>
      <c r="T1" s="135"/>
      <c r="U1" s="135"/>
      <c r="V1" s="135"/>
      <c r="W1" s="135"/>
      <c r="X1" s="135"/>
      <c r="Y1" s="135"/>
      <c r="Z1" s="136"/>
    </row>
    <row r="2" spans="1:33"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c r="AE2" s="95" t="s">
        <v>346</v>
      </c>
      <c r="AF2" s="95" t="s">
        <v>347</v>
      </c>
      <c r="AG2" s="95" t="s">
        <v>348</v>
      </c>
    </row>
    <row r="3" spans="1:33" ht="15.75" customHeight="1" x14ac:dyDescent="0.2">
      <c r="A3" s="71" t="s">
        <v>103</v>
      </c>
      <c r="B3" s="144">
        <v>41786</v>
      </c>
      <c r="C3" s="71" t="s">
        <v>108</v>
      </c>
      <c r="D3" s="71" t="s">
        <v>29</v>
      </c>
      <c r="E3" s="71">
        <v>220612929</v>
      </c>
      <c r="F3" s="71" t="s">
        <v>185</v>
      </c>
      <c r="G3" s="71" t="s">
        <v>215</v>
      </c>
      <c r="H3" s="71" t="s">
        <v>29</v>
      </c>
      <c r="I3" s="71" t="s">
        <v>29</v>
      </c>
      <c r="J3" s="71">
        <v>568</v>
      </c>
      <c r="K3" s="71">
        <v>4</v>
      </c>
      <c r="L3" s="141" t="s">
        <v>29</v>
      </c>
      <c r="M3" s="141" t="s">
        <v>29</v>
      </c>
      <c r="N3" s="71">
        <v>319</v>
      </c>
      <c r="O3" s="71">
        <v>147</v>
      </c>
      <c r="P3" s="142" t="s">
        <v>29</v>
      </c>
      <c r="Q3" s="142" t="s">
        <v>29</v>
      </c>
      <c r="R3" s="142" t="s">
        <v>29</v>
      </c>
      <c r="S3" s="142" t="s">
        <v>29</v>
      </c>
      <c r="T3" s="142" t="s">
        <v>29</v>
      </c>
      <c r="U3" s="71" t="s">
        <v>4</v>
      </c>
      <c r="V3" s="71" t="s">
        <v>158</v>
      </c>
      <c r="W3" s="71" t="s">
        <v>159</v>
      </c>
      <c r="X3" s="142" t="s">
        <v>29</v>
      </c>
      <c r="Y3" s="143" t="s">
        <v>29</v>
      </c>
      <c r="Z3" s="143" t="s">
        <v>29</v>
      </c>
      <c r="AA3" s="69" t="s">
        <v>288</v>
      </c>
      <c r="AB3" s="69" t="s">
        <v>205</v>
      </c>
      <c r="AE3" s="69" t="s">
        <v>216</v>
      </c>
      <c r="AF3" s="96">
        <v>58</v>
      </c>
      <c r="AG3" s="96">
        <v>3.7</v>
      </c>
    </row>
    <row r="4" spans="1:33"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3"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3"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3"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3"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3"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3"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3"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3"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3"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3"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3"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358</v>
      </c>
      <c r="S15" s="305"/>
      <c r="T15" s="305"/>
      <c r="U15" s="305"/>
      <c r="V15" s="305"/>
      <c r="W15" s="305"/>
      <c r="X15" s="305"/>
      <c r="Y15" s="305"/>
      <c r="Z15" s="306"/>
    </row>
    <row r="16" spans="1:33"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8"/>
  <sheetViews>
    <sheetView workbookViewId="0">
      <selection activeCell="AB20" sqref="AB20"/>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3" ht="12.75" x14ac:dyDescent="0.2">
      <c r="A1" s="132" t="s">
        <v>0</v>
      </c>
      <c r="B1" s="235">
        <v>2014</v>
      </c>
      <c r="C1" s="132" t="s">
        <v>1</v>
      </c>
      <c r="D1" s="235"/>
      <c r="E1" s="132" t="s">
        <v>2</v>
      </c>
      <c r="F1" s="235">
        <v>55</v>
      </c>
      <c r="G1" s="241" t="s">
        <v>3</v>
      </c>
      <c r="H1" s="235" t="s">
        <v>4</v>
      </c>
      <c r="I1" s="381" t="s">
        <v>5</v>
      </c>
      <c r="J1" s="476"/>
      <c r="K1" s="330"/>
      <c r="L1" s="382"/>
      <c r="M1" s="382"/>
      <c r="N1" s="382"/>
      <c r="O1" s="383"/>
      <c r="P1" s="384" t="s">
        <v>6</v>
      </c>
      <c r="Q1" s="477"/>
      <c r="R1" s="385"/>
      <c r="S1" s="334"/>
      <c r="T1" s="135"/>
      <c r="U1" s="135"/>
      <c r="V1" s="135"/>
      <c r="W1" s="135"/>
      <c r="X1" s="135"/>
      <c r="Y1" s="135"/>
      <c r="Z1" s="136"/>
    </row>
    <row r="2" spans="1:33" ht="27.75" customHeight="1" x14ac:dyDescent="0.2">
      <c r="A2" s="137" t="s">
        <v>8</v>
      </c>
      <c r="B2" s="138" t="s">
        <v>9</v>
      </c>
      <c r="C2" s="138" t="s">
        <v>10</v>
      </c>
      <c r="D2" s="138" t="s">
        <v>11</v>
      </c>
      <c r="E2" s="138" t="s">
        <v>12</v>
      </c>
      <c r="F2" s="138" t="s">
        <v>13</v>
      </c>
      <c r="G2" s="138" t="s">
        <v>14</v>
      </c>
      <c r="H2" s="138" t="s">
        <v>15</v>
      </c>
      <c r="I2" s="138" t="s">
        <v>16</v>
      </c>
      <c r="J2" s="138" t="s">
        <v>17</v>
      </c>
      <c r="K2" s="138" t="s">
        <v>18</v>
      </c>
      <c r="L2" s="386" t="s">
        <v>19</v>
      </c>
      <c r="M2" s="478"/>
      <c r="N2" s="138" t="s">
        <v>20</v>
      </c>
      <c r="O2" s="138" t="s">
        <v>21</v>
      </c>
      <c r="P2" s="138" t="s">
        <v>22</v>
      </c>
      <c r="Q2" s="335" t="s">
        <v>23</v>
      </c>
      <c r="R2" s="479"/>
      <c r="S2" s="139" t="s">
        <v>24</v>
      </c>
      <c r="T2" s="139" t="s">
        <v>25</v>
      </c>
      <c r="U2" s="140" t="s">
        <v>99</v>
      </c>
      <c r="V2" s="139" t="s">
        <v>92</v>
      </c>
      <c r="W2" s="139" t="s">
        <v>93</v>
      </c>
      <c r="X2" s="139" t="s">
        <v>27</v>
      </c>
      <c r="Y2" s="388" t="s">
        <v>28</v>
      </c>
      <c r="Z2" s="480"/>
      <c r="AA2" s="31" t="s">
        <v>89</v>
      </c>
      <c r="AB2" s="31" t="s">
        <v>91</v>
      </c>
      <c r="AC2" s="32" t="s">
        <v>90</v>
      </c>
      <c r="AD2" s="31" t="s">
        <v>95</v>
      </c>
      <c r="AE2" s="95" t="s">
        <v>346</v>
      </c>
      <c r="AF2" s="95" t="s">
        <v>347</v>
      </c>
      <c r="AG2" s="95" t="s">
        <v>348</v>
      </c>
    </row>
    <row r="3" spans="1:33"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E3" s="69" t="s">
        <v>216</v>
      </c>
      <c r="AF3" s="96">
        <v>58</v>
      </c>
      <c r="AG3" s="96">
        <v>3.7</v>
      </c>
    </row>
    <row r="4" spans="1:33"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68"/>
      <c r="N4" s="139" t="s">
        <v>20</v>
      </c>
      <c r="O4" s="139" t="s">
        <v>21</v>
      </c>
      <c r="P4" s="139" t="s">
        <v>22</v>
      </c>
      <c r="Q4" s="338" t="s">
        <v>23</v>
      </c>
      <c r="R4" s="368"/>
      <c r="S4" s="139" t="s">
        <v>24</v>
      </c>
      <c r="T4" s="139" t="s">
        <v>25</v>
      </c>
      <c r="U4" s="139" t="s">
        <v>26</v>
      </c>
      <c r="V4" s="139" t="s">
        <v>92</v>
      </c>
      <c r="W4" s="139" t="s">
        <v>93</v>
      </c>
      <c r="X4" s="139" t="s">
        <v>27</v>
      </c>
      <c r="Y4" s="338" t="s">
        <v>28</v>
      </c>
      <c r="Z4" s="481"/>
      <c r="AA4" s="31" t="s">
        <v>89</v>
      </c>
      <c r="AB4" s="31" t="s">
        <v>91</v>
      </c>
      <c r="AC4" s="32" t="s">
        <v>90</v>
      </c>
      <c r="AD4" s="31" t="s">
        <v>95</v>
      </c>
    </row>
    <row r="5" spans="1:33"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3" ht="16.5" customHeight="1" x14ac:dyDescent="0.2">
      <c r="A6" s="149" t="s">
        <v>33</v>
      </c>
      <c r="B6" s="139" t="s">
        <v>9</v>
      </c>
      <c r="C6" s="239" t="s">
        <v>34</v>
      </c>
      <c r="D6" s="239" t="s">
        <v>35</v>
      </c>
      <c r="E6" s="239" t="s">
        <v>36</v>
      </c>
      <c r="F6" s="239" t="s">
        <v>37</v>
      </c>
      <c r="G6" s="239" t="s">
        <v>38</v>
      </c>
      <c r="H6" s="190" t="s">
        <v>39</v>
      </c>
      <c r="I6" s="240" t="s">
        <v>9</v>
      </c>
      <c r="J6" s="390" t="s">
        <v>40</v>
      </c>
      <c r="K6" s="391"/>
      <c r="L6" s="390" t="s">
        <v>41</v>
      </c>
      <c r="M6" s="391"/>
      <c r="N6" s="390" t="s">
        <v>42</v>
      </c>
      <c r="O6" s="391"/>
      <c r="P6" s="390" t="s">
        <v>43</v>
      </c>
      <c r="Q6" s="391"/>
      <c r="R6" s="35"/>
      <c r="S6" s="340" t="s">
        <v>44</v>
      </c>
      <c r="T6" s="340"/>
      <c r="U6" s="340"/>
      <c r="V6" s="340"/>
      <c r="W6" s="340"/>
      <c r="X6" s="340"/>
      <c r="Y6" s="340"/>
      <c r="Z6" s="482"/>
    </row>
    <row r="7" spans="1:33" ht="15.75" customHeight="1" x14ac:dyDescent="0.2">
      <c r="A7" s="154" t="s">
        <v>45</v>
      </c>
      <c r="B7" s="142"/>
      <c r="C7" s="155"/>
      <c r="D7" s="155"/>
      <c r="E7" s="155"/>
      <c r="F7" s="155"/>
      <c r="G7" s="156" t="e">
        <f>AVERAGE(C7:F7)</f>
        <v>#DIV/0!</v>
      </c>
      <c r="H7" s="157" t="s">
        <v>46</v>
      </c>
      <c r="I7" s="158"/>
      <c r="J7" s="395" t="s">
        <v>29</v>
      </c>
      <c r="K7" s="484"/>
      <c r="L7" s="396" t="s">
        <v>29</v>
      </c>
      <c r="M7" s="485"/>
      <c r="N7" s="396" t="s">
        <v>29</v>
      </c>
      <c r="O7" s="485"/>
      <c r="P7" s="397" t="s">
        <v>29</v>
      </c>
      <c r="Q7" s="486"/>
      <c r="R7" s="159" t="s">
        <v>47</v>
      </c>
      <c r="S7" s="160"/>
      <c r="T7" s="237" t="s">
        <v>29</v>
      </c>
      <c r="U7" s="398" t="s">
        <v>48</v>
      </c>
      <c r="V7" s="399"/>
      <c r="W7" s="400"/>
      <c r="X7" s="349" t="s">
        <v>29</v>
      </c>
      <c r="Y7" s="350"/>
      <c r="Z7" s="351"/>
    </row>
    <row r="8" spans="1:33" ht="15.75" customHeight="1" x14ac:dyDescent="0.2">
      <c r="A8" s="161" t="s">
        <v>49</v>
      </c>
      <c r="B8" s="142" t="s">
        <v>29</v>
      </c>
      <c r="C8" s="142" t="s">
        <v>29</v>
      </c>
      <c r="D8" s="142" t="s">
        <v>29</v>
      </c>
      <c r="E8" s="142" t="s">
        <v>29</v>
      </c>
      <c r="F8" s="142" t="s">
        <v>29</v>
      </c>
      <c r="G8" s="239"/>
      <c r="H8" s="157" t="s">
        <v>50</v>
      </c>
      <c r="I8" s="163">
        <v>40756</v>
      </c>
      <c r="J8" s="341">
        <f>IF(((I8-C16)&gt;0),(I8-C16),"/")</f>
        <v>40756</v>
      </c>
      <c r="K8" s="483"/>
      <c r="L8" s="341">
        <f>IF(((I8-D16)&gt;0),(I8-D16),"/")</f>
        <v>40756</v>
      </c>
      <c r="M8" s="483"/>
      <c r="N8" s="341">
        <f>IF(((I8-E16)&gt;0),(I8-E16),"/")</f>
        <v>40756</v>
      </c>
      <c r="O8" s="483"/>
      <c r="P8" s="341">
        <f>IF(((I8-F16)&gt;0),(I8-F16),"/")</f>
        <v>40756</v>
      </c>
      <c r="Q8" s="483"/>
      <c r="R8" s="164" t="s">
        <v>51</v>
      </c>
      <c r="S8" s="165"/>
      <c r="T8" s="237" t="s">
        <v>29</v>
      </c>
      <c r="U8" s="392" t="s">
        <v>52</v>
      </c>
      <c r="V8" s="393"/>
      <c r="W8" s="394"/>
      <c r="X8" s="343" t="s">
        <v>29</v>
      </c>
      <c r="Y8" s="344"/>
      <c r="Z8" s="345"/>
    </row>
    <row r="9" spans="1:33" ht="15.75" customHeight="1" x14ac:dyDescent="0.2">
      <c r="A9" s="161" t="s">
        <v>49</v>
      </c>
      <c r="B9" s="142" t="s">
        <v>29</v>
      </c>
      <c r="C9" s="142" t="s">
        <v>29</v>
      </c>
      <c r="D9" s="142" t="s">
        <v>29</v>
      </c>
      <c r="E9" s="142" t="s">
        <v>29</v>
      </c>
      <c r="F9" s="142" t="s">
        <v>29</v>
      </c>
      <c r="G9" s="239"/>
      <c r="H9" s="157" t="s">
        <v>53</v>
      </c>
      <c r="I9" s="179"/>
      <c r="J9" s="355" t="s">
        <v>29</v>
      </c>
      <c r="K9" s="475"/>
      <c r="L9" s="376" t="s">
        <v>29</v>
      </c>
      <c r="M9" s="440"/>
      <c r="N9" s="376" t="s">
        <v>29</v>
      </c>
      <c r="O9" s="440"/>
      <c r="P9" s="357" t="s">
        <v>29</v>
      </c>
      <c r="Q9" s="445"/>
      <c r="R9" s="164" t="s">
        <v>54</v>
      </c>
      <c r="S9" s="165"/>
      <c r="T9" s="237" t="s">
        <v>29</v>
      </c>
      <c r="U9" s="392" t="s">
        <v>55</v>
      </c>
      <c r="V9" s="393"/>
      <c r="W9" s="394"/>
      <c r="X9" s="343" t="s">
        <v>29</v>
      </c>
      <c r="Y9" s="344"/>
      <c r="Z9" s="345"/>
    </row>
    <row r="10" spans="1:33" ht="15" customHeight="1" x14ac:dyDescent="0.2">
      <c r="A10" s="161" t="s">
        <v>49</v>
      </c>
      <c r="B10" s="142" t="s">
        <v>29</v>
      </c>
      <c r="C10" s="142" t="s">
        <v>29</v>
      </c>
      <c r="D10" s="142" t="s">
        <v>29</v>
      </c>
      <c r="E10" s="142" t="s">
        <v>29</v>
      </c>
      <c r="F10" s="142" t="s">
        <v>29</v>
      </c>
      <c r="G10" s="239"/>
      <c r="H10" s="157" t="s">
        <v>56</v>
      </c>
      <c r="I10" s="167"/>
      <c r="J10" s="352" t="s">
        <v>29</v>
      </c>
      <c r="K10" s="487"/>
      <c r="L10" s="372" t="s">
        <v>29</v>
      </c>
      <c r="M10" s="373"/>
      <c r="N10" s="372" t="s">
        <v>29</v>
      </c>
      <c r="O10" s="373"/>
      <c r="P10" s="354" t="s">
        <v>29</v>
      </c>
      <c r="Q10" s="488"/>
      <c r="R10" s="164" t="s">
        <v>57</v>
      </c>
      <c r="S10" s="165"/>
      <c r="T10" s="237" t="s">
        <v>29</v>
      </c>
      <c r="U10" s="392" t="s">
        <v>58</v>
      </c>
      <c r="V10" s="393"/>
      <c r="W10" s="394"/>
      <c r="X10" s="343" t="s">
        <v>29</v>
      </c>
      <c r="Y10" s="344"/>
      <c r="Z10" s="345"/>
    </row>
    <row r="11" spans="1:33" ht="15" customHeight="1" x14ac:dyDescent="0.2">
      <c r="A11" s="161" t="s">
        <v>49</v>
      </c>
      <c r="B11" s="142" t="s">
        <v>29</v>
      </c>
      <c r="C11" s="142" t="s">
        <v>29</v>
      </c>
      <c r="D11" s="142" t="s">
        <v>29</v>
      </c>
      <c r="E11" s="142" t="s">
        <v>29</v>
      </c>
      <c r="F11" s="142" t="s">
        <v>29</v>
      </c>
      <c r="G11" s="239"/>
      <c r="H11" s="157" t="s">
        <v>59</v>
      </c>
      <c r="I11" s="163">
        <v>40767</v>
      </c>
      <c r="J11" s="341">
        <f>I11-C16</f>
        <v>40767</v>
      </c>
      <c r="K11" s="483"/>
      <c r="L11" s="341">
        <f>I11-D16</f>
        <v>40767</v>
      </c>
      <c r="M11" s="483"/>
      <c r="N11" s="341">
        <f>I11-E16</f>
        <v>40767</v>
      </c>
      <c r="O11" s="483"/>
      <c r="P11" s="362">
        <f>I11-F16</f>
        <v>40767</v>
      </c>
      <c r="Q11" s="489"/>
      <c r="R11" s="164" t="s">
        <v>60</v>
      </c>
      <c r="S11" s="165"/>
      <c r="T11" s="237" t="s">
        <v>29</v>
      </c>
      <c r="U11" s="392" t="s">
        <v>61</v>
      </c>
      <c r="V11" s="393"/>
      <c r="W11" s="394"/>
      <c r="X11" s="343" t="s">
        <v>29</v>
      </c>
      <c r="Y11" s="344"/>
      <c r="Z11" s="345"/>
    </row>
    <row r="12" spans="1:33" ht="15.75" customHeight="1" x14ac:dyDescent="0.2">
      <c r="A12" s="161" t="s">
        <v>49</v>
      </c>
      <c r="B12" s="142" t="s">
        <v>29</v>
      </c>
      <c r="C12" s="142" t="s">
        <v>29</v>
      </c>
      <c r="D12" s="142" t="s">
        <v>29</v>
      </c>
      <c r="E12" s="142" t="s">
        <v>29</v>
      </c>
      <c r="F12" s="142" t="s">
        <v>29</v>
      </c>
      <c r="G12" s="239"/>
      <c r="H12" s="157" t="s">
        <v>62</v>
      </c>
      <c r="I12" s="179"/>
      <c r="J12" s="355" t="s">
        <v>29</v>
      </c>
      <c r="K12" s="475"/>
      <c r="L12" s="376" t="s">
        <v>29</v>
      </c>
      <c r="M12" s="440"/>
      <c r="N12" s="376" t="s">
        <v>29</v>
      </c>
      <c r="O12" s="440"/>
      <c r="P12" s="357" t="s">
        <v>29</v>
      </c>
      <c r="Q12" s="445"/>
      <c r="R12" s="164" t="s">
        <v>63</v>
      </c>
      <c r="S12" s="165"/>
      <c r="T12" s="168" t="s">
        <v>29</v>
      </c>
      <c r="U12" s="398" t="s">
        <v>64</v>
      </c>
      <c r="V12" s="399"/>
      <c r="W12" s="400"/>
      <c r="X12" s="359" t="s">
        <v>29</v>
      </c>
      <c r="Y12" s="360"/>
      <c r="Z12" s="361"/>
    </row>
    <row r="13" spans="1:33" ht="15.75" customHeight="1" x14ac:dyDescent="0.2">
      <c r="A13" s="161" t="s">
        <v>49</v>
      </c>
      <c r="B13" s="142" t="s">
        <v>29</v>
      </c>
      <c r="C13" s="142" t="s">
        <v>29</v>
      </c>
      <c r="D13" s="142" t="s">
        <v>29</v>
      </c>
      <c r="E13" s="142" t="s">
        <v>29</v>
      </c>
      <c r="F13" s="142" t="s">
        <v>29</v>
      </c>
      <c r="G13" s="239"/>
      <c r="H13" s="157" t="s">
        <v>65</v>
      </c>
      <c r="I13" s="167"/>
      <c r="J13" s="352" t="s">
        <v>29</v>
      </c>
      <c r="K13" s="487"/>
      <c r="L13" s="372" t="s">
        <v>29</v>
      </c>
      <c r="M13" s="373"/>
      <c r="N13" s="372" t="s">
        <v>29</v>
      </c>
      <c r="O13" s="373"/>
      <c r="P13" s="354" t="s">
        <v>29</v>
      </c>
      <c r="Q13" s="490"/>
      <c r="R13" s="401" t="s">
        <v>66</v>
      </c>
      <c r="S13" s="402"/>
      <c r="T13" s="402"/>
      <c r="U13" s="402"/>
      <c r="V13" s="402"/>
      <c r="W13" s="402"/>
      <c r="X13" s="402"/>
      <c r="Y13" s="402"/>
      <c r="Z13" s="403"/>
    </row>
    <row r="14" spans="1:33" ht="15.75" customHeight="1" x14ac:dyDescent="0.2">
      <c r="A14" s="161" t="s">
        <v>49</v>
      </c>
      <c r="B14" s="142" t="s">
        <v>29</v>
      </c>
      <c r="C14" s="142" t="s">
        <v>29</v>
      </c>
      <c r="D14" s="142" t="s">
        <v>29</v>
      </c>
      <c r="E14" s="142" t="s">
        <v>29</v>
      </c>
      <c r="F14" s="142" t="s">
        <v>29</v>
      </c>
      <c r="G14" s="239"/>
      <c r="H14" s="157" t="s">
        <v>67</v>
      </c>
      <c r="I14" s="167"/>
      <c r="J14" s="352" t="s">
        <v>29</v>
      </c>
      <c r="K14" s="487"/>
      <c r="L14" s="372" t="s">
        <v>29</v>
      </c>
      <c r="M14" s="373"/>
      <c r="N14" s="372" t="s">
        <v>29</v>
      </c>
      <c r="O14" s="373"/>
      <c r="P14" s="354" t="s">
        <v>29</v>
      </c>
      <c r="Q14" s="490"/>
      <c r="R14" s="404"/>
      <c r="S14" s="405"/>
      <c r="T14" s="405"/>
      <c r="U14" s="405"/>
      <c r="V14" s="405"/>
      <c r="W14" s="405"/>
      <c r="X14" s="405"/>
      <c r="Y14" s="405"/>
      <c r="Z14" s="406"/>
    </row>
    <row r="15" spans="1:33" ht="15.75" customHeight="1" x14ac:dyDescent="0.2">
      <c r="A15" s="161" t="s">
        <v>49</v>
      </c>
      <c r="B15" s="142" t="s">
        <v>29</v>
      </c>
      <c r="C15" s="142" t="s">
        <v>29</v>
      </c>
      <c r="D15" s="142" t="s">
        <v>29</v>
      </c>
      <c r="E15" s="142" t="s">
        <v>29</v>
      </c>
      <c r="F15" s="142" t="s">
        <v>29</v>
      </c>
      <c r="G15" s="239"/>
      <c r="H15" s="157" t="s">
        <v>68</v>
      </c>
      <c r="I15" s="167"/>
      <c r="J15" s="352" t="s">
        <v>29</v>
      </c>
      <c r="K15" s="487"/>
      <c r="L15" s="372" t="s">
        <v>29</v>
      </c>
      <c r="M15" s="373"/>
      <c r="N15" s="372" t="s">
        <v>29</v>
      </c>
      <c r="O15" s="373"/>
      <c r="P15" s="407" t="s">
        <v>29</v>
      </c>
      <c r="Q15" s="491"/>
      <c r="R15" s="409" t="s">
        <v>162</v>
      </c>
      <c r="S15" s="409"/>
      <c r="T15" s="409"/>
      <c r="U15" s="409"/>
      <c r="V15" s="409"/>
      <c r="W15" s="409"/>
      <c r="X15" s="409"/>
      <c r="Y15" s="409"/>
      <c r="Z15" s="410"/>
    </row>
    <row r="16" spans="1:33" ht="15.75" customHeight="1" x14ac:dyDescent="0.2">
      <c r="A16" s="171" t="s">
        <v>69</v>
      </c>
      <c r="B16" s="142"/>
      <c r="C16" s="155"/>
      <c r="D16" s="155"/>
      <c r="E16" s="155"/>
      <c r="F16" s="155"/>
      <c r="G16" s="156" t="e">
        <f>AVERAGE(C16:F16)</f>
        <v>#DIV/0!</v>
      </c>
      <c r="H16" s="157" t="s">
        <v>70</v>
      </c>
      <c r="I16" s="163">
        <v>40770</v>
      </c>
      <c r="J16" s="364">
        <f>I16-C16</f>
        <v>40770</v>
      </c>
      <c r="K16" s="492"/>
      <c r="L16" s="364">
        <f>I16-D16</f>
        <v>40770</v>
      </c>
      <c r="M16" s="492"/>
      <c r="N16" s="364">
        <f>I16-E16</f>
        <v>40770</v>
      </c>
      <c r="O16" s="493"/>
      <c r="P16" s="413">
        <f>I16-F16</f>
        <v>40770</v>
      </c>
      <c r="Q16" s="494"/>
      <c r="R16" s="411"/>
      <c r="S16" s="411"/>
      <c r="T16" s="411"/>
      <c r="U16" s="411"/>
      <c r="V16" s="411"/>
      <c r="W16" s="411"/>
      <c r="X16" s="411"/>
      <c r="Y16" s="411"/>
      <c r="Z16" s="412"/>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445"/>
      <c r="L17" s="376" t="s">
        <v>29</v>
      </c>
      <c r="M17" s="440"/>
      <c r="N17" s="377" t="s">
        <v>29</v>
      </c>
      <c r="O17" s="437"/>
      <c r="P17" s="414" t="s">
        <v>29</v>
      </c>
      <c r="Q17" s="436"/>
      <c r="R17" s="411"/>
      <c r="S17" s="411"/>
      <c r="T17" s="411"/>
      <c r="U17" s="411"/>
      <c r="V17" s="411"/>
      <c r="W17" s="411"/>
      <c r="X17" s="411"/>
      <c r="Y17" s="411"/>
      <c r="Z17" s="412"/>
    </row>
    <row r="18" spans="1:29" ht="15.75" customHeight="1" x14ac:dyDescent="0.2">
      <c r="A18" s="340" t="s">
        <v>73</v>
      </c>
      <c r="B18" s="415"/>
      <c r="C18" s="417" t="s">
        <v>40</v>
      </c>
      <c r="D18" s="417" t="s">
        <v>41</v>
      </c>
      <c r="E18" s="417" t="s">
        <v>42</v>
      </c>
      <c r="F18" s="417" t="s">
        <v>43</v>
      </c>
      <c r="G18" s="417" t="s">
        <v>38</v>
      </c>
      <c r="H18" s="167" t="s">
        <v>78</v>
      </c>
      <c r="I18" s="167"/>
      <c r="J18" s="354" t="s">
        <v>29</v>
      </c>
      <c r="K18" s="488"/>
      <c r="L18" s="372" t="s">
        <v>29</v>
      </c>
      <c r="M18" s="373"/>
      <c r="N18" s="380" t="s">
        <v>29</v>
      </c>
      <c r="O18" s="495"/>
      <c r="P18" s="419" t="s">
        <v>29</v>
      </c>
      <c r="Q18" s="474"/>
      <c r="R18" s="411"/>
      <c r="S18" s="411"/>
      <c r="T18" s="411"/>
      <c r="U18" s="411"/>
      <c r="V18" s="411"/>
      <c r="W18" s="411"/>
      <c r="X18" s="411"/>
      <c r="Y18" s="411"/>
      <c r="Z18" s="412"/>
    </row>
    <row r="19" spans="1:29" ht="15" customHeight="1" x14ac:dyDescent="0.2">
      <c r="A19" s="369"/>
      <c r="B19" s="416"/>
      <c r="C19" s="420"/>
      <c r="D19" s="420"/>
      <c r="E19" s="420"/>
      <c r="F19" s="420"/>
      <c r="G19" s="420"/>
      <c r="H19" s="167" t="s">
        <v>67</v>
      </c>
      <c r="I19" s="167"/>
      <c r="J19" s="354" t="s">
        <v>29</v>
      </c>
      <c r="K19" s="488"/>
      <c r="L19" s="372" t="s">
        <v>29</v>
      </c>
      <c r="M19" s="373"/>
      <c r="N19" s="380" t="s">
        <v>29</v>
      </c>
      <c r="O19" s="495"/>
      <c r="P19" s="419" t="s">
        <v>29</v>
      </c>
      <c r="Q19" s="474"/>
      <c r="R19" s="411"/>
      <c r="S19" s="411"/>
      <c r="T19" s="411"/>
      <c r="U19" s="411"/>
      <c r="V19" s="411"/>
      <c r="W19" s="411"/>
      <c r="X19" s="411"/>
      <c r="Y19" s="411"/>
      <c r="Z19" s="412"/>
    </row>
    <row r="20" spans="1:29" ht="15.75" customHeight="1" x14ac:dyDescent="0.2">
      <c r="A20" s="372" t="s">
        <v>79</v>
      </c>
      <c r="B20" s="373"/>
      <c r="C20" s="122" t="s">
        <v>29</v>
      </c>
      <c r="D20" s="122" t="s">
        <v>29</v>
      </c>
      <c r="E20" s="122" t="s">
        <v>29</v>
      </c>
      <c r="F20" s="122" t="s">
        <v>29</v>
      </c>
      <c r="G20" s="122" t="s">
        <v>29</v>
      </c>
      <c r="H20" s="157" t="s">
        <v>68</v>
      </c>
      <c r="I20" s="167"/>
      <c r="J20" s="354" t="s">
        <v>29</v>
      </c>
      <c r="K20" s="488"/>
      <c r="L20" s="372" t="s">
        <v>29</v>
      </c>
      <c r="M20" s="373"/>
      <c r="N20" s="380" t="s">
        <v>29</v>
      </c>
      <c r="O20" s="495"/>
      <c r="P20" s="419" t="s">
        <v>29</v>
      </c>
      <c r="Q20" s="474"/>
      <c r="R20" s="411"/>
      <c r="S20" s="411"/>
      <c r="T20" s="411"/>
      <c r="U20" s="411"/>
      <c r="V20" s="411"/>
      <c r="W20" s="411"/>
      <c r="X20" s="411"/>
      <c r="Y20" s="411"/>
      <c r="Z20" s="412"/>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492"/>
      <c r="L21" s="364">
        <f>I21-D16</f>
        <v>40775</v>
      </c>
      <c r="M21" s="492"/>
      <c r="N21" s="364">
        <f>I21-E16</f>
        <v>40775</v>
      </c>
      <c r="O21" s="493"/>
      <c r="P21" s="413">
        <f>I21-F16</f>
        <v>40775</v>
      </c>
      <c r="Q21" s="494"/>
      <c r="R21" s="411"/>
      <c r="S21" s="411"/>
      <c r="T21" s="411"/>
      <c r="U21" s="411"/>
      <c r="V21" s="411"/>
      <c r="W21" s="411"/>
      <c r="X21" s="411"/>
      <c r="Y21" s="411"/>
      <c r="Z21" s="412"/>
    </row>
    <row r="22" spans="1:29" ht="15.75" customHeight="1" x14ac:dyDescent="0.2">
      <c r="A22" s="372" t="s">
        <v>81</v>
      </c>
      <c r="B22" s="373"/>
      <c r="C22" s="71" t="s">
        <v>29</v>
      </c>
      <c r="D22" s="71" t="s">
        <v>29</v>
      </c>
      <c r="E22" s="71" t="s">
        <v>29</v>
      </c>
      <c r="F22" s="71" t="s">
        <v>29</v>
      </c>
      <c r="G22" s="237" t="s">
        <v>29</v>
      </c>
      <c r="H22" s="178" t="s">
        <v>82</v>
      </c>
      <c r="I22" s="179"/>
      <c r="J22" s="357" t="s">
        <v>29</v>
      </c>
      <c r="K22" s="445"/>
      <c r="L22" s="376" t="s">
        <v>29</v>
      </c>
      <c r="M22" s="440"/>
      <c r="N22" s="377" t="s">
        <v>29</v>
      </c>
      <c r="O22" s="437"/>
      <c r="P22" s="414" t="s">
        <v>29</v>
      </c>
      <c r="Q22" s="436"/>
      <c r="R22" s="411"/>
      <c r="S22" s="411"/>
      <c r="T22" s="411"/>
      <c r="U22" s="411"/>
      <c r="V22" s="411"/>
      <c r="W22" s="411"/>
      <c r="X22" s="411"/>
      <c r="Y22" s="411"/>
      <c r="Z22" s="412"/>
    </row>
    <row r="23" spans="1:29" ht="15.75" customHeight="1" x14ac:dyDescent="0.2">
      <c r="A23" s="372" t="s">
        <v>12</v>
      </c>
      <c r="B23" s="373"/>
      <c r="C23" s="71" t="s">
        <v>29</v>
      </c>
      <c r="D23" s="71" t="s">
        <v>29</v>
      </c>
      <c r="E23" s="71" t="s">
        <v>29</v>
      </c>
      <c r="F23" s="71" t="s">
        <v>29</v>
      </c>
      <c r="G23" s="237" t="s">
        <v>29</v>
      </c>
      <c r="H23" s="178" t="s">
        <v>83</v>
      </c>
      <c r="I23" s="179"/>
      <c r="J23" s="357" t="s">
        <v>29</v>
      </c>
      <c r="K23" s="445"/>
      <c r="L23" s="376" t="s">
        <v>29</v>
      </c>
      <c r="M23" s="440"/>
      <c r="N23" s="377" t="s">
        <v>29</v>
      </c>
      <c r="O23" s="437"/>
      <c r="P23" s="414" t="s">
        <v>29</v>
      </c>
      <c r="Q23" s="436"/>
      <c r="R23" s="411"/>
      <c r="S23" s="411"/>
      <c r="T23" s="411"/>
      <c r="U23" s="411"/>
      <c r="V23" s="411"/>
      <c r="W23" s="411"/>
      <c r="X23" s="411"/>
      <c r="Y23" s="411"/>
      <c r="Z23" s="412"/>
    </row>
    <row r="24" spans="1:29" ht="15.75" customHeight="1" x14ac:dyDescent="0.2">
      <c r="A24" s="372" t="s">
        <v>84</v>
      </c>
      <c r="B24" s="373"/>
      <c r="C24" s="71" t="s">
        <v>29</v>
      </c>
      <c r="D24" s="71" t="s">
        <v>29</v>
      </c>
      <c r="E24" s="71" t="s">
        <v>29</v>
      </c>
      <c r="F24" s="71" t="s">
        <v>29</v>
      </c>
      <c r="G24" s="237" t="s">
        <v>29</v>
      </c>
      <c r="H24" s="178" t="s">
        <v>67</v>
      </c>
      <c r="I24" s="167"/>
      <c r="J24" s="354" t="s">
        <v>29</v>
      </c>
      <c r="K24" s="488"/>
      <c r="L24" s="372" t="s">
        <v>29</v>
      </c>
      <c r="M24" s="373"/>
      <c r="N24" s="380" t="s">
        <v>29</v>
      </c>
      <c r="O24" s="495"/>
      <c r="P24" s="419" t="s">
        <v>29</v>
      </c>
      <c r="Q24" s="474"/>
      <c r="R24" s="411"/>
      <c r="S24" s="411"/>
      <c r="T24" s="411"/>
      <c r="U24" s="411"/>
      <c r="V24" s="411"/>
      <c r="W24" s="411"/>
      <c r="X24" s="411"/>
      <c r="Y24" s="411"/>
      <c r="Z24" s="412"/>
    </row>
    <row r="25" spans="1:29" ht="15.75" customHeight="1" x14ac:dyDescent="0.2">
      <c r="A25" s="372" t="s">
        <v>11</v>
      </c>
      <c r="B25" s="373"/>
      <c r="C25" s="71" t="s">
        <v>29</v>
      </c>
      <c r="D25" s="71" t="s">
        <v>29</v>
      </c>
      <c r="E25" s="71" t="s">
        <v>29</v>
      </c>
      <c r="F25" s="71" t="s">
        <v>29</v>
      </c>
      <c r="G25" s="237" t="s">
        <v>29</v>
      </c>
      <c r="H25" s="178" t="s">
        <v>68</v>
      </c>
      <c r="I25" s="167"/>
      <c r="J25" s="354" t="s">
        <v>29</v>
      </c>
      <c r="K25" s="488"/>
      <c r="L25" s="372" t="s">
        <v>29</v>
      </c>
      <c r="M25" s="373"/>
      <c r="N25" s="380" t="s">
        <v>29</v>
      </c>
      <c r="O25" s="495"/>
      <c r="P25" s="419" t="s">
        <v>29</v>
      </c>
      <c r="Q25" s="474"/>
      <c r="R25" s="411"/>
      <c r="S25" s="411"/>
      <c r="T25" s="411"/>
      <c r="U25" s="411"/>
      <c r="V25" s="411"/>
      <c r="W25" s="411"/>
      <c r="X25" s="411"/>
      <c r="Y25" s="411"/>
      <c r="Z25" s="412"/>
    </row>
    <row r="26" spans="1:29" ht="15.75" customHeight="1" x14ac:dyDescent="0.2">
      <c r="A26" s="374" t="s">
        <v>85</v>
      </c>
      <c r="B26" s="375"/>
      <c r="C26" s="71" t="s">
        <v>29</v>
      </c>
      <c r="D26" s="71" t="s">
        <v>29</v>
      </c>
      <c r="E26" s="71" t="s">
        <v>29</v>
      </c>
      <c r="F26" s="71" t="s">
        <v>29</v>
      </c>
      <c r="G26" s="237" t="s">
        <v>29</v>
      </c>
      <c r="H26" s="178" t="s">
        <v>86</v>
      </c>
      <c r="I26" s="179"/>
      <c r="J26" s="357" t="s">
        <v>29</v>
      </c>
      <c r="K26" s="445"/>
      <c r="L26" s="376" t="s">
        <v>29</v>
      </c>
      <c r="M26" s="440"/>
      <c r="N26" s="377" t="s">
        <v>29</v>
      </c>
      <c r="O26" s="437"/>
      <c r="P26" s="414" t="s">
        <v>29</v>
      </c>
      <c r="Q26" s="436"/>
      <c r="R26" s="411"/>
      <c r="S26" s="411"/>
      <c r="T26" s="411"/>
      <c r="U26" s="411"/>
      <c r="V26" s="411"/>
      <c r="W26" s="411"/>
      <c r="X26" s="411"/>
      <c r="Y26" s="411"/>
      <c r="Z26" s="412"/>
    </row>
    <row r="27" spans="1:29" ht="15.75" customHeight="1" x14ac:dyDescent="0.2">
      <c r="A27" s="378" t="s">
        <v>87</v>
      </c>
      <c r="B27" s="379"/>
      <c r="C27" s="71" t="s">
        <v>29</v>
      </c>
      <c r="D27" s="71" t="s">
        <v>29</v>
      </c>
      <c r="E27" s="71" t="s">
        <v>29</v>
      </c>
      <c r="F27" s="71" t="s">
        <v>29</v>
      </c>
      <c r="G27" s="237" t="s">
        <v>29</v>
      </c>
      <c r="H27" s="178" t="s">
        <v>88</v>
      </c>
      <c r="I27" s="179"/>
      <c r="J27" s="357" t="s">
        <v>29</v>
      </c>
      <c r="K27" s="445"/>
      <c r="L27" s="376" t="s">
        <v>29</v>
      </c>
      <c r="M27" s="440"/>
      <c r="N27" s="377" t="s">
        <v>29</v>
      </c>
      <c r="O27" s="437"/>
      <c r="P27" s="414" t="s">
        <v>29</v>
      </c>
      <c r="Q27" s="436"/>
      <c r="R27" s="411"/>
      <c r="S27" s="411"/>
      <c r="T27" s="411"/>
      <c r="U27" s="411"/>
      <c r="V27" s="411"/>
      <c r="W27" s="411"/>
      <c r="X27" s="411"/>
      <c r="Y27" s="411"/>
      <c r="Z27" s="412"/>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B19" sqref="AB19"/>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56</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161</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57</v>
      </c>
      <c r="G1" s="241" t="s">
        <v>3</v>
      </c>
      <c r="H1" s="235" t="s">
        <v>4</v>
      </c>
      <c r="I1" s="329" t="s">
        <v>5</v>
      </c>
      <c r="J1" s="261"/>
      <c r="K1" s="262" t="s">
        <v>326</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193</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D18" sqref="AD18"/>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58</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283</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48"/>
  <sheetViews>
    <sheetView workbookViewId="0">
      <selection activeCell="AC15" sqref="AC15"/>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58" t="s">
        <v>0</v>
      </c>
      <c r="B1" s="59">
        <v>2014</v>
      </c>
      <c r="C1" s="58" t="s">
        <v>1</v>
      </c>
      <c r="D1" s="59"/>
      <c r="E1" s="58" t="s">
        <v>2</v>
      </c>
      <c r="F1" s="55">
        <v>59</v>
      </c>
      <c r="G1" s="56" t="s">
        <v>3</v>
      </c>
      <c r="H1" s="55" t="s">
        <v>4</v>
      </c>
      <c r="I1" s="260" t="s">
        <v>5</v>
      </c>
      <c r="J1" s="261"/>
      <c r="K1" s="262"/>
      <c r="L1" s="261"/>
      <c r="M1" s="261"/>
      <c r="N1" s="261"/>
      <c r="O1" s="261"/>
      <c r="P1" s="263" t="s">
        <v>6</v>
      </c>
      <c r="Q1" s="261"/>
      <c r="R1" s="264"/>
      <c r="S1" s="265"/>
      <c r="T1" s="16"/>
      <c r="U1" s="16"/>
      <c r="V1" s="16"/>
      <c r="W1" s="16"/>
      <c r="X1" s="16"/>
      <c r="Y1" s="16"/>
      <c r="Z1" s="34"/>
    </row>
    <row r="2" spans="1:30" ht="27.75" customHeight="1" x14ac:dyDescent="0.2">
      <c r="A2" s="57" t="s">
        <v>8</v>
      </c>
      <c r="B2" s="54" t="s">
        <v>9</v>
      </c>
      <c r="C2" s="54" t="s">
        <v>10</v>
      </c>
      <c r="D2" s="54" t="s">
        <v>11</v>
      </c>
      <c r="E2" s="54" t="s">
        <v>12</v>
      </c>
      <c r="F2" s="54" t="s">
        <v>13</v>
      </c>
      <c r="G2" s="54" t="s">
        <v>14</v>
      </c>
      <c r="H2" s="54" t="s">
        <v>15</v>
      </c>
      <c r="I2" s="13" t="s">
        <v>16</v>
      </c>
      <c r="J2" s="54" t="s">
        <v>17</v>
      </c>
      <c r="K2" s="54" t="s">
        <v>18</v>
      </c>
      <c r="L2" s="266"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32" t="s">
        <v>90</v>
      </c>
      <c r="AD2" s="31" t="s">
        <v>95</v>
      </c>
    </row>
    <row r="3" spans="1:30" ht="15.75" customHeight="1" x14ac:dyDescent="0.2">
      <c r="A3" s="18" t="s">
        <v>29</v>
      </c>
      <c r="B3" s="18" t="s">
        <v>29</v>
      </c>
      <c r="C3" s="28" t="s">
        <v>29</v>
      </c>
      <c r="D3" s="18" t="s">
        <v>29</v>
      </c>
      <c r="E3" s="18" t="s">
        <v>29</v>
      </c>
      <c r="F3" s="18" t="s">
        <v>29</v>
      </c>
      <c r="G3" s="18" t="s">
        <v>29</v>
      </c>
      <c r="H3" s="18" t="s">
        <v>29</v>
      </c>
      <c r="I3" s="18" t="s">
        <v>29</v>
      </c>
      <c r="J3" s="18" t="s">
        <v>29</v>
      </c>
      <c r="K3" s="18" t="s">
        <v>29</v>
      </c>
      <c r="L3" s="41" t="s">
        <v>29</v>
      </c>
      <c r="M3" s="41" t="s">
        <v>29</v>
      </c>
      <c r="N3" s="18" t="s">
        <v>29</v>
      </c>
      <c r="O3" s="18" t="s">
        <v>29</v>
      </c>
      <c r="P3" s="20" t="s">
        <v>29</v>
      </c>
      <c r="Q3" s="20" t="s">
        <v>29</v>
      </c>
      <c r="R3" s="20" t="s">
        <v>29</v>
      </c>
      <c r="S3" s="20" t="s">
        <v>29</v>
      </c>
      <c r="T3" s="20" t="s">
        <v>29</v>
      </c>
      <c r="U3" s="18" t="s">
        <v>29</v>
      </c>
      <c r="V3" s="18" t="s">
        <v>29</v>
      </c>
      <c r="W3" s="18" t="s">
        <v>29</v>
      </c>
      <c r="X3" s="20" t="s">
        <v>29</v>
      </c>
      <c r="Y3" s="33" t="s">
        <v>29</v>
      </c>
      <c r="Z3" s="33" t="s">
        <v>29</v>
      </c>
    </row>
    <row r="4" spans="1:30"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5" t="s">
        <v>26</v>
      </c>
      <c r="V4" s="27" t="s">
        <v>92</v>
      </c>
      <c r="W4" s="27" t="s">
        <v>93</v>
      </c>
      <c r="X4" s="5" t="s">
        <v>27</v>
      </c>
      <c r="Y4" s="271" t="s">
        <v>28</v>
      </c>
      <c r="Z4" s="272"/>
      <c r="AA4" s="31" t="s">
        <v>89</v>
      </c>
      <c r="AB4" s="31" t="s">
        <v>91</v>
      </c>
      <c r="AC4" s="32" t="s">
        <v>90</v>
      </c>
      <c r="AD4" s="31" t="s">
        <v>95</v>
      </c>
    </row>
    <row r="5" spans="1:30" ht="15.75" customHeight="1" x14ac:dyDescent="0.2">
      <c r="A5" s="18" t="s">
        <v>29</v>
      </c>
      <c r="B5" s="18" t="s">
        <v>29</v>
      </c>
      <c r="C5" s="18" t="s">
        <v>29</v>
      </c>
      <c r="D5" s="18" t="s">
        <v>29</v>
      </c>
      <c r="E5" s="18" t="s">
        <v>29</v>
      </c>
      <c r="F5" s="18" t="s">
        <v>29</v>
      </c>
      <c r="G5" s="18" t="s">
        <v>29</v>
      </c>
      <c r="H5" s="18" t="s">
        <v>29</v>
      </c>
      <c r="I5" s="37" t="s">
        <v>29</v>
      </c>
      <c r="J5" s="37" t="s">
        <v>29</v>
      </c>
      <c r="K5" s="37" t="s">
        <v>29</v>
      </c>
      <c r="L5" s="42" t="s">
        <v>29</v>
      </c>
      <c r="M5" s="42" t="s">
        <v>29</v>
      </c>
      <c r="N5" s="37" t="s">
        <v>29</v>
      </c>
      <c r="O5" s="37" t="s">
        <v>29</v>
      </c>
      <c r="P5" s="38" t="s">
        <v>29</v>
      </c>
      <c r="Q5" s="38" t="s">
        <v>29</v>
      </c>
      <c r="R5" s="20" t="s">
        <v>29</v>
      </c>
      <c r="S5" s="20" t="s">
        <v>29</v>
      </c>
      <c r="T5" s="20" t="s">
        <v>29</v>
      </c>
      <c r="U5" s="18" t="s">
        <v>29</v>
      </c>
      <c r="V5" s="18" t="s">
        <v>29</v>
      </c>
      <c r="W5" s="18" t="s">
        <v>29</v>
      </c>
      <c r="X5" s="20" t="s">
        <v>29</v>
      </c>
      <c r="Y5" s="20" t="s">
        <v>29</v>
      </c>
      <c r="Z5" s="20" t="s">
        <v>29</v>
      </c>
    </row>
    <row r="6" spans="1:30" ht="16.5" customHeight="1" x14ac:dyDescent="0.2">
      <c r="A6" s="12" t="s">
        <v>33</v>
      </c>
      <c r="B6" s="5" t="s">
        <v>9</v>
      </c>
      <c r="C6" s="60" t="s">
        <v>34</v>
      </c>
      <c r="D6" s="60" t="s">
        <v>35</v>
      </c>
      <c r="E6" s="60" t="s">
        <v>36</v>
      </c>
      <c r="F6" s="60" t="s">
        <v>37</v>
      </c>
      <c r="G6" s="60" t="s">
        <v>38</v>
      </c>
      <c r="H6" s="36" t="s">
        <v>39</v>
      </c>
      <c r="I6" s="62" t="s">
        <v>9</v>
      </c>
      <c r="J6" s="280" t="s">
        <v>40</v>
      </c>
      <c r="K6" s="280"/>
      <c r="L6" s="280" t="s">
        <v>41</v>
      </c>
      <c r="M6" s="280"/>
      <c r="N6" s="280" t="s">
        <v>42</v>
      </c>
      <c r="O6" s="280"/>
      <c r="P6" s="280" t="s">
        <v>43</v>
      </c>
      <c r="Q6" s="280"/>
      <c r="R6" s="35"/>
      <c r="S6" s="273" t="s">
        <v>44</v>
      </c>
      <c r="T6" s="274"/>
      <c r="U6" s="274"/>
      <c r="V6" s="274"/>
      <c r="W6" s="275"/>
      <c r="X6" s="274"/>
      <c r="Y6" s="274"/>
      <c r="Z6" s="268"/>
    </row>
    <row r="7" spans="1:30" ht="15.75" customHeight="1" x14ac:dyDescent="0.2">
      <c r="A7" s="1" t="s">
        <v>45</v>
      </c>
      <c r="B7" s="20"/>
      <c r="C7" s="19">
        <v>41799</v>
      </c>
      <c r="D7" s="19">
        <v>41801</v>
      </c>
      <c r="E7" s="19">
        <v>41803</v>
      </c>
      <c r="F7" s="19">
        <v>41805</v>
      </c>
      <c r="G7" s="15">
        <f>AVERAGE(C7:F7)</f>
        <v>41802</v>
      </c>
      <c r="H7" s="6" t="s">
        <v>46</v>
      </c>
      <c r="I7" s="39"/>
      <c r="J7" s="276" t="s">
        <v>354</v>
      </c>
      <c r="K7" s="267"/>
      <c r="L7" s="346" t="s">
        <v>355</v>
      </c>
      <c r="M7" s="267"/>
      <c r="N7" s="346" t="s">
        <v>356</v>
      </c>
      <c r="O7" s="267"/>
      <c r="P7" s="347" t="s">
        <v>407</v>
      </c>
      <c r="Q7" s="267"/>
      <c r="R7" s="23" t="s">
        <v>47</v>
      </c>
      <c r="S7" s="24"/>
      <c r="T7" s="43">
        <v>4</v>
      </c>
      <c r="U7" s="279" t="s">
        <v>48</v>
      </c>
      <c r="V7" s="279"/>
      <c r="W7" s="279"/>
      <c r="X7" s="281" t="s">
        <v>29</v>
      </c>
      <c r="Y7" s="282"/>
      <c r="Z7" s="283"/>
    </row>
    <row r="8" spans="1:30" ht="15.75" customHeight="1" x14ac:dyDescent="0.2">
      <c r="A8" s="3" t="s">
        <v>49</v>
      </c>
      <c r="B8" s="20" t="s">
        <v>29</v>
      </c>
      <c r="C8" s="20" t="s">
        <v>29</v>
      </c>
      <c r="D8" s="20" t="s">
        <v>29</v>
      </c>
      <c r="E8" s="20" t="s">
        <v>29</v>
      </c>
      <c r="F8" s="20" t="s">
        <v>29</v>
      </c>
      <c r="G8" s="60"/>
      <c r="H8" s="6" t="s">
        <v>50</v>
      </c>
      <c r="I8" s="102">
        <v>41837</v>
      </c>
      <c r="J8" s="287">
        <f>I8-C16</f>
        <v>1</v>
      </c>
      <c r="K8" s="268"/>
      <c r="L8" s="287">
        <f>I8-D16</f>
        <v>0</v>
      </c>
      <c r="M8" s="268"/>
      <c r="N8" s="446" t="s">
        <v>410</v>
      </c>
      <c r="O8" s="268"/>
      <c r="P8" s="446" t="s">
        <v>410</v>
      </c>
      <c r="Q8" s="268"/>
      <c r="R8" s="22" t="s">
        <v>51</v>
      </c>
      <c r="S8" s="11"/>
      <c r="T8" s="43">
        <v>0</v>
      </c>
      <c r="U8" s="310" t="s">
        <v>52</v>
      </c>
      <c r="V8" s="310"/>
      <c r="W8" s="310"/>
      <c r="X8" s="298" t="s">
        <v>29</v>
      </c>
      <c r="Y8" s="299"/>
      <c r="Z8" s="300"/>
    </row>
    <row r="9" spans="1:30" ht="15.75" customHeight="1" x14ac:dyDescent="0.2">
      <c r="A9" s="3" t="s">
        <v>49</v>
      </c>
      <c r="B9" s="20" t="s">
        <v>29</v>
      </c>
      <c r="C9" s="20" t="s">
        <v>29</v>
      </c>
      <c r="D9" s="20" t="s">
        <v>29</v>
      </c>
      <c r="E9" s="20" t="s">
        <v>29</v>
      </c>
      <c r="F9" s="20" t="s">
        <v>29</v>
      </c>
      <c r="G9" s="60"/>
      <c r="H9" s="6" t="s">
        <v>53</v>
      </c>
      <c r="I9" s="102">
        <v>41837</v>
      </c>
      <c r="J9" s="289">
        <v>34</v>
      </c>
      <c r="K9" s="268"/>
      <c r="L9" s="290">
        <v>31</v>
      </c>
      <c r="M9" s="268"/>
      <c r="N9" s="430" t="s">
        <v>410</v>
      </c>
      <c r="O9" s="268"/>
      <c r="P9" s="429" t="s">
        <v>410</v>
      </c>
      <c r="Q9" s="268"/>
      <c r="R9" s="22" t="s">
        <v>54</v>
      </c>
      <c r="S9" s="11"/>
      <c r="T9" s="43">
        <v>4</v>
      </c>
      <c r="U9" s="310" t="s">
        <v>55</v>
      </c>
      <c r="V9" s="310"/>
      <c r="W9" s="310"/>
      <c r="X9" s="298" t="s">
        <v>29</v>
      </c>
      <c r="Y9" s="299"/>
      <c r="Z9" s="300"/>
    </row>
    <row r="10" spans="1:30" ht="15" customHeight="1" x14ac:dyDescent="0.2">
      <c r="A10" s="3" t="s">
        <v>49</v>
      </c>
      <c r="B10" s="20" t="s">
        <v>29</v>
      </c>
      <c r="C10" s="20" t="s">
        <v>29</v>
      </c>
      <c r="D10" s="20" t="s">
        <v>29</v>
      </c>
      <c r="E10" s="20" t="s">
        <v>29</v>
      </c>
      <c r="F10" s="20" t="s">
        <v>29</v>
      </c>
      <c r="G10" s="60"/>
      <c r="H10" s="6" t="s">
        <v>56</v>
      </c>
      <c r="I10" s="10"/>
      <c r="J10" s="284" t="s">
        <v>29</v>
      </c>
      <c r="K10" s="268"/>
      <c r="L10" s="285" t="s">
        <v>29</v>
      </c>
      <c r="M10" s="268"/>
      <c r="N10" s="285" t="s">
        <v>29</v>
      </c>
      <c r="O10" s="268"/>
      <c r="P10" s="286" t="s">
        <v>29</v>
      </c>
      <c r="Q10" s="268"/>
      <c r="R10" s="22" t="s">
        <v>57</v>
      </c>
      <c r="S10" s="11"/>
      <c r="T10" s="43">
        <v>2</v>
      </c>
      <c r="U10" s="310" t="s">
        <v>58</v>
      </c>
      <c r="V10" s="310"/>
      <c r="W10" s="310"/>
      <c r="X10" s="298" t="s">
        <v>29</v>
      </c>
      <c r="Y10" s="299"/>
      <c r="Z10" s="300"/>
    </row>
    <row r="11" spans="1:30" ht="15" customHeight="1" x14ac:dyDescent="0.2">
      <c r="A11" s="3" t="s">
        <v>49</v>
      </c>
      <c r="B11" s="20" t="s">
        <v>29</v>
      </c>
      <c r="C11" s="20" t="s">
        <v>29</v>
      </c>
      <c r="D11" s="20" t="s">
        <v>29</v>
      </c>
      <c r="E11" s="20" t="s">
        <v>29</v>
      </c>
      <c r="F11" s="20" t="s">
        <v>29</v>
      </c>
      <c r="G11" s="60"/>
      <c r="H11" s="6" t="s">
        <v>59</v>
      </c>
      <c r="I11" s="17">
        <v>41842</v>
      </c>
      <c r="J11" s="287">
        <f>I11-C16</f>
        <v>6</v>
      </c>
      <c r="K11" s="268"/>
      <c r="L11" s="446" t="s">
        <v>410</v>
      </c>
      <c r="M11" s="268"/>
      <c r="N11" s="287">
        <f>I11-E16</f>
        <v>4</v>
      </c>
      <c r="O11" s="268"/>
      <c r="P11" s="496" t="s">
        <v>410</v>
      </c>
      <c r="Q11" s="268"/>
      <c r="R11" s="22" t="s">
        <v>60</v>
      </c>
      <c r="S11" s="11"/>
      <c r="T11" s="43">
        <v>2</v>
      </c>
      <c r="U11" s="310" t="s">
        <v>61</v>
      </c>
      <c r="V11" s="310"/>
      <c r="W11" s="310"/>
      <c r="X11" s="298" t="s">
        <v>29</v>
      </c>
      <c r="Y11" s="299"/>
      <c r="Z11" s="300"/>
    </row>
    <row r="12" spans="1:30" ht="15.75" customHeight="1" x14ac:dyDescent="0.2">
      <c r="A12" s="3" t="s">
        <v>49</v>
      </c>
      <c r="B12" s="20" t="s">
        <v>29</v>
      </c>
      <c r="C12" s="20" t="s">
        <v>29</v>
      </c>
      <c r="D12" s="20" t="s">
        <v>29</v>
      </c>
      <c r="E12" s="20" t="s">
        <v>29</v>
      </c>
      <c r="F12" s="20" t="s">
        <v>29</v>
      </c>
      <c r="G12" s="60"/>
      <c r="H12" s="6" t="s">
        <v>62</v>
      </c>
      <c r="I12" s="102">
        <v>41842</v>
      </c>
      <c r="J12" s="289">
        <v>85</v>
      </c>
      <c r="K12" s="268"/>
      <c r="L12" s="430">
        <v>3</v>
      </c>
      <c r="M12" s="268"/>
      <c r="N12" s="290">
        <v>72</v>
      </c>
      <c r="O12" s="268"/>
      <c r="P12" s="429">
        <v>1</v>
      </c>
      <c r="Q12" s="268"/>
      <c r="R12" s="22" t="s">
        <v>63</v>
      </c>
      <c r="S12" s="11"/>
      <c r="T12" s="45">
        <v>2</v>
      </c>
      <c r="U12" s="311" t="s">
        <v>64</v>
      </c>
      <c r="V12" s="311"/>
      <c r="W12" s="311"/>
      <c r="X12" s="301" t="s">
        <v>29</v>
      </c>
      <c r="Y12" s="302"/>
      <c r="Z12" s="303"/>
    </row>
    <row r="13" spans="1:30" ht="15.75" customHeight="1" x14ac:dyDescent="0.2">
      <c r="A13" s="3" t="s">
        <v>49</v>
      </c>
      <c r="B13" s="20" t="s">
        <v>29</v>
      </c>
      <c r="C13" s="20" t="s">
        <v>29</v>
      </c>
      <c r="D13" s="20" t="s">
        <v>29</v>
      </c>
      <c r="E13" s="20" t="s">
        <v>29</v>
      </c>
      <c r="F13" s="20" t="s">
        <v>29</v>
      </c>
      <c r="G13" s="60"/>
      <c r="H13" s="6" t="s">
        <v>65</v>
      </c>
      <c r="I13" s="10"/>
      <c r="J13" s="284" t="s">
        <v>29</v>
      </c>
      <c r="K13" s="268"/>
      <c r="L13" s="285" t="s">
        <v>29</v>
      </c>
      <c r="M13" s="268"/>
      <c r="N13" s="285" t="s">
        <v>29</v>
      </c>
      <c r="O13" s="268"/>
      <c r="P13" s="286" t="s">
        <v>29</v>
      </c>
      <c r="Q13" s="272"/>
      <c r="R13" s="424" t="s">
        <v>66</v>
      </c>
      <c r="S13" s="425"/>
      <c r="T13" s="425"/>
      <c r="U13" s="425"/>
      <c r="V13" s="425"/>
      <c r="W13" s="425"/>
      <c r="X13" s="425"/>
      <c r="Y13" s="425"/>
      <c r="Z13" s="425"/>
      <c r="AA13" s="206"/>
    </row>
    <row r="14" spans="1:30" ht="15.75" customHeight="1" x14ac:dyDescent="0.2">
      <c r="A14" s="3" t="s">
        <v>49</v>
      </c>
      <c r="B14" s="20" t="s">
        <v>29</v>
      </c>
      <c r="C14" s="20" t="s">
        <v>29</v>
      </c>
      <c r="D14" s="20" t="s">
        <v>29</v>
      </c>
      <c r="E14" s="20" t="s">
        <v>29</v>
      </c>
      <c r="F14" s="20" t="s">
        <v>29</v>
      </c>
      <c r="G14" s="60"/>
      <c r="H14" s="6" t="s">
        <v>67</v>
      </c>
      <c r="I14" s="10"/>
      <c r="J14" s="284" t="s">
        <v>29</v>
      </c>
      <c r="K14" s="268"/>
      <c r="L14" s="285" t="s">
        <v>29</v>
      </c>
      <c r="M14" s="268"/>
      <c r="N14" s="285" t="s">
        <v>29</v>
      </c>
      <c r="O14" s="268"/>
      <c r="P14" s="286" t="s">
        <v>29</v>
      </c>
      <c r="Q14" s="272"/>
      <c r="R14" s="427"/>
      <c r="S14" s="428"/>
      <c r="T14" s="428"/>
      <c r="U14" s="428"/>
      <c r="V14" s="428"/>
      <c r="W14" s="428"/>
      <c r="X14" s="428"/>
      <c r="Y14" s="428"/>
      <c r="Z14" s="428"/>
      <c r="AA14" s="206"/>
    </row>
    <row r="15" spans="1:30" ht="15.75" customHeight="1" x14ac:dyDescent="0.2">
      <c r="A15" s="3" t="s">
        <v>49</v>
      </c>
      <c r="B15" s="20" t="s">
        <v>29</v>
      </c>
      <c r="C15" s="20" t="s">
        <v>29</v>
      </c>
      <c r="D15" s="20" t="s">
        <v>29</v>
      </c>
      <c r="E15" s="20" t="s">
        <v>29</v>
      </c>
      <c r="F15" s="20" t="s">
        <v>29</v>
      </c>
      <c r="G15" s="60"/>
      <c r="H15" s="6" t="s">
        <v>68</v>
      </c>
      <c r="I15" s="10"/>
      <c r="J15" s="284" t="s">
        <v>29</v>
      </c>
      <c r="K15" s="268"/>
      <c r="L15" s="285" t="s">
        <v>29</v>
      </c>
      <c r="M15" s="268"/>
      <c r="N15" s="285" t="s">
        <v>29</v>
      </c>
      <c r="O15" s="268"/>
      <c r="P15" s="292" t="s">
        <v>29</v>
      </c>
      <c r="Q15" s="293"/>
      <c r="R15" s="305" t="s">
        <v>442</v>
      </c>
      <c r="S15" s="305"/>
      <c r="T15" s="305"/>
      <c r="U15" s="305"/>
      <c r="V15" s="305"/>
      <c r="W15" s="305"/>
      <c r="X15" s="305"/>
      <c r="Y15" s="305"/>
      <c r="Z15" s="305"/>
      <c r="AA15" s="206"/>
    </row>
    <row r="16" spans="1:30" ht="15.75" customHeight="1" x14ac:dyDescent="0.2">
      <c r="A16" s="14" t="s">
        <v>69</v>
      </c>
      <c r="B16" s="20"/>
      <c r="C16" s="19">
        <v>41836</v>
      </c>
      <c r="D16" s="19">
        <v>41837</v>
      </c>
      <c r="E16" s="19">
        <v>41838</v>
      </c>
      <c r="F16" s="19">
        <v>41837</v>
      </c>
      <c r="G16" s="15">
        <f>AVERAGE(C16:F16)</f>
        <v>41837</v>
      </c>
      <c r="H16" s="6" t="s">
        <v>70</v>
      </c>
      <c r="I16" s="17">
        <v>41847</v>
      </c>
      <c r="J16" s="294">
        <f>I16-C16</f>
        <v>11</v>
      </c>
      <c r="K16" s="268"/>
      <c r="L16" s="294" t="s">
        <v>410</v>
      </c>
      <c r="M16" s="268"/>
      <c r="N16" s="294">
        <f>I16-E16</f>
        <v>9</v>
      </c>
      <c r="O16" s="272"/>
      <c r="P16" s="365" t="s">
        <v>410</v>
      </c>
      <c r="Q16" s="261"/>
      <c r="R16" s="307"/>
      <c r="S16" s="307"/>
      <c r="T16" s="307"/>
      <c r="U16" s="307"/>
      <c r="V16" s="307"/>
      <c r="W16" s="307"/>
      <c r="X16" s="307"/>
      <c r="Y16" s="307"/>
      <c r="Z16" s="308"/>
    </row>
    <row r="17" spans="1:26" ht="15.75" customHeight="1" x14ac:dyDescent="0.2">
      <c r="A17" s="323" t="s">
        <v>71</v>
      </c>
      <c r="B17" s="324"/>
      <c r="C17" s="50">
        <f>C16-C7</f>
        <v>37</v>
      </c>
      <c r="D17" s="50">
        <f>D16-D7</f>
        <v>36</v>
      </c>
      <c r="E17" s="50">
        <f>E16-E7</f>
        <v>35</v>
      </c>
      <c r="F17" s="50">
        <f>F16-F7</f>
        <v>32</v>
      </c>
      <c r="G17" s="51">
        <f>AVERAGE(C17:E17)</f>
        <v>36</v>
      </c>
      <c r="H17" s="6" t="s">
        <v>72</v>
      </c>
      <c r="I17" s="102">
        <v>41847</v>
      </c>
      <c r="J17" s="291">
        <v>236</v>
      </c>
      <c r="K17" s="268"/>
      <c r="L17" s="430">
        <v>8</v>
      </c>
      <c r="M17" s="268"/>
      <c r="N17" s="320">
        <v>209</v>
      </c>
      <c r="O17" s="272"/>
      <c r="P17" s="367" t="s">
        <v>410</v>
      </c>
      <c r="Q17" s="261"/>
      <c r="R17" s="307"/>
      <c r="S17" s="307"/>
      <c r="T17" s="307"/>
      <c r="U17" s="307"/>
      <c r="V17" s="307"/>
      <c r="W17" s="307"/>
      <c r="X17" s="307"/>
      <c r="Y17" s="307"/>
      <c r="Z17" s="308"/>
    </row>
    <row r="18" spans="1:26" ht="15.75" customHeight="1" x14ac:dyDescent="0.2">
      <c r="A18" s="327" t="s">
        <v>73</v>
      </c>
      <c r="B18" s="327"/>
      <c r="C18" s="325" t="s">
        <v>40</v>
      </c>
      <c r="D18" s="325" t="s">
        <v>41</v>
      </c>
      <c r="E18" s="325" t="s">
        <v>42</v>
      </c>
      <c r="F18" s="325" t="s">
        <v>43</v>
      </c>
      <c r="G18" s="326" t="s">
        <v>38</v>
      </c>
      <c r="H18" s="49" t="s">
        <v>78</v>
      </c>
      <c r="I18" s="10"/>
      <c r="J18" s="286" t="s">
        <v>29</v>
      </c>
      <c r="K18" s="268"/>
      <c r="L18" s="285" t="s">
        <v>29</v>
      </c>
      <c r="M18" s="268"/>
      <c r="N18" s="296" t="s">
        <v>29</v>
      </c>
      <c r="O18" s="272"/>
      <c r="P18" s="297" t="s">
        <v>29</v>
      </c>
      <c r="Q18" s="261"/>
      <c r="R18" s="307"/>
      <c r="S18" s="307"/>
      <c r="T18" s="307"/>
      <c r="U18" s="307"/>
      <c r="V18" s="307"/>
      <c r="W18" s="307"/>
      <c r="X18" s="307"/>
      <c r="Y18" s="307"/>
      <c r="Z18" s="308"/>
    </row>
    <row r="19" spans="1:26" ht="15" customHeight="1" x14ac:dyDescent="0.2">
      <c r="A19" s="328"/>
      <c r="B19" s="328"/>
      <c r="C19" s="261"/>
      <c r="D19" s="261"/>
      <c r="E19" s="261"/>
      <c r="F19" s="261"/>
      <c r="G19" s="261"/>
      <c r="H19" s="49" t="s">
        <v>67</v>
      </c>
      <c r="I19" s="10"/>
      <c r="J19" s="286" t="s">
        <v>29</v>
      </c>
      <c r="K19" s="268"/>
      <c r="L19" s="285" t="s">
        <v>29</v>
      </c>
      <c r="M19" s="268"/>
      <c r="N19" s="296" t="s">
        <v>29</v>
      </c>
      <c r="O19" s="272"/>
      <c r="P19" s="297" t="s">
        <v>29</v>
      </c>
      <c r="Q19" s="261"/>
      <c r="R19" s="307"/>
      <c r="S19" s="307"/>
      <c r="T19" s="307"/>
      <c r="U19" s="307"/>
      <c r="V19" s="307"/>
      <c r="W19" s="307"/>
      <c r="X19" s="307"/>
      <c r="Y19" s="307"/>
      <c r="Z19" s="308"/>
    </row>
    <row r="20" spans="1:26" ht="15.75" customHeight="1" x14ac:dyDescent="0.2">
      <c r="A20" s="312" t="s">
        <v>79</v>
      </c>
      <c r="B20" s="313"/>
      <c r="C20" s="122" t="s">
        <v>423</v>
      </c>
      <c r="D20" s="122" t="s">
        <v>408</v>
      </c>
      <c r="E20" s="122" t="s">
        <v>430</v>
      </c>
      <c r="F20" s="122" t="s">
        <v>408</v>
      </c>
      <c r="G20" s="52" t="s">
        <v>29</v>
      </c>
      <c r="H20" s="6" t="s">
        <v>68</v>
      </c>
      <c r="I20" s="10"/>
      <c r="J20" s="286" t="s">
        <v>29</v>
      </c>
      <c r="K20" s="268"/>
      <c r="L20" s="285" t="s">
        <v>29</v>
      </c>
      <c r="M20" s="268"/>
      <c r="N20" s="296" t="s">
        <v>29</v>
      </c>
      <c r="O20" s="272"/>
      <c r="P20" s="297" t="s">
        <v>29</v>
      </c>
      <c r="Q20" s="261"/>
      <c r="R20" s="307"/>
      <c r="S20" s="307"/>
      <c r="T20" s="307"/>
      <c r="U20" s="307"/>
      <c r="V20" s="307"/>
      <c r="W20" s="307"/>
      <c r="X20" s="307"/>
      <c r="Y20" s="307"/>
      <c r="Z20" s="308"/>
    </row>
    <row r="21" spans="1:26" ht="15.75" customHeight="1" x14ac:dyDescent="0.2">
      <c r="A21" s="312" t="s">
        <v>46</v>
      </c>
      <c r="B21" s="313"/>
      <c r="C21" s="28" t="s">
        <v>354</v>
      </c>
      <c r="D21" s="28" t="s">
        <v>355</v>
      </c>
      <c r="E21" s="28" t="s">
        <v>356</v>
      </c>
      <c r="F21" s="28" t="s">
        <v>407</v>
      </c>
      <c r="G21" s="18" t="s">
        <v>29</v>
      </c>
      <c r="H21" s="47" t="s">
        <v>80</v>
      </c>
      <c r="I21" s="17">
        <v>41852</v>
      </c>
      <c r="J21" s="294">
        <f>I21-C16</f>
        <v>16</v>
      </c>
      <c r="K21" s="268"/>
      <c r="L21" s="294" t="s">
        <v>410</v>
      </c>
      <c r="M21" s="268"/>
      <c r="N21" s="294">
        <f>I21-E16</f>
        <v>14</v>
      </c>
      <c r="O21" s="272"/>
      <c r="P21" s="365" t="s">
        <v>410</v>
      </c>
      <c r="Q21" s="261"/>
      <c r="R21" s="307"/>
      <c r="S21" s="307"/>
      <c r="T21" s="307"/>
      <c r="U21" s="307"/>
      <c r="V21" s="307"/>
      <c r="W21" s="307"/>
      <c r="X21" s="307"/>
      <c r="Y21" s="307"/>
      <c r="Z21" s="308"/>
    </row>
    <row r="22" spans="1:26" ht="15.75" customHeight="1" x14ac:dyDescent="0.2">
      <c r="A22" s="312" t="s">
        <v>81</v>
      </c>
      <c r="B22" s="313"/>
      <c r="C22" s="17">
        <v>41863</v>
      </c>
      <c r="D22" s="212" t="s">
        <v>410</v>
      </c>
      <c r="E22" s="17">
        <v>41863</v>
      </c>
      <c r="F22" s="28" t="s">
        <v>410</v>
      </c>
      <c r="G22" s="43" t="s">
        <v>29</v>
      </c>
      <c r="H22" s="48" t="s">
        <v>82</v>
      </c>
      <c r="I22" s="17">
        <v>41852</v>
      </c>
      <c r="J22" s="291">
        <v>424</v>
      </c>
      <c r="K22" s="268"/>
      <c r="L22" s="430">
        <v>13</v>
      </c>
      <c r="M22" s="268"/>
      <c r="N22" s="320">
        <v>409</v>
      </c>
      <c r="O22" s="272"/>
      <c r="P22" s="367" t="s">
        <v>410</v>
      </c>
      <c r="Q22" s="261"/>
      <c r="R22" s="307"/>
      <c r="S22" s="307"/>
      <c r="T22" s="307"/>
      <c r="U22" s="307"/>
      <c r="V22" s="307"/>
      <c r="W22" s="307"/>
      <c r="X22" s="307"/>
      <c r="Y22" s="307"/>
      <c r="Z22" s="308"/>
    </row>
    <row r="23" spans="1:26" ht="15.75" customHeight="1" x14ac:dyDescent="0.2">
      <c r="A23" s="312" t="s">
        <v>12</v>
      </c>
      <c r="B23" s="313"/>
      <c r="C23" s="28">
        <v>194719233</v>
      </c>
      <c r="D23" s="28" t="s">
        <v>410</v>
      </c>
      <c r="E23" s="18">
        <v>194719234</v>
      </c>
      <c r="F23" s="28" t="s">
        <v>410</v>
      </c>
      <c r="G23" s="43" t="s">
        <v>29</v>
      </c>
      <c r="H23" s="48" t="s">
        <v>83</v>
      </c>
      <c r="I23" s="17">
        <v>41852</v>
      </c>
      <c r="J23" s="429" t="s">
        <v>369</v>
      </c>
      <c r="K23" s="268"/>
      <c r="L23" s="321" t="s">
        <v>29</v>
      </c>
      <c r="M23" s="268"/>
      <c r="N23" s="429" t="s">
        <v>369</v>
      </c>
      <c r="O23" s="268"/>
      <c r="P23" s="321" t="s">
        <v>29</v>
      </c>
      <c r="Q23" s="268"/>
      <c r="R23" s="307"/>
      <c r="S23" s="307"/>
      <c r="T23" s="307"/>
      <c r="U23" s="307"/>
      <c r="V23" s="307"/>
      <c r="W23" s="307"/>
      <c r="X23" s="307"/>
      <c r="Y23" s="307"/>
      <c r="Z23" s="308"/>
    </row>
    <row r="24" spans="1:26" ht="15.75" customHeight="1" x14ac:dyDescent="0.2">
      <c r="A24" s="312" t="s">
        <v>84</v>
      </c>
      <c r="B24" s="313"/>
      <c r="C24" s="25" t="s">
        <v>410</v>
      </c>
      <c r="D24" s="28" t="s">
        <v>410</v>
      </c>
      <c r="E24" s="28" t="s">
        <v>410</v>
      </c>
      <c r="F24" s="28" t="s">
        <v>410</v>
      </c>
      <c r="G24" s="43" t="s">
        <v>29</v>
      </c>
      <c r="H24" s="48" t="s">
        <v>67</v>
      </c>
      <c r="I24" s="10"/>
      <c r="J24" s="286" t="s">
        <v>29</v>
      </c>
      <c r="K24" s="268"/>
      <c r="L24" s="321" t="s">
        <v>29</v>
      </c>
      <c r="M24" s="268"/>
      <c r="N24" s="322" t="s">
        <v>29</v>
      </c>
      <c r="O24" s="272"/>
      <c r="P24" s="297" t="s">
        <v>29</v>
      </c>
      <c r="Q24" s="261"/>
      <c r="R24" s="307"/>
      <c r="S24" s="307"/>
      <c r="T24" s="307"/>
      <c r="U24" s="307"/>
      <c r="V24" s="307"/>
      <c r="W24" s="307"/>
      <c r="X24" s="307"/>
      <c r="Y24" s="307"/>
      <c r="Z24" s="308"/>
    </row>
    <row r="25" spans="1:26" ht="15.75" customHeight="1" x14ac:dyDescent="0.2">
      <c r="A25" s="312" t="s">
        <v>11</v>
      </c>
      <c r="B25" s="313"/>
      <c r="C25" s="28" t="s">
        <v>413</v>
      </c>
      <c r="D25" s="28" t="s">
        <v>410</v>
      </c>
      <c r="E25" s="28" t="s">
        <v>398</v>
      </c>
      <c r="F25" s="28" t="s">
        <v>410</v>
      </c>
      <c r="G25" s="43" t="s">
        <v>29</v>
      </c>
      <c r="H25" s="48" t="s">
        <v>68</v>
      </c>
      <c r="I25" s="10"/>
      <c r="J25" s="286" t="s">
        <v>29</v>
      </c>
      <c r="K25" s="268"/>
      <c r="L25" s="321" t="s">
        <v>29</v>
      </c>
      <c r="M25" s="268"/>
      <c r="N25" s="322" t="s">
        <v>29</v>
      </c>
      <c r="O25" s="272"/>
      <c r="P25" s="297" t="s">
        <v>29</v>
      </c>
      <c r="Q25" s="261"/>
      <c r="R25" s="307"/>
      <c r="S25" s="307"/>
      <c r="T25" s="307"/>
      <c r="U25" s="307"/>
      <c r="V25" s="307"/>
      <c r="W25" s="307"/>
      <c r="X25" s="307"/>
      <c r="Y25" s="307"/>
      <c r="Z25" s="308"/>
    </row>
    <row r="26" spans="1:26" ht="15.75" customHeight="1" x14ac:dyDescent="0.2">
      <c r="A26" s="314" t="s">
        <v>85</v>
      </c>
      <c r="B26" s="315"/>
      <c r="C26" s="25" t="s">
        <v>410</v>
      </c>
      <c r="D26" s="121">
        <v>41839</v>
      </c>
      <c r="E26" s="28" t="s">
        <v>410</v>
      </c>
      <c r="F26" s="121">
        <v>41837</v>
      </c>
      <c r="G26" s="43" t="s">
        <v>29</v>
      </c>
      <c r="H26" s="48" t="s">
        <v>86</v>
      </c>
      <c r="I26" s="10"/>
      <c r="J26" s="286" t="s">
        <v>29</v>
      </c>
      <c r="K26" s="268"/>
      <c r="L26" s="321" t="s">
        <v>29</v>
      </c>
      <c r="M26" s="268"/>
      <c r="N26" s="322" t="s">
        <v>29</v>
      </c>
      <c r="O26" s="272"/>
      <c r="P26" s="297" t="s">
        <v>29</v>
      </c>
      <c r="Q26" s="261"/>
      <c r="R26" s="307"/>
      <c r="S26" s="307"/>
      <c r="T26" s="307"/>
      <c r="U26" s="307"/>
      <c r="V26" s="307"/>
      <c r="W26" s="307"/>
      <c r="X26" s="307"/>
      <c r="Y26" s="307"/>
      <c r="Z26" s="308"/>
    </row>
    <row r="27" spans="1:26" ht="15.75" customHeight="1" x14ac:dyDescent="0.2">
      <c r="A27" s="316" t="s">
        <v>87</v>
      </c>
      <c r="B27" s="317"/>
      <c r="C27" s="28" t="s">
        <v>410</v>
      </c>
      <c r="D27" s="18">
        <f>D26-D16</f>
        <v>2</v>
      </c>
      <c r="E27" s="28" t="s">
        <v>410</v>
      </c>
      <c r="F27" s="18">
        <v>0</v>
      </c>
      <c r="G27" s="43" t="s">
        <v>29</v>
      </c>
      <c r="H27" s="48" t="s">
        <v>88</v>
      </c>
      <c r="I27" s="10"/>
      <c r="J27" s="286" t="s">
        <v>29</v>
      </c>
      <c r="K27" s="268"/>
      <c r="L27" s="321" t="s">
        <v>29</v>
      </c>
      <c r="M27" s="268"/>
      <c r="N27" s="322" t="s">
        <v>29</v>
      </c>
      <c r="O27" s="272"/>
      <c r="P27" s="297" t="s">
        <v>29</v>
      </c>
      <c r="Q27" s="261"/>
      <c r="R27" s="307"/>
      <c r="S27" s="307"/>
      <c r="T27" s="307"/>
      <c r="U27" s="307"/>
      <c r="V27" s="307"/>
      <c r="W27" s="307"/>
      <c r="X27" s="307"/>
      <c r="Y27" s="307"/>
      <c r="Z27" s="308"/>
    </row>
    <row r="28" spans="1:26" ht="15.75" customHeight="1" x14ac:dyDescent="0.2">
      <c r="A28" s="61"/>
      <c r="B28" s="7"/>
      <c r="C28" s="4"/>
      <c r="D28" s="4"/>
      <c r="E28" s="4"/>
      <c r="F28" s="4"/>
      <c r="G28" s="4"/>
      <c r="H28" s="104" t="s">
        <v>372</v>
      </c>
      <c r="I28" s="17">
        <v>41856</v>
      </c>
      <c r="J28" s="294">
        <f>I28-C16</f>
        <v>20</v>
      </c>
      <c r="K28" s="268"/>
      <c r="L28" s="294" t="s">
        <v>410</v>
      </c>
      <c r="M28" s="268"/>
      <c r="N28" s="294">
        <f>I28-E16</f>
        <v>18</v>
      </c>
      <c r="O28" s="272"/>
      <c r="P28" s="365" t="s">
        <v>410</v>
      </c>
      <c r="Q28" s="261"/>
      <c r="R28" s="53"/>
      <c r="S28" s="30"/>
      <c r="T28" s="4"/>
      <c r="U28" s="4"/>
      <c r="V28" s="4"/>
      <c r="W28" s="26"/>
      <c r="X28" s="4"/>
      <c r="Y28" s="4"/>
      <c r="Z28" s="4"/>
    </row>
    <row r="29" spans="1:26" ht="18" customHeight="1" x14ac:dyDescent="0.2">
      <c r="H29" s="103" t="s">
        <v>373</v>
      </c>
      <c r="I29" s="17">
        <v>41856</v>
      </c>
      <c r="J29" s="291">
        <v>673</v>
      </c>
      <c r="K29" s="268"/>
      <c r="L29" s="430">
        <v>18</v>
      </c>
      <c r="M29" s="268"/>
      <c r="N29" s="320">
        <v>667</v>
      </c>
      <c r="O29" s="272"/>
      <c r="P29" s="367" t="s">
        <v>410</v>
      </c>
      <c r="Q29" s="261"/>
    </row>
    <row r="30" spans="1:26" ht="18" customHeight="1" x14ac:dyDescent="0.2">
      <c r="H30" s="48" t="s">
        <v>83</v>
      </c>
      <c r="I30" s="10"/>
      <c r="J30" s="321" t="s">
        <v>29</v>
      </c>
      <c r="K30" s="268"/>
      <c r="L30" s="321" t="s">
        <v>29</v>
      </c>
      <c r="M30" s="268"/>
      <c r="N30" s="322" t="s">
        <v>29</v>
      </c>
      <c r="O30" s="272"/>
      <c r="P30" s="321" t="s">
        <v>29</v>
      </c>
      <c r="Q30" s="268"/>
    </row>
    <row r="31" spans="1:26" ht="18" customHeight="1" x14ac:dyDescent="0.2">
      <c r="H31" s="48" t="s">
        <v>67</v>
      </c>
      <c r="I31" s="10"/>
      <c r="J31" s="286" t="s">
        <v>29</v>
      </c>
      <c r="K31" s="268"/>
      <c r="L31" s="321" t="s">
        <v>29</v>
      </c>
      <c r="M31" s="268"/>
      <c r="N31" s="322" t="s">
        <v>29</v>
      </c>
      <c r="O31" s="272"/>
      <c r="P31" s="297" t="s">
        <v>29</v>
      </c>
      <c r="Q31" s="261"/>
    </row>
    <row r="32" spans="1:26" ht="18" customHeight="1" x14ac:dyDescent="0.2">
      <c r="H32" s="48" t="s">
        <v>68</v>
      </c>
      <c r="I32" s="10"/>
      <c r="J32" s="286" t="s">
        <v>29</v>
      </c>
      <c r="K32" s="268"/>
      <c r="L32" s="321" t="s">
        <v>29</v>
      </c>
      <c r="M32" s="268"/>
      <c r="N32" s="322" t="s">
        <v>29</v>
      </c>
      <c r="O32" s="272"/>
      <c r="P32" s="297" t="s">
        <v>29</v>
      </c>
      <c r="Q32" s="261"/>
    </row>
    <row r="33" spans="8:17" ht="18" customHeight="1" x14ac:dyDescent="0.2">
      <c r="H33" s="48" t="s">
        <v>86</v>
      </c>
      <c r="I33" s="10"/>
      <c r="J33" s="286" t="s">
        <v>29</v>
      </c>
      <c r="K33" s="268"/>
      <c r="L33" s="321" t="s">
        <v>29</v>
      </c>
      <c r="M33" s="268"/>
      <c r="N33" s="322" t="s">
        <v>29</v>
      </c>
      <c r="O33" s="272"/>
      <c r="P33" s="297" t="s">
        <v>29</v>
      </c>
      <c r="Q33" s="261"/>
    </row>
    <row r="34" spans="8:17" ht="18" customHeight="1" x14ac:dyDescent="0.2">
      <c r="H34" s="48" t="s">
        <v>88</v>
      </c>
      <c r="I34" s="10"/>
      <c r="J34" s="286" t="s">
        <v>29</v>
      </c>
      <c r="K34" s="268"/>
      <c r="L34" s="321" t="s">
        <v>29</v>
      </c>
      <c r="M34" s="268"/>
      <c r="N34" s="322" t="s">
        <v>29</v>
      </c>
      <c r="O34" s="272"/>
      <c r="P34" s="297" t="s">
        <v>29</v>
      </c>
      <c r="Q34" s="261"/>
    </row>
    <row r="35" spans="8:17" ht="18" customHeight="1" x14ac:dyDescent="0.2">
      <c r="H35" s="104" t="s">
        <v>414</v>
      </c>
      <c r="I35" s="17">
        <v>41863</v>
      </c>
      <c r="J35" s="294">
        <f>I35-C16</f>
        <v>27</v>
      </c>
      <c r="K35" s="268"/>
      <c r="L35" s="294" t="s">
        <v>410</v>
      </c>
      <c r="M35" s="268"/>
      <c r="N35" s="294">
        <f>I35-E16</f>
        <v>25</v>
      </c>
      <c r="O35" s="272"/>
      <c r="P35" s="365" t="s">
        <v>410</v>
      </c>
      <c r="Q35" s="261"/>
    </row>
    <row r="36" spans="8:17" ht="18" customHeight="1" x14ac:dyDescent="0.2">
      <c r="H36" s="103" t="s">
        <v>415</v>
      </c>
      <c r="I36" s="17">
        <v>41863</v>
      </c>
      <c r="J36" s="291">
        <v>833</v>
      </c>
      <c r="K36" s="268"/>
      <c r="L36" s="430" t="s">
        <v>410</v>
      </c>
      <c r="M36" s="268"/>
      <c r="N36" s="320">
        <v>848</v>
      </c>
      <c r="O36" s="272"/>
      <c r="P36" s="367" t="s">
        <v>410</v>
      </c>
      <c r="Q36" s="261"/>
    </row>
    <row r="37" spans="8:17" ht="18" customHeight="1" x14ac:dyDescent="0.2">
      <c r="H37" s="48" t="s">
        <v>83</v>
      </c>
      <c r="I37" s="102">
        <v>41863</v>
      </c>
      <c r="J37" s="429" t="s">
        <v>369</v>
      </c>
      <c r="K37" s="268"/>
      <c r="L37" s="321" t="s">
        <v>29</v>
      </c>
      <c r="M37" s="268"/>
      <c r="N37" s="429" t="s">
        <v>369</v>
      </c>
      <c r="O37" s="268"/>
      <c r="P37" s="321" t="s">
        <v>29</v>
      </c>
      <c r="Q37" s="268"/>
    </row>
    <row r="38" spans="8:17" ht="18" customHeight="1" x14ac:dyDescent="0.2">
      <c r="H38" s="48" t="s">
        <v>67</v>
      </c>
      <c r="I38" s="10"/>
      <c r="J38" s="286" t="s">
        <v>29</v>
      </c>
      <c r="K38" s="268"/>
      <c r="L38" s="321" t="s">
        <v>29</v>
      </c>
      <c r="M38" s="268"/>
      <c r="N38" s="322" t="s">
        <v>29</v>
      </c>
      <c r="O38" s="272"/>
      <c r="P38" s="297" t="s">
        <v>29</v>
      </c>
      <c r="Q38" s="261"/>
    </row>
    <row r="39" spans="8:17" ht="18" customHeight="1" x14ac:dyDescent="0.2">
      <c r="H39" s="48" t="s">
        <v>68</v>
      </c>
      <c r="I39" s="10"/>
      <c r="J39" s="286" t="s">
        <v>29</v>
      </c>
      <c r="K39" s="268"/>
      <c r="L39" s="321" t="s">
        <v>29</v>
      </c>
      <c r="M39" s="268"/>
      <c r="N39" s="322" t="s">
        <v>29</v>
      </c>
      <c r="O39" s="272"/>
      <c r="P39" s="297" t="s">
        <v>29</v>
      </c>
      <c r="Q39" s="261"/>
    </row>
    <row r="40" spans="8:17" ht="18" customHeight="1" x14ac:dyDescent="0.2">
      <c r="H40" s="48" t="s">
        <v>86</v>
      </c>
      <c r="I40" s="10"/>
      <c r="J40" s="286" t="s">
        <v>29</v>
      </c>
      <c r="K40" s="268"/>
      <c r="L40" s="321" t="s">
        <v>29</v>
      </c>
      <c r="M40" s="268"/>
      <c r="N40" s="322" t="s">
        <v>29</v>
      </c>
      <c r="O40" s="272"/>
      <c r="P40" s="297" t="s">
        <v>29</v>
      </c>
      <c r="Q40" s="261"/>
    </row>
    <row r="41" spans="8:17" ht="18" customHeight="1" x14ac:dyDescent="0.2">
      <c r="H41" s="48" t="s">
        <v>88</v>
      </c>
      <c r="I41" s="10"/>
      <c r="J41" s="286" t="s">
        <v>29</v>
      </c>
      <c r="K41" s="268"/>
      <c r="L41" s="321" t="s">
        <v>29</v>
      </c>
      <c r="M41" s="268"/>
      <c r="N41" s="322" t="s">
        <v>29</v>
      </c>
      <c r="O41" s="272"/>
      <c r="P41" s="297" t="s">
        <v>29</v>
      </c>
      <c r="Q41" s="261"/>
    </row>
    <row r="42" spans="8:17" ht="18" customHeight="1" x14ac:dyDescent="0.2">
      <c r="H42" s="104" t="s">
        <v>417</v>
      </c>
      <c r="I42" s="17">
        <v>41867</v>
      </c>
      <c r="J42" s="294">
        <f>I42-C16</f>
        <v>31</v>
      </c>
      <c r="K42" s="268"/>
      <c r="L42" s="294" t="s">
        <v>410</v>
      </c>
      <c r="M42" s="268"/>
      <c r="N42" s="294">
        <f>I42-E16</f>
        <v>29</v>
      </c>
      <c r="O42" s="272"/>
      <c r="P42" s="365" t="s">
        <v>410</v>
      </c>
      <c r="Q42" s="261"/>
    </row>
    <row r="43" spans="8:17" ht="18" customHeight="1" x14ac:dyDescent="0.2">
      <c r="H43" s="103" t="s">
        <v>418</v>
      </c>
      <c r="I43" s="17">
        <v>41867</v>
      </c>
      <c r="J43" s="291">
        <v>835</v>
      </c>
      <c r="K43" s="268"/>
      <c r="L43" s="430" t="s">
        <v>410</v>
      </c>
      <c r="M43" s="268"/>
      <c r="N43" s="320">
        <v>792</v>
      </c>
      <c r="O43" s="272"/>
      <c r="P43" s="367" t="s">
        <v>410</v>
      </c>
      <c r="Q43" s="261"/>
    </row>
    <row r="44" spans="8:17" ht="18" customHeight="1" x14ac:dyDescent="0.2">
      <c r="H44" s="103" t="s">
        <v>443</v>
      </c>
      <c r="I44" s="10"/>
      <c r="J44" s="321" t="s">
        <v>29</v>
      </c>
      <c r="K44" s="268"/>
      <c r="L44" s="321" t="s">
        <v>29</v>
      </c>
      <c r="M44" s="268"/>
      <c r="N44" s="321" t="s">
        <v>29</v>
      </c>
      <c r="O44" s="268"/>
      <c r="P44" s="321" t="s">
        <v>29</v>
      </c>
      <c r="Q44" s="268"/>
    </row>
    <row r="45" spans="8:17" ht="18" customHeight="1" x14ac:dyDescent="0.2">
      <c r="H45" s="48" t="s">
        <v>67</v>
      </c>
      <c r="I45" s="10"/>
      <c r="J45" s="286" t="s">
        <v>29</v>
      </c>
      <c r="K45" s="268"/>
      <c r="L45" s="321" t="s">
        <v>29</v>
      </c>
      <c r="M45" s="268"/>
      <c r="N45" s="322" t="s">
        <v>29</v>
      </c>
      <c r="O45" s="272"/>
      <c r="P45" s="297" t="s">
        <v>29</v>
      </c>
      <c r="Q45" s="261"/>
    </row>
    <row r="46" spans="8:17" ht="18" customHeight="1" x14ac:dyDescent="0.2">
      <c r="H46" s="48" t="s">
        <v>68</v>
      </c>
      <c r="I46" s="10"/>
      <c r="J46" s="286" t="s">
        <v>29</v>
      </c>
      <c r="K46" s="268"/>
      <c r="L46" s="321" t="s">
        <v>29</v>
      </c>
      <c r="M46" s="268"/>
      <c r="N46" s="322" t="s">
        <v>29</v>
      </c>
      <c r="O46" s="272"/>
      <c r="P46" s="297" t="s">
        <v>29</v>
      </c>
      <c r="Q46" s="261"/>
    </row>
    <row r="47" spans="8:17" ht="18" customHeight="1" x14ac:dyDescent="0.2">
      <c r="H47" s="48" t="s">
        <v>86</v>
      </c>
      <c r="I47" s="10"/>
      <c r="J47" s="286" t="s">
        <v>29</v>
      </c>
      <c r="K47" s="268"/>
      <c r="L47" s="321" t="s">
        <v>29</v>
      </c>
      <c r="M47" s="268"/>
      <c r="N47" s="322" t="s">
        <v>29</v>
      </c>
      <c r="O47" s="272"/>
      <c r="P47" s="297" t="s">
        <v>29</v>
      </c>
      <c r="Q47" s="261"/>
    </row>
    <row r="48" spans="8:17" ht="18" customHeight="1" x14ac:dyDescent="0.2">
      <c r="H48" s="48" t="s">
        <v>88</v>
      </c>
      <c r="I48" s="10"/>
      <c r="J48" s="286" t="s">
        <v>29</v>
      </c>
      <c r="K48" s="268"/>
      <c r="L48" s="321" t="s">
        <v>29</v>
      </c>
      <c r="M48" s="268"/>
      <c r="N48" s="322" t="s">
        <v>29</v>
      </c>
      <c r="O48" s="272"/>
      <c r="P48" s="297" t="s">
        <v>29</v>
      </c>
      <c r="Q48" s="261"/>
    </row>
  </sheetData>
  <mergeCells count="212">
    <mergeCell ref="J48:K48"/>
    <mergeCell ref="L48:M48"/>
    <mergeCell ref="N48:O48"/>
    <mergeCell ref="P48:Q48"/>
    <mergeCell ref="J40:K40"/>
    <mergeCell ref="L40:M40"/>
    <mergeCell ref="N40:O40"/>
    <mergeCell ref="P40:Q40"/>
    <mergeCell ref="J41:K41"/>
    <mergeCell ref="L41:M41"/>
    <mergeCell ref="N41:O41"/>
    <mergeCell ref="P41:Q41"/>
    <mergeCell ref="J47:K47"/>
    <mergeCell ref="L47:M47"/>
    <mergeCell ref="N47:O47"/>
    <mergeCell ref="P47:Q47"/>
    <mergeCell ref="J42:K42"/>
    <mergeCell ref="L42:M42"/>
    <mergeCell ref="N42:O42"/>
    <mergeCell ref="P42:Q42"/>
    <mergeCell ref="J43:K43"/>
    <mergeCell ref="L43:M43"/>
    <mergeCell ref="N43:O43"/>
    <mergeCell ref="P43:Q43"/>
    <mergeCell ref="J37:K37"/>
    <mergeCell ref="L37:M37"/>
    <mergeCell ref="N37:O37"/>
    <mergeCell ref="P37:Q37"/>
    <mergeCell ref="J38:K38"/>
    <mergeCell ref="L38:M38"/>
    <mergeCell ref="N38:O38"/>
    <mergeCell ref="P38:Q38"/>
    <mergeCell ref="J39:K39"/>
    <mergeCell ref="L39:M39"/>
    <mergeCell ref="N39:O39"/>
    <mergeCell ref="P39:Q39"/>
    <mergeCell ref="J34:K34"/>
    <mergeCell ref="L34:M34"/>
    <mergeCell ref="N34:O34"/>
    <mergeCell ref="P34:Q34"/>
    <mergeCell ref="J35:K35"/>
    <mergeCell ref="L35:M35"/>
    <mergeCell ref="N35:O35"/>
    <mergeCell ref="P35:Q35"/>
    <mergeCell ref="J36:K36"/>
    <mergeCell ref="L36:M36"/>
    <mergeCell ref="N36:O36"/>
    <mergeCell ref="P36:Q36"/>
    <mergeCell ref="J31:K31"/>
    <mergeCell ref="L31:M31"/>
    <mergeCell ref="N31:O31"/>
    <mergeCell ref="P31:Q31"/>
    <mergeCell ref="J32:K32"/>
    <mergeCell ref="L32:M32"/>
    <mergeCell ref="N32:O32"/>
    <mergeCell ref="P32:Q32"/>
    <mergeCell ref="J33:K33"/>
    <mergeCell ref="L33:M33"/>
    <mergeCell ref="N33:O33"/>
    <mergeCell ref="P33:Q33"/>
    <mergeCell ref="J28:K28"/>
    <mergeCell ref="L28:M28"/>
    <mergeCell ref="N28:O28"/>
    <mergeCell ref="P28:Q28"/>
    <mergeCell ref="J29:K29"/>
    <mergeCell ref="L29:M29"/>
    <mergeCell ref="N29:O29"/>
    <mergeCell ref="P29:Q29"/>
    <mergeCell ref="J30:K30"/>
    <mergeCell ref="L30:M30"/>
    <mergeCell ref="N30:O30"/>
    <mergeCell ref="P30:Q30"/>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 ref="J44:K44"/>
    <mergeCell ref="L44:M44"/>
    <mergeCell ref="N44:O44"/>
    <mergeCell ref="P44:Q44"/>
    <mergeCell ref="J45:K45"/>
    <mergeCell ref="L45:M45"/>
    <mergeCell ref="N45:O45"/>
    <mergeCell ref="P45:Q45"/>
    <mergeCell ref="J46:K46"/>
    <mergeCell ref="L46:M46"/>
    <mergeCell ref="N46:O46"/>
    <mergeCell ref="P46:Q46"/>
  </mergeCells>
  <pageMargins left="0.7" right="0.7" top="0.75" bottom="0.75" header="0.3" footer="0.3"/>
  <pageSetup orientation="portrait" r:id="rId1"/>
  <legacy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60</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302</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61</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303</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62</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9"/>
  <sheetViews>
    <sheetView workbookViewId="0">
      <selection activeCell="AD14" sqref="AD14"/>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9.5703125" style="25" bestFit="1"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3" ht="12.75" x14ac:dyDescent="0.2">
      <c r="A1" s="132" t="s">
        <v>0</v>
      </c>
      <c r="B1" s="130">
        <v>2014</v>
      </c>
      <c r="C1" s="132" t="s">
        <v>1</v>
      </c>
      <c r="D1" s="130"/>
      <c r="E1" s="132" t="s">
        <v>2</v>
      </c>
      <c r="F1" s="130">
        <v>63</v>
      </c>
      <c r="G1" s="134" t="s">
        <v>3</v>
      </c>
      <c r="H1" s="130" t="s">
        <v>4</v>
      </c>
      <c r="I1" s="329" t="s">
        <v>5</v>
      </c>
      <c r="J1" s="261"/>
      <c r="K1" s="330" t="s">
        <v>327</v>
      </c>
      <c r="L1" s="382"/>
      <c r="M1" s="382"/>
      <c r="N1" s="382"/>
      <c r="O1" s="383"/>
      <c r="P1" s="333" t="s">
        <v>6</v>
      </c>
      <c r="Q1" s="261"/>
      <c r="R1" s="334"/>
      <c r="S1" s="272"/>
      <c r="T1" s="135"/>
      <c r="U1" s="135"/>
      <c r="V1" s="135"/>
      <c r="W1" s="135"/>
      <c r="X1" s="135"/>
      <c r="Y1" s="135"/>
      <c r="Z1" s="136"/>
    </row>
    <row r="2" spans="1:33"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3" ht="15.75" customHeight="1" x14ac:dyDescent="0.2">
      <c r="A3" s="71" t="s">
        <v>103</v>
      </c>
      <c r="B3" s="144">
        <v>41796</v>
      </c>
      <c r="C3" s="71" t="s">
        <v>29</v>
      </c>
      <c r="D3" s="71" t="s">
        <v>29</v>
      </c>
      <c r="E3" s="71" t="s">
        <v>235</v>
      </c>
      <c r="F3" s="71" t="s">
        <v>235</v>
      </c>
      <c r="G3" s="71" t="s">
        <v>225</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B3" s="96"/>
      <c r="AC3" s="96"/>
      <c r="AD3" s="69" t="s">
        <v>205</v>
      </c>
    </row>
    <row r="4" spans="1:33"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99" t="s">
        <v>90</v>
      </c>
      <c r="AD4" s="31" t="s">
        <v>95</v>
      </c>
      <c r="AE4" s="95" t="s">
        <v>346</v>
      </c>
      <c r="AF4" s="95" t="s">
        <v>347</v>
      </c>
      <c r="AG4" s="95" t="s">
        <v>348</v>
      </c>
    </row>
    <row r="5" spans="1:33" ht="15.75" customHeight="1" x14ac:dyDescent="0.2">
      <c r="A5" s="80" t="s">
        <v>103</v>
      </c>
      <c r="B5" s="185">
        <v>41776</v>
      </c>
      <c r="C5" s="80" t="s">
        <v>105</v>
      </c>
      <c r="D5" s="80" t="s">
        <v>29</v>
      </c>
      <c r="E5" s="198">
        <v>168705192</v>
      </c>
      <c r="F5" s="80" t="s">
        <v>186</v>
      </c>
      <c r="G5" s="80" t="s">
        <v>215</v>
      </c>
      <c r="H5" s="80" t="s">
        <v>29</v>
      </c>
      <c r="I5" s="80" t="s">
        <v>29</v>
      </c>
      <c r="J5" s="80">
        <v>1115</v>
      </c>
      <c r="K5" s="80">
        <v>4</v>
      </c>
      <c r="L5" s="91" t="s">
        <v>29</v>
      </c>
      <c r="M5" s="91" t="s">
        <v>29</v>
      </c>
      <c r="N5" s="80">
        <v>356</v>
      </c>
      <c r="O5" s="80">
        <v>169</v>
      </c>
      <c r="P5" s="145" t="s">
        <v>29</v>
      </c>
      <c r="Q5" s="145" t="s">
        <v>29</v>
      </c>
      <c r="R5" s="145" t="s">
        <v>29</v>
      </c>
      <c r="S5" s="145" t="s">
        <v>29</v>
      </c>
      <c r="T5" s="145" t="s">
        <v>29</v>
      </c>
      <c r="U5" s="80" t="s">
        <v>106</v>
      </c>
      <c r="V5" s="80" t="s">
        <v>107</v>
      </c>
      <c r="W5" s="80" t="s">
        <v>109</v>
      </c>
      <c r="X5" s="145" t="s">
        <v>29</v>
      </c>
      <c r="Y5" s="145" t="s">
        <v>29</v>
      </c>
      <c r="Z5" s="142" t="s">
        <v>29</v>
      </c>
      <c r="AA5" s="65" t="s">
        <v>104</v>
      </c>
      <c r="AB5" s="69" t="s">
        <v>205</v>
      </c>
      <c r="AC5" s="96"/>
      <c r="AD5" s="96"/>
      <c r="AE5" s="69" t="s">
        <v>216</v>
      </c>
      <c r="AF5" s="96">
        <v>48</v>
      </c>
      <c r="AG5" s="96">
        <v>4.5</v>
      </c>
    </row>
    <row r="6" spans="1:33" ht="15.75" customHeight="1" x14ac:dyDescent="0.2">
      <c r="A6" s="131" t="s">
        <v>103</v>
      </c>
      <c r="B6" s="186">
        <v>41799</v>
      </c>
      <c r="C6" s="131"/>
      <c r="D6" s="131"/>
      <c r="E6" s="199"/>
      <c r="F6" s="131" t="s">
        <v>186</v>
      </c>
      <c r="G6" s="131" t="s">
        <v>225</v>
      </c>
      <c r="H6" s="131"/>
      <c r="I6" s="131"/>
      <c r="J6" s="131"/>
      <c r="K6" s="131"/>
      <c r="L6" s="147"/>
      <c r="M6" s="147"/>
      <c r="N6" s="131"/>
      <c r="O6" s="131"/>
      <c r="P6" s="175"/>
      <c r="Q6" s="175"/>
      <c r="R6" s="175"/>
      <c r="S6" s="175"/>
      <c r="T6" s="175"/>
      <c r="U6" s="131"/>
      <c r="V6" s="131"/>
      <c r="W6" s="131"/>
      <c r="X6" s="175"/>
      <c r="Y6" s="175"/>
      <c r="Z6" s="189"/>
      <c r="AA6" s="65"/>
      <c r="AB6" s="96"/>
      <c r="AC6" s="96"/>
      <c r="AD6" s="69" t="s">
        <v>205</v>
      </c>
      <c r="AE6" s="96"/>
      <c r="AF6" s="96"/>
      <c r="AG6" s="96"/>
    </row>
    <row r="7" spans="1:33" ht="16.5" customHeight="1" x14ac:dyDescent="0.2">
      <c r="A7" s="187" t="s">
        <v>33</v>
      </c>
      <c r="B7" s="138" t="s">
        <v>9</v>
      </c>
      <c r="C7" s="169" t="s">
        <v>34</v>
      </c>
      <c r="D7" s="169" t="s">
        <v>35</v>
      </c>
      <c r="E7" s="169" t="s">
        <v>36</v>
      </c>
      <c r="F7" s="169" t="s">
        <v>37</v>
      </c>
      <c r="G7" s="169" t="s">
        <v>38</v>
      </c>
      <c r="H7" s="151" t="s">
        <v>39</v>
      </c>
      <c r="I7" s="153" t="s">
        <v>9</v>
      </c>
      <c r="J7" s="420" t="s">
        <v>40</v>
      </c>
      <c r="K7" s="420"/>
      <c r="L7" s="420" t="s">
        <v>41</v>
      </c>
      <c r="M7" s="420"/>
      <c r="N7" s="420" t="s">
        <v>42</v>
      </c>
      <c r="O7" s="420"/>
      <c r="P7" s="420" t="s">
        <v>43</v>
      </c>
      <c r="Q7" s="420"/>
      <c r="R7" s="74"/>
      <c r="S7" s="421" t="s">
        <v>44</v>
      </c>
      <c r="T7" s="422"/>
      <c r="U7" s="422"/>
      <c r="V7" s="422"/>
      <c r="W7" s="422"/>
      <c r="X7" s="422"/>
      <c r="Y7" s="422"/>
      <c r="Z7" s="336"/>
    </row>
    <row r="8" spans="1:33" ht="15.75" customHeight="1" x14ac:dyDescent="0.2">
      <c r="A8" s="154" t="s">
        <v>45</v>
      </c>
      <c r="B8" s="142"/>
      <c r="C8" s="155">
        <v>41791</v>
      </c>
      <c r="D8" s="155">
        <v>41793</v>
      </c>
      <c r="E8" s="155">
        <v>41795</v>
      </c>
      <c r="F8" s="155">
        <v>41797</v>
      </c>
      <c r="G8" s="156">
        <f>AVERAGE(C8:F8)</f>
        <v>41794</v>
      </c>
      <c r="H8" s="157" t="s">
        <v>46</v>
      </c>
      <c r="I8" s="158"/>
      <c r="J8" s="276" t="s">
        <v>360</v>
      </c>
      <c r="K8" s="267"/>
      <c r="L8" s="346" t="s">
        <v>361</v>
      </c>
      <c r="M8" s="267"/>
      <c r="N8" s="346" t="s">
        <v>364</v>
      </c>
      <c r="O8" s="267"/>
      <c r="P8" s="347" t="s">
        <v>389</v>
      </c>
      <c r="Q8" s="267"/>
      <c r="R8" s="159" t="s">
        <v>47</v>
      </c>
      <c r="S8" s="160"/>
      <c r="T8" s="174">
        <v>4</v>
      </c>
      <c r="U8" s="348" t="s">
        <v>48</v>
      </c>
      <c r="V8" s="348"/>
      <c r="W8" s="348"/>
      <c r="X8" s="349" t="s">
        <v>29</v>
      </c>
      <c r="Y8" s="350"/>
      <c r="Z8" s="351"/>
    </row>
    <row r="9" spans="1:33" ht="15.75" customHeight="1" x14ac:dyDescent="0.2">
      <c r="A9" s="161" t="s">
        <v>49</v>
      </c>
      <c r="B9" s="142" t="s">
        <v>29</v>
      </c>
      <c r="C9" s="142" t="s">
        <v>29</v>
      </c>
      <c r="D9" s="142" t="s">
        <v>29</v>
      </c>
      <c r="E9" s="142" t="s">
        <v>29</v>
      </c>
      <c r="F9" s="142" t="s">
        <v>29</v>
      </c>
      <c r="G9" s="170"/>
      <c r="H9" s="157" t="s">
        <v>50</v>
      </c>
      <c r="I9" s="163">
        <v>41832</v>
      </c>
      <c r="J9" s="364" t="s">
        <v>29</v>
      </c>
      <c r="K9" s="336"/>
      <c r="L9" s="364" t="s">
        <v>29</v>
      </c>
      <c r="M9" s="336"/>
      <c r="N9" s="364" t="s">
        <v>29</v>
      </c>
      <c r="O9" s="336"/>
      <c r="P9" s="364" t="s">
        <v>29</v>
      </c>
      <c r="Q9" s="336"/>
      <c r="R9" s="164" t="s">
        <v>51</v>
      </c>
      <c r="S9" s="165"/>
      <c r="T9" s="174">
        <v>0</v>
      </c>
      <c r="U9" s="342" t="s">
        <v>52</v>
      </c>
      <c r="V9" s="342"/>
      <c r="W9" s="342"/>
      <c r="X9" s="343" t="s">
        <v>29</v>
      </c>
      <c r="Y9" s="344"/>
      <c r="Z9" s="345"/>
    </row>
    <row r="10" spans="1:33" ht="15.75" customHeight="1" x14ac:dyDescent="0.2">
      <c r="A10" s="161" t="s">
        <v>49</v>
      </c>
      <c r="B10" s="142" t="s">
        <v>29</v>
      </c>
      <c r="C10" s="142" t="s">
        <v>29</v>
      </c>
      <c r="D10" s="142" t="s">
        <v>29</v>
      </c>
      <c r="E10" s="142" t="s">
        <v>29</v>
      </c>
      <c r="F10" s="142" t="s">
        <v>29</v>
      </c>
      <c r="G10" s="170"/>
      <c r="H10" s="157" t="s">
        <v>53</v>
      </c>
      <c r="I10" s="166">
        <v>41832</v>
      </c>
      <c r="J10" s="355">
        <v>115</v>
      </c>
      <c r="K10" s="336"/>
      <c r="L10" s="356">
        <v>102</v>
      </c>
      <c r="M10" s="336"/>
      <c r="N10" s="356">
        <v>75</v>
      </c>
      <c r="O10" s="336"/>
      <c r="P10" s="357">
        <v>55</v>
      </c>
      <c r="Q10" s="336"/>
      <c r="R10" s="164" t="s">
        <v>54</v>
      </c>
      <c r="S10" s="165"/>
      <c r="T10" s="174">
        <v>4</v>
      </c>
      <c r="U10" s="342" t="s">
        <v>55</v>
      </c>
      <c r="V10" s="342"/>
      <c r="W10" s="342"/>
      <c r="X10" s="343" t="s">
        <v>29</v>
      </c>
      <c r="Y10" s="344"/>
      <c r="Z10" s="345"/>
    </row>
    <row r="11" spans="1:33" ht="15" customHeight="1" x14ac:dyDescent="0.2">
      <c r="A11" s="161" t="s">
        <v>49</v>
      </c>
      <c r="B11" s="142" t="s">
        <v>29</v>
      </c>
      <c r="C11" s="142" t="s">
        <v>29</v>
      </c>
      <c r="D11" s="142" t="s">
        <v>29</v>
      </c>
      <c r="E11" s="142" t="s">
        <v>29</v>
      </c>
      <c r="F11" s="142" t="s">
        <v>29</v>
      </c>
      <c r="G11" s="170"/>
      <c r="H11" s="157" t="s">
        <v>56</v>
      </c>
      <c r="I11" s="167"/>
      <c r="J11" s="352" t="s">
        <v>29</v>
      </c>
      <c r="K11" s="336"/>
      <c r="L11" s="353" t="s">
        <v>29</v>
      </c>
      <c r="M11" s="336"/>
      <c r="N11" s="353" t="s">
        <v>29</v>
      </c>
      <c r="O11" s="336"/>
      <c r="P11" s="354" t="s">
        <v>29</v>
      </c>
      <c r="Q11" s="336"/>
      <c r="R11" s="164" t="s">
        <v>57</v>
      </c>
      <c r="S11" s="165"/>
      <c r="T11" s="174">
        <v>4</v>
      </c>
      <c r="U11" s="342" t="s">
        <v>58</v>
      </c>
      <c r="V11" s="342"/>
      <c r="W11" s="342"/>
      <c r="X11" s="343" t="s">
        <v>29</v>
      </c>
      <c r="Y11" s="344"/>
      <c r="Z11" s="345"/>
    </row>
    <row r="12" spans="1:33" ht="15" customHeight="1" x14ac:dyDescent="0.2">
      <c r="A12" s="161" t="s">
        <v>49</v>
      </c>
      <c r="B12" s="142" t="s">
        <v>29</v>
      </c>
      <c r="C12" s="142" t="s">
        <v>29</v>
      </c>
      <c r="D12" s="142" t="s">
        <v>29</v>
      </c>
      <c r="E12" s="142" t="s">
        <v>29</v>
      </c>
      <c r="F12" s="142" t="s">
        <v>29</v>
      </c>
      <c r="G12" s="170"/>
      <c r="H12" s="157" t="s">
        <v>59</v>
      </c>
      <c r="I12" s="166">
        <v>41838</v>
      </c>
      <c r="J12" s="364" t="s">
        <v>29</v>
      </c>
      <c r="K12" s="336"/>
      <c r="L12" s="364" t="s">
        <v>29</v>
      </c>
      <c r="M12" s="336"/>
      <c r="N12" s="364" t="s">
        <v>29</v>
      </c>
      <c r="O12" s="336"/>
      <c r="P12" s="364" t="s">
        <v>29</v>
      </c>
      <c r="Q12" s="336"/>
      <c r="R12" s="164" t="s">
        <v>60</v>
      </c>
      <c r="S12" s="165"/>
      <c r="T12" s="174">
        <v>4</v>
      </c>
      <c r="U12" s="342" t="s">
        <v>61</v>
      </c>
      <c r="V12" s="342"/>
      <c r="W12" s="342"/>
      <c r="X12" s="343" t="s">
        <v>29</v>
      </c>
      <c r="Y12" s="344"/>
      <c r="Z12" s="345"/>
    </row>
    <row r="13" spans="1:33" ht="15.75" customHeight="1" x14ac:dyDescent="0.2">
      <c r="A13" s="161" t="s">
        <v>49</v>
      </c>
      <c r="B13" s="142" t="s">
        <v>29</v>
      </c>
      <c r="C13" s="142" t="s">
        <v>29</v>
      </c>
      <c r="D13" s="142" t="s">
        <v>29</v>
      </c>
      <c r="E13" s="142" t="s">
        <v>29</v>
      </c>
      <c r="F13" s="142" t="s">
        <v>29</v>
      </c>
      <c r="G13" s="170"/>
      <c r="H13" s="157" t="s">
        <v>62</v>
      </c>
      <c r="I13" s="166">
        <v>41838</v>
      </c>
      <c r="J13" s="355">
        <v>306</v>
      </c>
      <c r="K13" s="336"/>
      <c r="L13" s="356">
        <v>345</v>
      </c>
      <c r="M13" s="336"/>
      <c r="N13" s="356">
        <v>246</v>
      </c>
      <c r="O13" s="336"/>
      <c r="P13" s="357">
        <v>170</v>
      </c>
      <c r="Q13" s="336"/>
      <c r="R13" s="164" t="s">
        <v>63</v>
      </c>
      <c r="S13" s="165"/>
      <c r="T13" s="168">
        <v>0</v>
      </c>
      <c r="U13" s="398" t="s">
        <v>64</v>
      </c>
      <c r="V13" s="399"/>
      <c r="W13" s="400"/>
      <c r="X13" s="359" t="s">
        <v>29</v>
      </c>
      <c r="Y13" s="360"/>
      <c r="Z13" s="361"/>
    </row>
    <row r="14" spans="1:33" ht="15.75" customHeight="1" x14ac:dyDescent="0.2">
      <c r="A14" s="161" t="s">
        <v>49</v>
      </c>
      <c r="B14" s="142" t="s">
        <v>29</v>
      </c>
      <c r="C14" s="142" t="s">
        <v>29</v>
      </c>
      <c r="D14" s="142" t="s">
        <v>29</v>
      </c>
      <c r="E14" s="142" t="s">
        <v>29</v>
      </c>
      <c r="F14" s="142" t="s">
        <v>29</v>
      </c>
      <c r="G14" s="170"/>
      <c r="H14" s="157" t="s">
        <v>65</v>
      </c>
      <c r="I14" s="167"/>
      <c r="J14" s="352" t="s">
        <v>29</v>
      </c>
      <c r="K14" s="336"/>
      <c r="L14" s="353" t="s">
        <v>29</v>
      </c>
      <c r="M14" s="336"/>
      <c r="N14" s="353" t="s">
        <v>29</v>
      </c>
      <c r="O14" s="336"/>
      <c r="P14" s="354" t="s">
        <v>29</v>
      </c>
      <c r="Q14" s="272"/>
      <c r="R14" s="401" t="s">
        <v>66</v>
      </c>
      <c r="S14" s="402"/>
      <c r="T14" s="402"/>
      <c r="U14" s="402"/>
      <c r="V14" s="402"/>
      <c r="W14" s="402"/>
      <c r="X14" s="402"/>
      <c r="Y14" s="402"/>
      <c r="Z14" s="402"/>
    </row>
    <row r="15" spans="1:33" ht="15.75" customHeight="1" x14ac:dyDescent="0.2">
      <c r="A15" s="161" t="s">
        <v>49</v>
      </c>
      <c r="B15" s="142" t="s">
        <v>29</v>
      </c>
      <c r="C15" s="142" t="s">
        <v>29</v>
      </c>
      <c r="D15" s="142" t="s">
        <v>29</v>
      </c>
      <c r="E15" s="142" t="s">
        <v>29</v>
      </c>
      <c r="F15" s="142" t="s">
        <v>29</v>
      </c>
      <c r="G15" s="170"/>
      <c r="H15" s="157" t="s">
        <v>67</v>
      </c>
      <c r="I15" s="167"/>
      <c r="J15" s="352" t="s">
        <v>29</v>
      </c>
      <c r="K15" s="336"/>
      <c r="L15" s="353" t="s">
        <v>29</v>
      </c>
      <c r="M15" s="336"/>
      <c r="N15" s="353" t="s">
        <v>29</v>
      </c>
      <c r="O15" s="336"/>
      <c r="P15" s="354" t="s">
        <v>29</v>
      </c>
      <c r="Q15" s="272"/>
      <c r="R15" s="404"/>
      <c r="S15" s="405"/>
      <c r="T15" s="405"/>
      <c r="U15" s="405"/>
      <c r="V15" s="405"/>
      <c r="W15" s="405"/>
      <c r="X15" s="405"/>
      <c r="Y15" s="405"/>
      <c r="Z15" s="405"/>
    </row>
    <row r="16" spans="1:33" ht="15.75" customHeight="1" x14ac:dyDescent="0.2">
      <c r="A16" s="161" t="s">
        <v>49</v>
      </c>
      <c r="B16" s="142" t="s">
        <v>29</v>
      </c>
      <c r="C16" s="142" t="s">
        <v>29</v>
      </c>
      <c r="D16" s="142" t="s">
        <v>29</v>
      </c>
      <c r="E16" s="142" t="s">
        <v>29</v>
      </c>
      <c r="F16" s="142" t="s">
        <v>29</v>
      </c>
      <c r="G16" s="170"/>
      <c r="H16" s="157" t="s">
        <v>68</v>
      </c>
      <c r="I16" s="167"/>
      <c r="J16" s="352" t="s">
        <v>29</v>
      </c>
      <c r="K16" s="336"/>
      <c r="L16" s="353" t="s">
        <v>29</v>
      </c>
      <c r="M16" s="336"/>
      <c r="N16" s="353" t="s">
        <v>29</v>
      </c>
      <c r="O16" s="336"/>
      <c r="P16" s="363" t="s">
        <v>29</v>
      </c>
      <c r="Q16" s="293"/>
      <c r="R16" s="305" t="s">
        <v>402</v>
      </c>
      <c r="S16" s="305"/>
      <c r="T16" s="305"/>
      <c r="U16" s="305"/>
      <c r="V16" s="305"/>
      <c r="W16" s="305"/>
      <c r="X16" s="305"/>
      <c r="Y16" s="305"/>
      <c r="Z16" s="306"/>
    </row>
    <row r="17" spans="1:26" ht="15.75" customHeight="1" x14ac:dyDescent="0.2">
      <c r="A17" s="171" t="s">
        <v>69</v>
      </c>
      <c r="B17" s="142"/>
      <c r="C17" s="155" t="s">
        <v>408</v>
      </c>
      <c r="D17" s="155" t="s">
        <v>408</v>
      </c>
      <c r="E17" s="155" t="s">
        <v>408</v>
      </c>
      <c r="F17" s="155" t="s">
        <v>408</v>
      </c>
      <c r="G17" s="156" t="e">
        <f>AVERAGE(C17:F17)</f>
        <v>#DIV/0!</v>
      </c>
      <c r="H17" s="157" t="s">
        <v>70</v>
      </c>
      <c r="I17" s="166">
        <v>41844</v>
      </c>
      <c r="J17" s="364" t="s">
        <v>29</v>
      </c>
      <c r="K17" s="336"/>
      <c r="L17" s="364" t="s">
        <v>29</v>
      </c>
      <c r="M17" s="336"/>
      <c r="N17" s="364" t="s">
        <v>29</v>
      </c>
      <c r="O17" s="336"/>
      <c r="P17" s="364" t="s">
        <v>29</v>
      </c>
      <c r="Q17" s="336"/>
      <c r="R17" s="307"/>
      <c r="S17" s="307"/>
      <c r="T17" s="307"/>
      <c r="U17" s="307"/>
      <c r="V17" s="307"/>
      <c r="W17" s="307"/>
      <c r="X17" s="307"/>
      <c r="Y17" s="307"/>
      <c r="Z17" s="308"/>
    </row>
    <row r="18" spans="1:26" ht="15.75" customHeight="1" x14ac:dyDescent="0.2">
      <c r="A18" s="338" t="s">
        <v>71</v>
      </c>
      <c r="B18" s="368"/>
      <c r="C18" s="172" t="e">
        <f>C17-C8</f>
        <v>#VALUE!</v>
      </c>
      <c r="D18" s="172" t="e">
        <f>D17-D8</f>
        <v>#VALUE!</v>
      </c>
      <c r="E18" s="172" t="e">
        <f>E17-E8</f>
        <v>#VALUE!</v>
      </c>
      <c r="F18" s="172" t="e">
        <f>F17-F8</f>
        <v>#VALUE!</v>
      </c>
      <c r="G18" s="173" t="e">
        <f>AVERAGE(C18:E18)</f>
        <v>#VALUE!</v>
      </c>
      <c r="H18" s="157" t="s">
        <v>72</v>
      </c>
      <c r="I18" s="166">
        <v>41844</v>
      </c>
      <c r="J18" s="357">
        <v>509</v>
      </c>
      <c r="K18" s="336"/>
      <c r="L18" s="356">
        <v>572</v>
      </c>
      <c r="M18" s="336"/>
      <c r="N18" s="366">
        <v>423</v>
      </c>
      <c r="O18" s="272"/>
      <c r="P18" s="367">
        <v>475</v>
      </c>
      <c r="Q18" s="261"/>
      <c r="R18" s="307"/>
      <c r="S18" s="307"/>
      <c r="T18" s="307"/>
      <c r="U18" s="307"/>
      <c r="V18" s="307"/>
      <c r="W18" s="307"/>
      <c r="X18" s="307"/>
      <c r="Y18" s="307"/>
      <c r="Z18" s="308"/>
    </row>
    <row r="19" spans="1:26" ht="15.75" customHeight="1" x14ac:dyDescent="0.2">
      <c r="A19" s="340" t="s">
        <v>73</v>
      </c>
      <c r="B19" s="340"/>
      <c r="C19" s="339" t="s">
        <v>40</v>
      </c>
      <c r="D19" s="339" t="s">
        <v>41</v>
      </c>
      <c r="E19" s="339" t="s">
        <v>42</v>
      </c>
      <c r="F19" s="339" t="s">
        <v>43</v>
      </c>
      <c r="G19" s="339" t="s">
        <v>38</v>
      </c>
      <c r="H19" s="167" t="s">
        <v>78</v>
      </c>
      <c r="I19" s="167"/>
      <c r="J19" s="354" t="s">
        <v>29</v>
      </c>
      <c r="K19" s="336"/>
      <c r="L19" s="353" t="s">
        <v>29</v>
      </c>
      <c r="M19" s="336"/>
      <c r="N19" s="370" t="s">
        <v>29</v>
      </c>
      <c r="O19" s="272"/>
      <c r="P19" s="371" t="s">
        <v>29</v>
      </c>
      <c r="Q19" s="261"/>
      <c r="R19" s="307"/>
      <c r="S19" s="307"/>
      <c r="T19" s="307"/>
      <c r="U19" s="307"/>
      <c r="V19" s="307"/>
      <c r="W19" s="307"/>
      <c r="X19" s="307"/>
      <c r="Y19" s="307"/>
      <c r="Z19" s="308"/>
    </row>
    <row r="20" spans="1:26" ht="15" customHeight="1" x14ac:dyDescent="0.2">
      <c r="A20" s="369"/>
      <c r="B20" s="369"/>
      <c r="C20" s="261"/>
      <c r="D20" s="261"/>
      <c r="E20" s="261"/>
      <c r="F20" s="261"/>
      <c r="G20" s="261"/>
      <c r="H20" s="167" t="s">
        <v>67</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79</v>
      </c>
      <c r="B21" s="373"/>
      <c r="C21" s="122" t="s">
        <v>444</v>
      </c>
      <c r="D21" s="122" t="s">
        <v>444</v>
      </c>
      <c r="E21" s="122" t="s">
        <v>444</v>
      </c>
      <c r="F21" s="122" t="s">
        <v>444</v>
      </c>
      <c r="G21" s="122" t="s">
        <v>29</v>
      </c>
      <c r="H21" s="157" t="s">
        <v>68</v>
      </c>
      <c r="I21" s="167"/>
      <c r="J21" s="354" t="s">
        <v>29</v>
      </c>
      <c r="K21" s="336"/>
      <c r="L21" s="353" t="s">
        <v>29</v>
      </c>
      <c r="M21" s="336"/>
      <c r="N21" s="370" t="s">
        <v>29</v>
      </c>
      <c r="O21" s="272"/>
      <c r="P21" s="371" t="s">
        <v>29</v>
      </c>
      <c r="Q21" s="261"/>
      <c r="R21" s="307"/>
      <c r="S21" s="307"/>
      <c r="T21" s="307"/>
      <c r="U21" s="307"/>
      <c r="V21" s="307"/>
      <c r="W21" s="307"/>
      <c r="X21" s="307"/>
      <c r="Y21" s="307"/>
      <c r="Z21" s="308"/>
    </row>
    <row r="22" spans="1:26" ht="15.75" customHeight="1" x14ac:dyDescent="0.2">
      <c r="A22" s="372" t="s">
        <v>46</v>
      </c>
      <c r="B22" s="373"/>
      <c r="C22" s="66" t="s">
        <v>354</v>
      </c>
      <c r="D22" s="66" t="s">
        <v>355</v>
      </c>
      <c r="E22" s="66" t="s">
        <v>356</v>
      </c>
      <c r="F22" s="66" t="s">
        <v>407</v>
      </c>
      <c r="G22" s="71" t="s">
        <v>29</v>
      </c>
      <c r="H22" s="176" t="s">
        <v>80</v>
      </c>
      <c r="I22" s="163">
        <v>41853</v>
      </c>
      <c r="J22" s="364" t="s">
        <v>29</v>
      </c>
      <c r="K22" s="336"/>
      <c r="L22" s="364" t="s">
        <v>29</v>
      </c>
      <c r="M22" s="336"/>
      <c r="N22" s="364" t="s">
        <v>29</v>
      </c>
      <c r="O22" s="336"/>
      <c r="P22" s="364" t="s">
        <v>29</v>
      </c>
      <c r="Q22" s="336"/>
      <c r="R22" s="307"/>
      <c r="S22" s="307"/>
      <c r="T22" s="307"/>
      <c r="U22" s="307"/>
      <c r="V22" s="307"/>
      <c r="W22" s="307"/>
      <c r="X22" s="307"/>
      <c r="Y22" s="307"/>
      <c r="Z22" s="308"/>
    </row>
    <row r="23" spans="1:26" ht="15.75" customHeight="1" x14ac:dyDescent="0.2">
      <c r="A23" s="372" t="s">
        <v>81</v>
      </c>
      <c r="B23" s="373"/>
      <c r="C23" s="200">
        <v>41853</v>
      </c>
      <c r="D23" s="200">
        <v>41853</v>
      </c>
      <c r="E23" s="200">
        <v>41853</v>
      </c>
      <c r="F23" s="200">
        <v>41853</v>
      </c>
      <c r="G23" s="174" t="s">
        <v>29</v>
      </c>
      <c r="H23" s="178" t="s">
        <v>82</v>
      </c>
      <c r="I23" s="163">
        <v>41853</v>
      </c>
      <c r="J23" s="357">
        <v>735</v>
      </c>
      <c r="K23" s="336"/>
      <c r="L23" s="356">
        <v>781</v>
      </c>
      <c r="M23" s="336"/>
      <c r="N23" s="366">
        <v>705</v>
      </c>
      <c r="O23" s="272"/>
      <c r="P23" s="367">
        <v>675</v>
      </c>
      <c r="Q23" s="261"/>
      <c r="R23" s="307"/>
      <c r="S23" s="307"/>
      <c r="T23" s="307"/>
      <c r="U23" s="307"/>
      <c r="V23" s="307"/>
      <c r="W23" s="307"/>
      <c r="X23" s="307"/>
      <c r="Y23" s="307"/>
      <c r="Z23" s="308"/>
    </row>
    <row r="24" spans="1:26" ht="15.75" customHeight="1" x14ac:dyDescent="0.2">
      <c r="A24" s="372" t="s">
        <v>12</v>
      </c>
      <c r="B24" s="373"/>
      <c r="C24" s="25">
        <v>168705284</v>
      </c>
      <c r="D24" s="71">
        <v>168705285</v>
      </c>
      <c r="E24" s="71">
        <v>168705286</v>
      </c>
      <c r="F24" s="71">
        <v>168705287</v>
      </c>
      <c r="G24" s="174" t="s">
        <v>29</v>
      </c>
      <c r="H24" s="178" t="s">
        <v>83</v>
      </c>
      <c r="I24" s="167"/>
      <c r="J24" s="354" t="s">
        <v>29</v>
      </c>
      <c r="K24" s="336"/>
      <c r="L24" s="372" t="s">
        <v>29</v>
      </c>
      <c r="M24" s="336"/>
      <c r="N24" s="380" t="s">
        <v>29</v>
      </c>
      <c r="O24" s="272"/>
      <c r="P24" s="371" t="s">
        <v>29</v>
      </c>
      <c r="Q24" s="261"/>
      <c r="R24" s="307"/>
      <c r="S24" s="307"/>
      <c r="T24" s="307"/>
      <c r="U24" s="307"/>
      <c r="V24" s="307"/>
      <c r="W24" s="307"/>
      <c r="X24" s="307"/>
      <c r="Y24" s="307"/>
      <c r="Z24" s="308"/>
    </row>
    <row r="25" spans="1:26" ht="15.75" customHeight="1" x14ac:dyDescent="0.2">
      <c r="A25" s="372" t="s">
        <v>84</v>
      </c>
      <c r="B25" s="373"/>
      <c r="C25" s="71" t="s">
        <v>398</v>
      </c>
      <c r="D25" s="71" t="s">
        <v>398</v>
      </c>
      <c r="E25" s="71" t="s">
        <v>398</v>
      </c>
      <c r="F25" s="71" t="s">
        <v>398</v>
      </c>
      <c r="G25" s="174" t="s">
        <v>29</v>
      </c>
      <c r="H25" s="178" t="s">
        <v>67</v>
      </c>
      <c r="I25" s="167"/>
      <c r="J25" s="354" t="s">
        <v>29</v>
      </c>
      <c r="K25" s="336"/>
      <c r="L25" s="372" t="s">
        <v>29</v>
      </c>
      <c r="M25" s="336"/>
      <c r="N25" s="380" t="s">
        <v>29</v>
      </c>
      <c r="O25" s="272"/>
      <c r="P25" s="371" t="s">
        <v>29</v>
      </c>
      <c r="Q25" s="261"/>
      <c r="R25" s="307"/>
      <c r="S25" s="307"/>
      <c r="T25" s="307"/>
      <c r="U25" s="307"/>
      <c r="V25" s="307"/>
      <c r="W25" s="307"/>
      <c r="X25" s="307"/>
      <c r="Y25" s="307"/>
      <c r="Z25" s="308"/>
    </row>
    <row r="26" spans="1:26" ht="15.75" customHeight="1" x14ac:dyDescent="0.2">
      <c r="A26" s="372" t="s">
        <v>11</v>
      </c>
      <c r="B26" s="373"/>
      <c r="C26" s="25" t="s">
        <v>410</v>
      </c>
      <c r="D26" s="71" t="s">
        <v>410</v>
      </c>
      <c r="E26" s="71" t="s">
        <v>410</v>
      </c>
      <c r="F26" s="71" t="s">
        <v>410</v>
      </c>
      <c r="G26" s="174" t="s">
        <v>29</v>
      </c>
      <c r="H26" s="178" t="s">
        <v>68</v>
      </c>
      <c r="I26" s="167"/>
      <c r="J26" s="354" t="s">
        <v>29</v>
      </c>
      <c r="K26" s="336"/>
      <c r="L26" s="372" t="s">
        <v>29</v>
      </c>
      <c r="M26" s="336"/>
      <c r="N26" s="380" t="s">
        <v>29</v>
      </c>
      <c r="O26" s="272"/>
      <c r="P26" s="371" t="s">
        <v>29</v>
      </c>
      <c r="Q26" s="261"/>
      <c r="R26" s="307"/>
      <c r="S26" s="307"/>
      <c r="T26" s="307"/>
      <c r="U26" s="307"/>
      <c r="V26" s="307"/>
      <c r="W26" s="307"/>
      <c r="X26" s="307"/>
      <c r="Y26" s="307"/>
      <c r="Z26" s="308"/>
    </row>
    <row r="27" spans="1:26" ht="15.75" customHeight="1" x14ac:dyDescent="0.2">
      <c r="A27" s="374" t="s">
        <v>85</v>
      </c>
      <c r="B27" s="375"/>
      <c r="C27" s="71" t="s">
        <v>410</v>
      </c>
      <c r="D27" s="71" t="s">
        <v>410</v>
      </c>
      <c r="E27" s="71" t="s">
        <v>410</v>
      </c>
      <c r="F27" s="71" t="s">
        <v>410</v>
      </c>
      <c r="G27" s="174" t="s">
        <v>29</v>
      </c>
      <c r="H27" s="178" t="s">
        <v>86</v>
      </c>
      <c r="I27" s="167"/>
      <c r="J27" s="354" t="s">
        <v>29</v>
      </c>
      <c r="K27" s="336"/>
      <c r="L27" s="372" t="s">
        <v>29</v>
      </c>
      <c r="M27" s="336"/>
      <c r="N27" s="380" t="s">
        <v>29</v>
      </c>
      <c r="O27" s="272"/>
      <c r="P27" s="371" t="s">
        <v>29</v>
      </c>
      <c r="Q27" s="261"/>
      <c r="R27" s="307"/>
      <c r="S27" s="307"/>
      <c r="T27" s="307"/>
      <c r="U27" s="307"/>
      <c r="V27" s="307"/>
      <c r="W27" s="307"/>
      <c r="X27" s="307"/>
      <c r="Y27" s="307"/>
      <c r="Z27" s="308"/>
    </row>
    <row r="28" spans="1:26" ht="15.75" customHeight="1" x14ac:dyDescent="0.2">
      <c r="A28" s="378" t="s">
        <v>87</v>
      </c>
      <c r="B28" s="379"/>
      <c r="C28" s="71" t="s">
        <v>410</v>
      </c>
      <c r="D28" s="71" t="s">
        <v>410</v>
      </c>
      <c r="E28" s="71" t="s">
        <v>410</v>
      </c>
      <c r="F28" s="71" t="s">
        <v>410</v>
      </c>
      <c r="G28" s="174" t="s">
        <v>29</v>
      </c>
      <c r="H28" s="178" t="s">
        <v>88</v>
      </c>
      <c r="I28" s="167"/>
      <c r="J28" s="354" t="s">
        <v>29</v>
      </c>
      <c r="K28" s="336"/>
      <c r="L28" s="372" t="s">
        <v>29</v>
      </c>
      <c r="M28" s="336"/>
      <c r="N28" s="380" t="s">
        <v>29</v>
      </c>
      <c r="O28" s="272"/>
      <c r="P28" s="371" t="s">
        <v>29</v>
      </c>
      <c r="Q28" s="261"/>
      <c r="R28" s="307"/>
      <c r="S28" s="307"/>
      <c r="T28" s="307"/>
      <c r="U28" s="307"/>
      <c r="V28" s="307"/>
      <c r="W28" s="307"/>
      <c r="X28" s="307"/>
      <c r="Y28" s="307"/>
      <c r="Z28" s="308"/>
    </row>
    <row r="29" spans="1:26" ht="15.75" customHeight="1" x14ac:dyDescent="0.2">
      <c r="A29" s="61"/>
      <c r="B29" s="7"/>
      <c r="C29" s="4"/>
      <c r="D29" s="4"/>
      <c r="E29" s="4"/>
      <c r="F29" s="4"/>
      <c r="G29" s="4"/>
      <c r="H29" s="46"/>
      <c r="I29" s="4"/>
      <c r="J29" s="4"/>
      <c r="K29" s="4"/>
      <c r="L29" s="4"/>
      <c r="M29" s="4"/>
      <c r="N29" s="4"/>
      <c r="O29" s="4"/>
      <c r="P29" s="46"/>
      <c r="Q29" s="46"/>
      <c r="R29" s="53"/>
      <c r="S29" s="30"/>
      <c r="T29" s="4"/>
      <c r="U29" s="4"/>
      <c r="V29" s="4"/>
      <c r="W29" s="26"/>
      <c r="X29" s="4"/>
      <c r="Y29" s="4"/>
      <c r="Z29" s="4"/>
    </row>
  </sheetData>
  <mergeCells count="128">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 ref="A28:B28"/>
    <mergeCell ref="J28:K28"/>
    <mergeCell ref="L28:M28"/>
    <mergeCell ref="N28:O28"/>
    <mergeCell ref="P28:Q28"/>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23:B23"/>
    <mergeCell ref="J23:K23"/>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Z28"/>
    <mergeCell ref="J17:K17"/>
    <mergeCell ref="L17:M17"/>
    <mergeCell ref="N17:O17"/>
    <mergeCell ref="P17:Q17"/>
    <mergeCell ref="L23:M23"/>
    <mergeCell ref="N23:O23"/>
    <mergeCell ref="P23:Q23"/>
    <mergeCell ref="J14:K14"/>
    <mergeCell ref="L14:M14"/>
    <mergeCell ref="N14:O14"/>
    <mergeCell ref="P14:Q14"/>
    <mergeCell ref="R14:Z15"/>
    <mergeCell ref="J15:K15"/>
    <mergeCell ref="L15:M15"/>
    <mergeCell ref="N15:O15"/>
    <mergeCell ref="P15:Q15"/>
    <mergeCell ref="J13:K13"/>
    <mergeCell ref="L13:M13"/>
    <mergeCell ref="N13:O13"/>
    <mergeCell ref="P13:Q13"/>
    <mergeCell ref="U13:W13"/>
    <mergeCell ref="X13:Z13"/>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7:K7"/>
    <mergeCell ref="L7:M7"/>
    <mergeCell ref="N7:O7"/>
    <mergeCell ref="P7:Q7"/>
    <mergeCell ref="S7:Z7"/>
    <mergeCell ref="J9:K9"/>
    <mergeCell ref="L9:M9"/>
    <mergeCell ref="N9:O9"/>
    <mergeCell ref="P9:Q9"/>
    <mergeCell ref="U9:W9"/>
    <mergeCell ref="X9:Z9"/>
    <mergeCell ref="J8:K8"/>
    <mergeCell ref="L8:M8"/>
    <mergeCell ref="N8:O8"/>
    <mergeCell ref="P8:Q8"/>
    <mergeCell ref="U8:W8"/>
    <mergeCell ref="X8:Z8"/>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64</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172</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29"/>
  <sheetViews>
    <sheetView workbookViewId="0">
      <selection activeCell="Q31" sqref="Q31"/>
    </sheetView>
  </sheetViews>
  <sheetFormatPr defaultColWidth="11.85546875" defaultRowHeight="18" customHeight="1" x14ac:dyDescent="0.2"/>
  <cols>
    <col min="1" max="1" width="9.140625" style="25" customWidth="1"/>
    <col min="2" max="2" width="8.140625" style="25" bestFit="1" customWidth="1"/>
    <col min="3" max="3" width="13" style="25" bestFit="1" customWidth="1"/>
    <col min="4" max="4" width="6.85546875" style="25" customWidth="1"/>
    <col min="5" max="5" width="9.28515625" style="25" bestFit="1"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59" ht="12.75" x14ac:dyDescent="0.2">
      <c r="A1" s="132" t="s">
        <v>0</v>
      </c>
      <c r="B1" s="235">
        <v>2014</v>
      </c>
      <c r="C1" s="132" t="s">
        <v>1</v>
      </c>
      <c r="D1" s="235"/>
      <c r="E1" s="132" t="s">
        <v>2</v>
      </c>
      <c r="F1" s="235">
        <v>65</v>
      </c>
      <c r="G1" s="241" t="s">
        <v>3</v>
      </c>
      <c r="H1" s="235" t="s">
        <v>4</v>
      </c>
      <c r="I1" s="329" t="s">
        <v>5</v>
      </c>
      <c r="J1" s="261"/>
      <c r="K1" s="262"/>
      <c r="L1" s="261"/>
      <c r="M1" s="261"/>
      <c r="N1" s="261"/>
      <c r="O1" s="261"/>
      <c r="P1" s="333" t="s">
        <v>6</v>
      </c>
      <c r="Q1" s="261"/>
      <c r="R1" s="334"/>
      <c r="S1" s="272"/>
      <c r="T1" s="135"/>
      <c r="U1" s="135"/>
      <c r="V1" s="135"/>
      <c r="W1" s="135"/>
      <c r="X1" s="135"/>
      <c r="Y1" s="135"/>
      <c r="Z1" s="136"/>
    </row>
    <row r="2" spans="1:59"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59" ht="15.75" customHeight="1" x14ac:dyDescent="0.2">
      <c r="A3" s="71" t="s">
        <v>103</v>
      </c>
      <c r="B3" s="144">
        <v>41799</v>
      </c>
      <c r="C3" s="71" t="s">
        <v>29</v>
      </c>
      <c r="D3" s="71" t="s">
        <v>29</v>
      </c>
      <c r="E3" s="71" t="s">
        <v>235</v>
      </c>
      <c r="F3" s="71" t="s">
        <v>235</v>
      </c>
      <c r="G3" s="71" t="s">
        <v>225</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B3" s="96"/>
      <c r="AC3" s="96"/>
      <c r="AD3" s="69" t="s">
        <v>205</v>
      </c>
    </row>
    <row r="4" spans="1:59"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99" t="s">
        <v>90</v>
      </c>
      <c r="AD4" s="31" t="s">
        <v>95</v>
      </c>
      <c r="AE4" s="95" t="s">
        <v>346</v>
      </c>
      <c r="AF4" s="95" t="s">
        <v>347</v>
      </c>
      <c r="AG4" s="95" t="s">
        <v>348</v>
      </c>
    </row>
    <row r="5" spans="1:59" ht="15.75" customHeight="1" x14ac:dyDescent="0.2">
      <c r="A5" s="80" t="s">
        <v>103</v>
      </c>
      <c r="B5" s="185">
        <v>41781</v>
      </c>
      <c r="C5" s="80" t="s">
        <v>179</v>
      </c>
      <c r="D5" s="80" t="s">
        <v>29</v>
      </c>
      <c r="E5" s="80" t="s">
        <v>139</v>
      </c>
      <c r="F5" s="80" t="s">
        <v>140</v>
      </c>
      <c r="G5" s="80" t="s">
        <v>215</v>
      </c>
      <c r="H5" s="80" t="s">
        <v>29</v>
      </c>
      <c r="I5" s="80" t="s">
        <v>29</v>
      </c>
      <c r="J5" s="80">
        <v>965</v>
      </c>
      <c r="K5" s="80">
        <v>5</v>
      </c>
      <c r="L5" s="91" t="s">
        <v>29</v>
      </c>
      <c r="M5" s="91"/>
      <c r="N5" s="80">
        <v>353</v>
      </c>
      <c r="O5" s="80">
        <v>165</v>
      </c>
      <c r="P5" s="145" t="s">
        <v>29</v>
      </c>
      <c r="Q5" s="145" t="s">
        <v>29</v>
      </c>
      <c r="R5" s="145" t="s">
        <v>29</v>
      </c>
      <c r="S5" s="145" t="s">
        <v>29</v>
      </c>
      <c r="T5" s="145" t="s">
        <v>29</v>
      </c>
      <c r="U5" s="80" t="s">
        <v>4</v>
      </c>
      <c r="V5" s="80" t="s">
        <v>141</v>
      </c>
      <c r="W5" s="80" t="s">
        <v>142</v>
      </c>
      <c r="X5" s="145" t="s">
        <v>29</v>
      </c>
      <c r="Y5" s="145" t="s">
        <v>29</v>
      </c>
      <c r="Z5" s="145" t="s">
        <v>29</v>
      </c>
      <c r="AA5" s="67">
        <v>0.66666666666666663</v>
      </c>
      <c r="AB5" s="69" t="s">
        <v>205</v>
      </c>
      <c r="AC5" s="96"/>
      <c r="AD5" s="96"/>
      <c r="AE5" s="69" t="s">
        <v>216</v>
      </c>
      <c r="AF5" s="96">
        <v>40</v>
      </c>
      <c r="AG5" s="96">
        <v>4.8</v>
      </c>
    </row>
    <row r="6" spans="1:59" s="78" customFormat="1" ht="15.75" customHeight="1" x14ac:dyDescent="0.2">
      <c r="A6" s="238" t="s">
        <v>103</v>
      </c>
      <c r="B6" s="186"/>
      <c r="C6" s="238"/>
      <c r="D6" s="238"/>
      <c r="E6" s="238"/>
      <c r="F6" s="92" t="s">
        <v>282</v>
      </c>
      <c r="G6" s="238" t="s">
        <v>225</v>
      </c>
      <c r="H6" s="238"/>
      <c r="I6" s="238"/>
      <c r="J6" s="238"/>
      <c r="K6" s="238"/>
      <c r="L6" s="147"/>
      <c r="M6" s="147"/>
      <c r="N6" s="238"/>
      <c r="O6" s="238"/>
      <c r="P6" s="236"/>
      <c r="Q6" s="236"/>
      <c r="R6" s="236"/>
      <c r="S6" s="236"/>
      <c r="T6" s="236"/>
      <c r="U6" s="238"/>
      <c r="V6" s="238"/>
      <c r="W6" s="238"/>
      <c r="X6" s="236"/>
      <c r="Y6" s="236"/>
      <c r="Z6" s="243"/>
      <c r="AA6" s="83"/>
      <c r="AB6" s="100"/>
      <c r="AC6" s="100"/>
      <c r="AD6" s="97" t="s">
        <v>205</v>
      </c>
      <c r="AE6" s="100"/>
      <c r="AF6" s="100"/>
      <c r="AG6" s="100"/>
      <c r="AH6" s="79"/>
      <c r="AI6" s="79"/>
      <c r="AJ6" s="79"/>
      <c r="AK6" s="79"/>
      <c r="AL6" s="79"/>
      <c r="AM6" s="79"/>
      <c r="AN6" s="79"/>
      <c r="AO6" s="79"/>
      <c r="AP6" s="79"/>
      <c r="AQ6" s="79"/>
      <c r="AR6" s="79"/>
      <c r="AS6" s="79"/>
      <c r="AT6" s="79"/>
      <c r="AU6" s="79"/>
      <c r="AV6" s="79"/>
      <c r="AW6" s="79"/>
      <c r="AX6" s="79"/>
      <c r="AY6" s="79"/>
      <c r="AZ6" s="79"/>
      <c r="BA6" s="79"/>
      <c r="BB6" s="79"/>
      <c r="BC6" s="79"/>
      <c r="BD6" s="79"/>
      <c r="BE6" s="79"/>
      <c r="BF6" s="79"/>
      <c r="BG6" s="79"/>
    </row>
    <row r="7" spans="1:59" ht="16.5" customHeight="1" x14ac:dyDescent="0.2">
      <c r="A7" s="187" t="s">
        <v>33</v>
      </c>
      <c r="B7" s="138" t="s">
        <v>9</v>
      </c>
      <c r="C7" s="244" t="s">
        <v>34</v>
      </c>
      <c r="D7" s="244" t="s">
        <v>35</v>
      </c>
      <c r="E7" s="244" t="s">
        <v>36</v>
      </c>
      <c r="F7" s="244" t="s">
        <v>37</v>
      </c>
      <c r="G7" s="244" t="s">
        <v>38</v>
      </c>
      <c r="H7" s="151" t="s">
        <v>39</v>
      </c>
      <c r="I7" s="242" t="s">
        <v>9</v>
      </c>
      <c r="J7" s="420" t="s">
        <v>40</v>
      </c>
      <c r="K7" s="420"/>
      <c r="L7" s="420" t="s">
        <v>41</v>
      </c>
      <c r="M7" s="420"/>
      <c r="N7" s="420" t="s">
        <v>42</v>
      </c>
      <c r="O7" s="420"/>
      <c r="P7" s="420" t="s">
        <v>43</v>
      </c>
      <c r="Q7" s="420"/>
      <c r="R7" s="74"/>
      <c r="S7" s="421" t="s">
        <v>44</v>
      </c>
      <c r="T7" s="422"/>
      <c r="U7" s="422"/>
      <c r="V7" s="422"/>
      <c r="W7" s="422"/>
      <c r="X7" s="422"/>
      <c r="Y7" s="422"/>
      <c r="Z7" s="267"/>
    </row>
    <row r="8" spans="1:59" ht="15.75" customHeight="1" x14ac:dyDescent="0.2">
      <c r="A8" s="154" t="s">
        <v>45</v>
      </c>
      <c r="B8" s="142"/>
      <c r="C8" s="155">
        <v>41796</v>
      </c>
      <c r="D8" s="155">
        <v>41798</v>
      </c>
      <c r="E8" s="155">
        <v>41800</v>
      </c>
      <c r="F8" s="155"/>
      <c r="G8" s="156">
        <f>AVERAGE(C8:F8)</f>
        <v>41798</v>
      </c>
      <c r="H8" s="157" t="s">
        <v>46</v>
      </c>
      <c r="I8" s="158"/>
      <c r="J8" s="276" t="s">
        <v>360</v>
      </c>
      <c r="K8" s="267"/>
      <c r="L8" s="346" t="s">
        <v>361</v>
      </c>
      <c r="M8" s="267"/>
      <c r="N8" s="346" t="s">
        <v>29</v>
      </c>
      <c r="O8" s="267"/>
      <c r="P8" s="347" t="s">
        <v>29</v>
      </c>
      <c r="Q8" s="267"/>
      <c r="R8" s="159" t="s">
        <v>47</v>
      </c>
      <c r="S8" s="160"/>
      <c r="T8" s="237">
        <v>3</v>
      </c>
      <c r="U8" s="348" t="s">
        <v>48</v>
      </c>
      <c r="V8" s="348"/>
      <c r="W8" s="348"/>
      <c r="X8" s="349" t="s">
        <v>29</v>
      </c>
      <c r="Y8" s="350"/>
      <c r="Z8" s="351"/>
    </row>
    <row r="9" spans="1:59" ht="15.75" customHeight="1" x14ac:dyDescent="0.2">
      <c r="A9" s="161" t="s">
        <v>49</v>
      </c>
      <c r="B9" s="142" t="s">
        <v>29</v>
      </c>
      <c r="C9" s="142" t="s">
        <v>29</v>
      </c>
      <c r="D9" s="142" t="s">
        <v>29</v>
      </c>
      <c r="E9" s="142" t="s">
        <v>29</v>
      </c>
      <c r="F9" s="142" t="s">
        <v>29</v>
      </c>
      <c r="G9" s="239"/>
      <c r="H9" s="157" t="s">
        <v>50</v>
      </c>
      <c r="I9" s="163">
        <v>41840</v>
      </c>
      <c r="J9" s="341">
        <f>IF(((I9-C17)&gt;0),(I9-C17),"/")</f>
        <v>41840</v>
      </c>
      <c r="K9" s="336"/>
      <c r="L9" s="341">
        <f>IF(((I9-D17)&gt;0),(I9-D17),"/")</f>
        <v>41840</v>
      </c>
      <c r="M9" s="336"/>
      <c r="N9" s="341">
        <f>IF(((I9-E17)&gt;0),(I9-E17),"/")</f>
        <v>41840</v>
      </c>
      <c r="O9" s="336"/>
      <c r="P9" s="341">
        <f>IF(((I9-F17)&gt;0),(I9-F17),"/")</f>
        <v>41840</v>
      </c>
      <c r="Q9" s="336"/>
      <c r="R9" s="164" t="s">
        <v>51</v>
      </c>
      <c r="S9" s="165"/>
      <c r="T9" s="237" t="s">
        <v>408</v>
      </c>
      <c r="U9" s="342" t="s">
        <v>52</v>
      </c>
      <c r="V9" s="342"/>
      <c r="W9" s="342"/>
      <c r="X9" s="343" t="s">
        <v>29</v>
      </c>
      <c r="Y9" s="344"/>
      <c r="Z9" s="345"/>
    </row>
    <row r="10" spans="1:59" ht="15.75" customHeight="1" x14ac:dyDescent="0.2">
      <c r="A10" s="161" t="s">
        <v>49</v>
      </c>
      <c r="B10" s="142" t="s">
        <v>29</v>
      </c>
      <c r="C10" s="142" t="s">
        <v>29</v>
      </c>
      <c r="D10" s="142" t="s">
        <v>29</v>
      </c>
      <c r="E10" s="142" t="s">
        <v>29</v>
      </c>
      <c r="F10" s="142" t="s">
        <v>29</v>
      </c>
      <c r="G10" s="239"/>
      <c r="H10" s="157" t="s">
        <v>53</v>
      </c>
      <c r="I10" s="166">
        <v>41840</v>
      </c>
      <c r="J10" s="355">
        <v>285</v>
      </c>
      <c r="K10" s="336"/>
      <c r="L10" s="356">
        <v>246</v>
      </c>
      <c r="M10" s="336"/>
      <c r="N10" s="356" t="s">
        <v>29</v>
      </c>
      <c r="O10" s="336"/>
      <c r="P10" s="357" t="s">
        <v>29</v>
      </c>
      <c r="Q10" s="336"/>
      <c r="R10" s="164" t="s">
        <v>54</v>
      </c>
      <c r="S10" s="165"/>
      <c r="T10" s="237" t="s">
        <v>408</v>
      </c>
      <c r="U10" s="342" t="s">
        <v>55</v>
      </c>
      <c r="V10" s="342"/>
      <c r="W10" s="342"/>
      <c r="X10" s="343" t="s">
        <v>29</v>
      </c>
      <c r="Y10" s="344"/>
      <c r="Z10" s="345"/>
    </row>
    <row r="11" spans="1:59" ht="15" customHeight="1" x14ac:dyDescent="0.2">
      <c r="A11" s="161" t="s">
        <v>49</v>
      </c>
      <c r="B11" s="142" t="s">
        <v>29</v>
      </c>
      <c r="C11" s="142" t="s">
        <v>29</v>
      </c>
      <c r="D11" s="142" t="s">
        <v>29</v>
      </c>
      <c r="E11" s="142" t="s">
        <v>29</v>
      </c>
      <c r="F11" s="142" t="s">
        <v>29</v>
      </c>
      <c r="G11" s="239"/>
      <c r="H11" s="157" t="s">
        <v>56</v>
      </c>
      <c r="I11" s="167"/>
      <c r="J11" s="352" t="s">
        <v>29</v>
      </c>
      <c r="K11" s="336"/>
      <c r="L11" s="353" t="s">
        <v>29</v>
      </c>
      <c r="M11" s="336"/>
      <c r="N11" s="353" t="s">
        <v>29</v>
      </c>
      <c r="O11" s="336"/>
      <c r="P11" s="354" t="s">
        <v>29</v>
      </c>
      <c r="Q11" s="336"/>
      <c r="R11" s="164" t="s">
        <v>57</v>
      </c>
      <c r="S11" s="165"/>
      <c r="T11" s="237">
        <v>2</v>
      </c>
      <c r="U11" s="342" t="s">
        <v>58</v>
      </c>
      <c r="V11" s="342"/>
      <c r="W11" s="342"/>
      <c r="X11" s="343" t="s">
        <v>29</v>
      </c>
      <c r="Y11" s="344"/>
      <c r="Z11" s="345"/>
    </row>
    <row r="12" spans="1:59" ht="15" customHeight="1" x14ac:dyDescent="0.2">
      <c r="A12" s="161" t="s">
        <v>49</v>
      </c>
      <c r="B12" s="142" t="s">
        <v>29</v>
      </c>
      <c r="C12" s="142" t="s">
        <v>29</v>
      </c>
      <c r="D12" s="142" t="s">
        <v>29</v>
      </c>
      <c r="E12" s="142" t="s">
        <v>29</v>
      </c>
      <c r="F12" s="142" t="s">
        <v>29</v>
      </c>
      <c r="G12" s="239"/>
      <c r="H12" s="157" t="s">
        <v>59</v>
      </c>
      <c r="I12" s="163">
        <v>40766</v>
      </c>
      <c r="J12" s="341">
        <f>I12-C17</f>
        <v>40766</v>
      </c>
      <c r="K12" s="336"/>
      <c r="L12" s="341">
        <f>I12-D17</f>
        <v>40766</v>
      </c>
      <c r="M12" s="336"/>
      <c r="N12" s="341">
        <f>I12-E17</f>
        <v>40766</v>
      </c>
      <c r="O12" s="336"/>
      <c r="P12" s="362">
        <f>I12-F17</f>
        <v>40766</v>
      </c>
      <c r="Q12" s="336"/>
      <c r="R12" s="164" t="s">
        <v>60</v>
      </c>
      <c r="S12" s="165"/>
      <c r="T12" s="237">
        <v>2</v>
      </c>
      <c r="U12" s="342" t="s">
        <v>61</v>
      </c>
      <c r="V12" s="342"/>
      <c r="W12" s="342"/>
      <c r="X12" s="343" t="s">
        <v>29</v>
      </c>
      <c r="Y12" s="344"/>
      <c r="Z12" s="345"/>
    </row>
    <row r="13" spans="1:59" ht="15.75" customHeight="1" x14ac:dyDescent="0.2">
      <c r="A13" s="161" t="s">
        <v>49</v>
      </c>
      <c r="B13" s="142" t="s">
        <v>29</v>
      </c>
      <c r="C13" s="142" t="s">
        <v>29</v>
      </c>
      <c r="D13" s="142" t="s">
        <v>29</v>
      </c>
      <c r="E13" s="142" t="s">
        <v>29</v>
      </c>
      <c r="F13" s="142" t="s">
        <v>29</v>
      </c>
      <c r="G13" s="239"/>
      <c r="H13" s="157" t="s">
        <v>62</v>
      </c>
      <c r="I13" s="163">
        <v>40766</v>
      </c>
      <c r="J13" s="355">
        <v>620</v>
      </c>
      <c r="K13" s="336"/>
      <c r="L13" s="356">
        <v>534</v>
      </c>
      <c r="M13" s="336"/>
      <c r="N13" s="356" t="s">
        <v>29</v>
      </c>
      <c r="O13" s="336"/>
      <c r="P13" s="357" t="s">
        <v>29</v>
      </c>
      <c r="Q13" s="336"/>
      <c r="R13" s="164" t="s">
        <v>63</v>
      </c>
      <c r="S13" s="165"/>
      <c r="T13" s="168" t="s">
        <v>408</v>
      </c>
      <c r="U13" s="358" t="s">
        <v>64</v>
      </c>
      <c r="V13" s="358"/>
      <c r="W13" s="358"/>
      <c r="X13" s="359" t="s">
        <v>29</v>
      </c>
      <c r="Y13" s="360"/>
      <c r="Z13" s="361"/>
    </row>
    <row r="14" spans="1:59" ht="15.75" customHeight="1" x14ac:dyDescent="0.2">
      <c r="A14" s="161" t="s">
        <v>49</v>
      </c>
      <c r="B14" s="142" t="s">
        <v>29</v>
      </c>
      <c r="C14" s="142" t="s">
        <v>29</v>
      </c>
      <c r="D14" s="142" t="s">
        <v>29</v>
      </c>
      <c r="E14" s="142" t="s">
        <v>29</v>
      </c>
      <c r="F14" s="142" t="s">
        <v>29</v>
      </c>
      <c r="G14" s="239"/>
      <c r="H14" s="157" t="s">
        <v>65</v>
      </c>
      <c r="I14" s="167"/>
      <c r="J14" s="352" t="s">
        <v>29</v>
      </c>
      <c r="K14" s="336"/>
      <c r="L14" s="353" t="s">
        <v>29</v>
      </c>
      <c r="M14" s="336"/>
      <c r="N14" s="353" t="s">
        <v>29</v>
      </c>
      <c r="O14" s="336"/>
      <c r="P14" s="354" t="s">
        <v>29</v>
      </c>
      <c r="Q14" s="272"/>
      <c r="R14" s="329" t="s">
        <v>66</v>
      </c>
      <c r="S14" s="329"/>
      <c r="T14" s="329"/>
      <c r="U14" s="329"/>
      <c r="V14" s="329"/>
      <c r="W14" s="329"/>
      <c r="X14" s="329"/>
      <c r="Y14" s="329"/>
      <c r="Z14" s="329"/>
    </row>
    <row r="15" spans="1:59" ht="15.75" customHeight="1" x14ac:dyDescent="0.2">
      <c r="A15" s="161" t="s">
        <v>49</v>
      </c>
      <c r="B15" s="142" t="s">
        <v>29</v>
      </c>
      <c r="C15" s="142" t="s">
        <v>29</v>
      </c>
      <c r="D15" s="142" t="s">
        <v>29</v>
      </c>
      <c r="E15" s="142" t="s">
        <v>29</v>
      </c>
      <c r="F15" s="142" t="s">
        <v>29</v>
      </c>
      <c r="G15" s="239"/>
      <c r="H15" s="157" t="s">
        <v>67</v>
      </c>
      <c r="I15" s="167"/>
      <c r="J15" s="352" t="s">
        <v>29</v>
      </c>
      <c r="K15" s="336"/>
      <c r="L15" s="353" t="s">
        <v>29</v>
      </c>
      <c r="M15" s="336"/>
      <c r="N15" s="353" t="s">
        <v>29</v>
      </c>
      <c r="O15" s="336"/>
      <c r="P15" s="354" t="s">
        <v>29</v>
      </c>
      <c r="Q15" s="272"/>
      <c r="R15" s="329"/>
      <c r="S15" s="329"/>
      <c r="T15" s="329"/>
      <c r="U15" s="329"/>
      <c r="V15" s="329"/>
      <c r="W15" s="329"/>
      <c r="X15" s="329"/>
      <c r="Y15" s="329"/>
      <c r="Z15" s="329"/>
    </row>
    <row r="16" spans="1:59" ht="15.75" customHeight="1" x14ac:dyDescent="0.2">
      <c r="A16" s="161" t="s">
        <v>49</v>
      </c>
      <c r="B16" s="142" t="s">
        <v>29</v>
      </c>
      <c r="C16" s="142" t="s">
        <v>29</v>
      </c>
      <c r="D16" s="142" t="s">
        <v>29</v>
      </c>
      <c r="E16" s="142" t="s">
        <v>29</v>
      </c>
      <c r="F16" s="142" t="s">
        <v>29</v>
      </c>
      <c r="G16" s="239"/>
      <c r="H16" s="157" t="s">
        <v>68</v>
      </c>
      <c r="I16" s="167"/>
      <c r="J16" s="352" t="s">
        <v>29</v>
      </c>
      <c r="K16" s="336"/>
      <c r="L16" s="353" t="s">
        <v>29</v>
      </c>
      <c r="M16" s="336"/>
      <c r="N16" s="353" t="s">
        <v>29</v>
      </c>
      <c r="O16" s="336"/>
      <c r="P16" s="363" t="s">
        <v>29</v>
      </c>
      <c r="Q16" s="293"/>
      <c r="R16" s="305" t="s">
        <v>486</v>
      </c>
      <c r="S16" s="305"/>
      <c r="T16" s="305"/>
      <c r="U16" s="305"/>
      <c r="V16" s="305"/>
      <c r="W16" s="305"/>
      <c r="X16" s="305"/>
      <c r="Y16" s="305"/>
      <c r="Z16" s="306"/>
    </row>
    <row r="17" spans="1:26" ht="15.75" customHeight="1" x14ac:dyDescent="0.2">
      <c r="A17" s="171" t="s">
        <v>69</v>
      </c>
      <c r="B17" s="142"/>
      <c r="C17" s="155"/>
      <c r="D17" s="155"/>
      <c r="E17" s="155"/>
      <c r="F17" s="155"/>
      <c r="G17" s="156" t="e">
        <f>AVERAGE(C17:F17)</f>
        <v>#DIV/0!</v>
      </c>
      <c r="H17" s="157" t="s">
        <v>70</v>
      </c>
      <c r="I17" s="163">
        <v>40770</v>
      </c>
      <c r="J17" s="364">
        <f>I17-C17</f>
        <v>40770</v>
      </c>
      <c r="K17" s="336"/>
      <c r="L17" s="364">
        <f>I17-D17</f>
        <v>40770</v>
      </c>
      <c r="M17" s="336"/>
      <c r="N17" s="364">
        <f>I17-E17</f>
        <v>40770</v>
      </c>
      <c r="O17" s="272"/>
      <c r="P17" s="365">
        <f>I17-F17</f>
        <v>40770</v>
      </c>
      <c r="Q17" s="261"/>
      <c r="R17" s="307"/>
      <c r="S17" s="307"/>
      <c r="T17" s="307"/>
      <c r="U17" s="307"/>
      <c r="V17" s="307"/>
      <c r="W17" s="307"/>
      <c r="X17" s="307"/>
      <c r="Y17" s="307"/>
      <c r="Z17" s="308"/>
    </row>
    <row r="18" spans="1:26" ht="15.75" customHeight="1" x14ac:dyDescent="0.2">
      <c r="A18" s="338" t="s">
        <v>71</v>
      </c>
      <c r="B18" s="368"/>
      <c r="C18" s="172">
        <f>C17-C8</f>
        <v>-41796</v>
      </c>
      <c r="D18" s="172">
        <f>D17-D8</f>
        <v>-41798</v>
      </c>
      <c r="E18" s="172">
        <f>E17-E8</f>
        <v>-41800</v>
      </c>
      <c r="F18" s="172">
        <f>F17-F8</f>
        <v>0</v>
      </c>
      <c r="G18" s="173">
        <f>AVERAGE(C18:E18)</f>
        <v>-41798</v>
      </c>
      <c r="H18" s="157" t="s">
        <v>72</v>
      </c>
      <c r="I18" s="179"/>
      <c r="J18" s="357" t="s">
        <v>29</v>
      </c>
      <c r="K18" s="336"/>
      <c r="L18" s="356" t="s">
        <v>29</v>
      </c>
      <c r="M18" s="336"/>
      <c r="N18" s="366" t="s">
        <v>29</v>
      </c>
      <c r="O18" s="272"/>
      <c r="P18" s="367" t="s">
        <v>29</v>
      </c>
      <c r="Q18" s="261"/>
      <c r="R18" s="307"/>
      <c r="S18" s="307"/>
      <c r="T18" s="307"/>
      <c r="U18" s="307"/>
      <c r="V18" s="307"/>
      <c r="W18" s="307"/>
      <c r="X18" s="307"/>
      <c r="Y18" s="307"/>
      <c r="Z18" s="308"/>
    </row>
    <row r="19" spans="1:26" ht="15.75" customHeight="1" x14ac:dyDescent="0.2">
      <c r="A19" s="340" t="s">
        <v>73</v>
      </c>
      <c r="B19" s="340"/>
      <c r="C19" s="339" t="s">
        <v>40</v>
      </c>
      <c r="D19" s="339" t="s">
        <v>41</v>
      </c>
      <c r="E19" s="339" t="s">
        <v>42</v>
      </c>
      <c r="F19" s="339" t="s">
        <v>43</v>
      </c>
      <c r="G19" s="339" t="s">
        <v>38</v>
      </c>
      <c r="H19" s="167" t="s">
        <v>78</v>
      </c>
      <c r="I19" s="167"/>
      <c r="J19" s="354" t="s">
        <v>29</v>
      </c>
      <c r="K19" s="336"/>
      <c r="L19" s="353" t="s">
        <v>29</v>
      </c>
      <c r="M19" s="336"/>
      <c r="N19" s="370" t="s">
        <v>29</v>
      </c>
      <c r="O19" s="272"/>
      <c r="P19" s="371" t="s">
        <v>29</v>
      </c>
      <c r="Q19" s="261"/>
      <c r="R19" s="307"/>
      <c r="S19" s="307"/>
      <c r="T19" s="307"/>
      <c r="U19" s="307"/>
      <c r="V19" s="307"/>
      <c r="W19" s="307"/>
      <c r="X19" s="307"/>
      <c r="Y19" s="307"/>
      <c r="Z19" s="308"/>
    </row>
    <row r="20" spans="1:26" ht="15" customHeight="1" x14ac:dyDescent="0.2">
      <c r="A20" s="369"/>
      <c r="B20" s="369"/>
      <c r="C20" s="261"/>
      <c r="D20" s="261"/>
      <c r="E20" s="261"/>
      <c r="F20" s="261"/>
      <c r="G20" s="261"/>
      <c r="H20" s="167" t="s">
        <v>67</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79</v>
      </c>
      <c r="B21" s="373"/>
      <c r="C21" s="122" t="s">
        <v>444</v>
      </c>
      <c r="D21" s="122" t="s">
        <v>431</v>
      </c>
      <c r="E21" s="122" t="s">
        <v>29</v>
      </c>
      <c r="F21" s="122" t="s">
        <v>29</v>
      </c>
      <c r="G21" s="122" t="s">
        <v>29</v>
      </c>
      <c r="H21" s="157" t="s">
        <v>68</v>
      </c>
      <c r="I21" s="167"/>
      <c r="J21" s="354" t="s">
        <v>29</v>
      </c>
      <c r="K21" s="336"/>
      <c r="L21" s="353" t="s">
        <v>29</v>
      </c>
      <c r="M21" s="336"/>
      <c r="N21" s="370" t="s">
        <v>29</v>
      </c>
      <c r="O21" s="272"/>
      <c r="P21" s="371" t="s">
        <v>29</v>
      </c>
      <c r="Q21" s="261"/>
      <c r="R21" s="307"/>
      <c r="S21" s="307"/>
      <c r="T21" s="307"/>
      <c r="U21" s="307"/>
      <c r="V21" s="307"/>
      <c r="W21" s="307"/>
      <c r="X21" s="307"/>
      <c r="Y21" s="307"/>
      <c r="Z21" s="308"/>
    </row>
    <row r="22" spans="1:26" ht="15.75" customHeight="1" x14ac:dyDescent="0.2">
      <c r="A22" s="372" t="s">
        <v>46</v>
      </c>
      <c r="B22" s="373"/>
      <c r="C22" s="71" t="s">
        <v>354</v>
      </c>
      <c r="D22" s="71" t="s">
        <v>355</v>
      </c>
      <c r="E22" s="71" t="s">
        <v>29</v>
      </c>
      <c r="F22" s="71" t="s">
        <v>29</v>
      </c>
      <c r="G22" s="71" t="s">
        <v>29</v>
      </c>
      <c r="H22" s="176" t="s">
        <v>80</v>
      </c>
      <c r="I22" s="163">
        <v>40775</v>
      </c>
      <c r="J22" s="364">
        <f>I22-C17</f>
        <v>40775</v>
      </c>
      <c r="K22" s="336"/>
      <c r="L22" s="364">
        <f>I22-D17</f>
        <v>40775</v>
      </c>
      <c r="M22" s="336"/>
      <c r="N22" s="364">
        <f>I22-E17</f>
        <v>40775</v>
      </c>
      <c r="O22" s="272"/>
      <c r="P22" s="365">
        <f>I22-F17</f>
        <v>40775</v>
      </c>
      <c r="Q22" s="261"/>
      <c r="R22" s="307"/>
      <c r="S22" s="307"/>
      <c r="T22" s="307"/>
      <c r="U22" s="307"/>
      <c r="V22" s="307"/>
      <c r="W22" s="307"/>
      <c r="X22" s="307"/>
      <c r="Y22" s="307"/>
      <c r="Z22" s="308"/>
    </row>
    <row r="23" spans="1:26" ht="15.75" customHeight="1" x14ac:dyDescent="0.2">
      <c r="A23" s="372" t="s">
        <v>81</v>
      </c>
      <c r="B23" s="373"/>
      <c r="C23" s="177">
        <v>42227</v>
      </c>
      <c r="D23" s="177">
        <v>42227</v>
      </c>
      <c r="E23" s="71" t="s">
        <v>29</v>
      </c>
      <c r="F23" s="71" t="s">
        <v>29</v>
      </c>
      <c r="G23" s="237" t="s">
        <v>29</v>
      </c>
      <c r="H23" s="178" t="s">
        <v>82</v>
      </c>
      <c r="I23" s="179"/>
      <c r="J23" s="357" t="s">
        <v>29</v>
      </c>
      <c r="K23" s="336"/>
      <c r="L23" s="356" t="s">
        <v>29</v>
      </c>
      <c r="M23" s="336"/>
      <c r="N23" s="366" t="s">
        <v>29</v>
      </c>
      <c r="O23" s="272"/>
      <c r="P23" s="367" t="s">
        <v>29</v>
      </c>
      <c r="Q23" s="261"/>
      <c r="R23" s="307"/>
      <c r="S23" s="307"/>
      <c r="T23" s="307"/>
      <c r="U23" s="307"/>
      <c r="V23" s="307"/>
      <c r="W23" s="307"/>
      <c r="X23" s="307"/>
      <c r="Y23" s="307"/>
      <c r="Z23" s="308"/>
    </row>
    <row r="24" spans="1:26" ht="15.75" customHeight="1" x14ac:dyDescent="0.2">
      <c r="A24" s="372" t="s">
        <v>12</v>
      </c>
      <c r="B24" s="373"/>
      <c r="C24" s="71">
        <v>168705198</v>
      </c>
      <c r="D24" s="71">
        <v>220612787</v>
      </c>
      <c r="E24" s="71" t="s">
        <v>29</v>
      </c>
      <c r="F24" s="71" t="s">
        <v>29</v>
      </c>
      <c r="G24" s="237" t="s">
        <v>29</v>
      </c>
      <c r="H24" s="178" t="s">
        <v>83</v>
      </c>
      <c r="I24" s="179"/>
      <c r="J24" s="357" t="s">
        <v>29</v>
      </c>
      <c r="K24" s="336"/>
      <c r="L24" s="356" t="s">
        <v>29</v>
      </c>
      <c r="M24" s="336"/>
      <c r="N24" s="366" t="s">
        <v>29</v>
      </c>
      <c r="O24" s="272"/>
      <c r="P24" s="367" t="s">
        <v>29</v>
      </c>
      <c r="Q24" s="261"/>
      <c r="R24" s="307"/>
      <c r="S24" s="307"/>
      <c r="T24" s="307"/>
      <c r="U24" s="307"/>
      <c r="V24" s="307"/>
      <c r="W24" s="307"/>
      <c r="X24" s="307"/>
      <c r="Y24" s="307"/>
      <c r="Z24" s="308"/>
    </row>
    <row r="25" spans="1:26" ht="15.75" customHeight="1" x14ac:dyDescent="0.2">
      <c r="A25" s="372" t="s">
        <v>84</v>
      </c>
      <c r="B25" s="373"/>
      <c r="C25" s="71" t="s">
        <v>29</v>
      </c>
      <c r="D25" s="71" t="s">
        <v>29</v>
      </c>
      <c r="E25" s="71" t="s">
        <v>29</v>
      </c>
      <c r="F25" s="71" t="s">
        <v>29</v>
      </c>
      <c r="G25" s="237" t="s">
        <v>29</v>
      </c>
      <c r="H25" s="178" t="s">
        <v>67</v>
      </c>
      <c r="I25" s="167"/>
      <c r="J25" s="354" t="s">
        <v>29</v>
      </c>
      <c r="K25" s="336"/>
      <c r="L25" s="372" t="s">
        <v>29</v>
      </c>
      <c r="M25" s="336"/>
      <c r="N25" s="380" t="s">
        <v>29</v>
      </c>
      <c r="O25" s="272"/>
      <c r="P25" s="371" t="s">
        <v>29</v>
      </c>
      <c r="Q25" s="261"/>
      <c r="R25" s="307"/>
      <c r="S25" s="307"/>
      <c r="T25" s="307"/>
      <c r="U25" s="307"/>
      <c r="V25" s="307"/>
      <c r="W25" s="307"/>
      <c r="X25" s="307"/>
      <c r="Y25" s="307"/>
      <c r="Z25" s="308"/>
    </row>
    <row r="26" spans="1:26" ht="15.75" customHeight="1" x14ac:dyDescent="0.2">
      <c r="A26" s="372" t="s">
        <v>11</v>
      </c>
      <c r="B26" s="373"/>
      <c r="C26" s="71" t="s">
        <v>397</v>
      </c>
      <c r="D26" s="71" t="s">
        <v>397</v>
      </c>
      <c r="E26" s="71" t="s">
        <v>29</v>
      </c>
      <c r="F26" s="71" t="s">
        <v>29</v>
      </c>
      <c r="G26" s="237" t="s">
        <v>29</v>
      </c>
      <c r="H26" s="178" t="s">
        <v>68</v>
      </c>
      <c r="I26" s="167"/>
      <c r="J26" s="354" t="s">
        <v>29</v>
      </c>
      <c r="K26" s="336"/>
      <c r="L26" s="372" t="s">
        <v>29</v>
      </c>
      <c r="M26" s="336"/>
      <c r="N26" s="380" t="s">
        <v>29</v>
      </c>
      <c r="O26" s="272"/>
      <c r="P26" s="371" t="s">
        <v>29</v>
      </c>
      <c r="Q26" s="261"/>
      <c r="R26" s="307"/>
      <c r="S26" s="307"/>
      <c r="T26" s="307"/>
      <c r="U26" s="307"/>
      <c r="V26" s="307"/>
      <c r="W26" s="307"/>
      <c r="X26" s="307"/>
      <c r="Y26" s="307"/>
      <c r="Z26" s="308"/>
    </row>
    <row r="27" spans="1:26" ht="15.75" customHeight="1" x14ac:dyDescent="0.2">
      <c r="A27" s="374" t="s">
        <v>85</v>
      </c>
      <c r="B27" s="375"/>
      <c r="C27" s="71" t="s">
        <v>29</v>
      </c>
      <c r="D27" s="71" t="s">
        <v>29</v>
      </c>
      <c r="E27" s="71" t="s">
        <v>29</v>
      </c>
      <c r="F27" s="71" t="s">
        <v>29</v>
      </c>
      <c r="G27" s="237" t="s">
        <v>29</v>
      </c>
      <c r="H27" s="178" t="s">
        <v>86</v>
      </c>
      <c r="I27" s="179"/>
      <c r="J27" s="357" t="s">
        <v>29</v>
      </c>
      <c r="K27" s="336"/>
      <c r="L27" s="376" t="s">
        <v>29</v>
      </c>
      <c r="M27" s="336"/>
      <c r="N27" s="377" t="s">
        <v>29</v>
      </c>
      <c r="O27" s="272"/>
      <c r="P27" s="367" t="s">
        <v>29</v>
      </c>
      <c r="Q27" s="261"/>
      <c r="R27" s="307"/>
      <c r="S27" s="307"/>
      <c r="T27" s="307"/>
      <c r="U27" s="307"/>
      <c r="V27" s="307"/>
      <c r="W27" s="307"/>
      <c r="X27" s="307"/>
      <c r="Y27" s="307"/>
      <c r="Z27" s="308"/>
    </row>
    <row r="28" spans="1:26" ht="15.75" customHeight="1" x14ac:dyDescent="0.2">
      <c r="A28" s="378" t="s">
        <v>87</v>
      </c>
      <c r="B28" s="379"/>
      <c r="C28" s="71" t="s">
        <v>29</v>
      </c>
      <c r="D28" s="71" t="s">
        <v>29</v>
      </c>
      <c r="E28" s="71" t="s">
        <v>29</v>
      </c>
      <c r="F28" s="71" t="s">
        <v>29</v>
      </c>
      <c r="G28" s="237" t="s">
        <v>29</v>
      </c>
      <c r="H28" s="178" t="s">
        <v>88</v>
      </c>
      <c r="I28" s="179"/>
      <c r="J28" s="357" t="s">
        <v>29</v>
      </c>
      <c r="K28" s="336"/>
      <c r="L28" s="356" t="s">
        <v>29</v>
      </c>
      <c r="M28" s="336"/>
      <c r="N28" s="366" t="s">
        <v>29</v>
      </c>
      <c r="O28" s="272"/>
      <c r="P28" s="367" t="s">
        <v>29</v>
      </c>
      <c r="Q28" s="261"/>
      <c r="R28" s="307"/>
      <c r="S28" s="307"/>
      <c r="T28" s="307"/>
      <c r="U28" s="307"/>
      <c r="V28" s="307"/>
      <c r="W28" s="307"/>
      <c r="X28" s="307"/>
      <c r="Y28" s="307"/>
      <c r="Z28" s="308"/>
    </row>
    <row r="29" spans="1:26" ht="15.75" customHeight="1" x14ac:dyDescent="0.2">
      <c r="A29" s="233"/>
      <c r="B29" s="7"/>
      <c r="C29" s="4"/>
      <c r="D29" s="4"/>
      <c r="E29" s="4"/>
      <c r="F29" s="4"/>
      <c r="G29" s="4"/>
      <c r="H29" s="46"/>
      <c r="I29" s="4"/>
      <c r="J29" s="4"/>
      <c r="K29" s="4"/>
      <c r="L29" s="4"/>
      <c r="M29" s="4"/>
      <c r="N29" s="4"/>
      <c r="O29" s="4"/>
      <c r="P29" s="46"/>
      <c r="Q29" s="46"/>
      <c r="R29" s="53"/>
      <c r="S29" s="30"/>
      <c r="T29" s="4"/>
      <c r="U29" s="4"/>
      <c r="V29" s="4"/>
      <c r="W29" s="26"/>
      <c r="X29" s="4"/>
      <c r="Y29" s="4"/>
      <c r="Z29" s="4"/>
    </row>
  </sheetData>
  <mergeCells count="128">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Z28"/>
    <mergeCell ref="J17:K17"/>
    <mergeCell ref="L17:M17"/>
    <mergeCell ref="N17:O17"/>
    <mergeCell ref="P17:Q17"/>
    <mergeCell ref="L23:M23"/>
    <mergeCell ref="N23:O23"/>
    <mergeCell ref="P23:Q23"/>
    <mergeCell ref="J14:K14"/>
    <mergeCell ref="L14:M14"/>
    <mergeCell ref="N14:O14"/>
    <mergeCell ref="P14:Q14"/>
    <mergeCell ref="R14:Z15"/>
    <mergeCell ref="J15:K15"/>
    <mergeCell ref="L15:M15"/>
    <mergeCell ref="N15:O15"/>
    <mergeCell ref="P15:Q15"/>
    <mergeCell ref="J13:K13"/>
    <mergeCell ref="L13:M13"/>
    <mergeCell ref="N13:O13"/>
    <mergeCell ref="P13:Q13"/>
    <mergeCell ref="U13:W13"/>
    <mergeCell ref="X13:Z13"/>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7:K7"/>
    <mergeCell ref="L7:M7"/>
    <mergeCell ref="N7:O7"/>
    <mergeCell ref="P7:Q7"/>
    <mergeCell ref="S7:Z7"/>
    <mergeCell ref="J9:K9"/>
    <mergeCell ref="L9:M9"/>
    <mergeCell ref="N9:O9"/>
    <mergeCell ref="P9:Q9"/>
    <mergeCell ref="U9:W9"/>
    <mergeCell ref="X9:Z9"/>
    <mergeCell ref="J8:K8"/>
    <mergeCell ref="L8:M8"/>
    <mergeCell ref="N8:O8"/>
    <mergeCell ref="P8:Q8"/>
    <mergeCell ref="U8:W8"/>
    <mergeCell ref="X8:Z8"/>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66</v>
      </c>
      <c r="G1" s="241" t="s">
        <v>3</v>
      </c>
      <c r="H1" s="235" t="s">
        <v>4</v>
      </c>
      <c r="I1" s="329" t="s">
        <v>5</v>
      </c>
      <c r="J1" s="261"/>
      <c r="K1" s="262" t="s">
        <v>258</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257</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256</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48"/>
  <sheetViews>
    <sheetView workbookViewId="0">
      <selection activeCell="AB34" sqref="AB34"/>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58" t="s">
        <v>0</v>
      </c>
      <c r="B1" s="59">
        <v>2014</v>
      </c>
      <c r="C1" s="58" t="s">
        <v>1</v>
      </c>
      <c r="D1" s="59"/>
      <c r="E1" s="58" t="s">
        <v>2</v>
      </c>
      <c r="F1" s="55">
        <v>67</v>
      </c>
      <c r="G1" s="56" t="s">
        <v>3</v>
      </c>
      <c r="H1" s="55" t="s">
        <v>4</v>
      </c>
      <c r="I1" s="260" t="s">
        <v>5</v>
      </c>
      <c r="J1" s="261"/>
      <c r="K1" s="262"/>
      <c r="L1" s="261"/>
      <c r="M1" s="261"/>
      <c r="N1" s="261"/>
      <c r="O1" s="261"/>
      <c r="P1" s="263" t="s">
        <v>6</v>
      </c>
      <c r="Q1" s="261"/>
      <c r="R1" s="264"/>
      <c r="S1" s="265"/>
      <c r="T1" s="16"/>
      <c r="U1" s="16"/>
      <c r="V1" s="16"/>
      <c r="W1" s="16"/>
      <c r="X1" s="16"/>
      <c r="Y1" s="16"/>
      <c r="Z1" s="34"/>
    </row>
    <row r="2" spans="1:30" ht="27.75" customHeight="1" x14ac:dyDescent="0.2">
      <c r="A2" s="57" t="s">
        <v>8</v>
      </c>
      <c r="B2" s="54" t="s">
        <v>9</v>
      </c>
      <c r="C2" s="54" t="s">
        <v>10</v>
      </c>
      <c r="D2" s="54" t="s">
        <v>11</v>
      </c>
      <c r="E2" s="54" t="s">
        <v>12</v>
      </c>
      <c r="F2" s="54" t="s">
        <v>13</v>
      </c>
      <c r="G2" s="54" t="s">
        <v>14</v>
      </c>
      <c r="H2" s="54" t="s">
        <v>15</v>
      </c>
      <c r="I2" s="13" t="s">
        <v>16</v>
      </c>
      <c r="J2" s="54" t="s">
        <v>17</v>
      </c>
      <c r="K2" s="54" t="s">
        <v>18</v>
      </c>
      <c r="L2" s="266"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32" t="s">
        <v>90</v>
      </c>
      <c r="AD2" s="31" t="s">
        <v>95</v>
      </c>
    </row>
    <row r="3" spans="1:30" ht="15.75" customHeight="1" x14ac:dyDescent="0.2">
      <c r="A3" s="18" t="s">
        <v>29</v>
      </c>
      <c r="B3" s="64">
        <v>41800</v>
      </c>
      <c r="C3" s="28" t="s">
        <v>29</v>
      </c>
      <c r="D3" s="18" t="s">
        <v>29</v>
      </c>
      <c r="E3" s="28" t="s">
        <v>235</v>
      </c>
      <c r="F3" s="28" t="s">
        <v>235</v>
      </c>
      <c r="G3" s="28" t="s">
        <v>227</v>
      </c>
      <c r="H3" s="28" t="s">
        <v>228</v>
      </c>
      <c r="I3" s="18" t="s">
        <v>29</v>
      </c>
      <c r="J3" s="18" t="s">
        <v>29</v>
      </c>
      <c r="K3" s="18" t="s">
        <v>29</v>
      </c>
      <c r="L3" s="41" t="s">
        <v>29</v>
      </c>
      <c r="M3" s="41" t="s">
        <v>29</v>
      </c>
      <c r="N3" s="18" t="s">
        <v>29</v>
      </c>
      <c r="O3" s="18" t="s">
        <v>29</v>
      </c>
      <c r="P3" s="20" t="s">
        <v>29</v>
      </c>
      <c r="Q3" s="20" t="s">
        <v>29</v>
      </c>
      <c r="R3" s="20" t="s">
        <v>29</v>
      </c>
      <c r="S3" s="20" t="s">
        <v>29</v>
      </c>
      <c r="T3" s="20" t="s">
        <v>29</v>
      </c>
      <c r="U3" s="18" t="s">
        <v>29</v>
      </c>
      <c r="V3" s="18" t="s">
        <v>29</v>
      </c>
      <c r="W3" s="18" t="s">
        <v>29</v>
      </c>
      <c r="X3" s="20" t="s">
        <v>29</v>
      </c>
      <c r="Y3" s="33" t="s">
        <v>29</v>
      </c>
      <c r="Z3" s="33" t="s">
        <v>29</v>
      </c>
      <c r="AD3" s="69" t="s">
        <v>205</v>
      </c>
    </row>
    <row r="4" spans="1:30"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5" t="s">
        <v>26</v>
      </c>
      <c r="V4" s="27" t="s">
        <v>92</v>
      </c>
      <c r="W4" s="27" t="s">
        <v>93</v>
      </c>
      <c r="X4" s="5" t="s">
        <v>27</v>
      </c>
      <c r="Y4" s="271" t="s">
        <v>28</v>
      </c>
      <c r="Z4" s="272"/>
      <c r="AA4" s="31" t="s">
        <v>89</v>
      </c>
      <c r="AB4" s="31" t="s">
        <v>91</v>
      </c>
      <c r="AC4" s="32" t="s">
        <v>90</v>
      </c>
      <c r="AD4" s="31" t="s">
        <v>95</v>
      </c>
    </row>
    <row r="5" spans="1:30" ht="15.75" customHeight="1" x14ac:dyDescent="0.2">
      <c r="A5" s="18" t="s">
        <v>29</v>
      </c>
      <c r="B5" s="64">
        <v>41800</v>
      </c>
      <c r="C5" s="18" t="s">
        <v>29</v>
      </c>
      <c r="D5" s="18" t="s">
        <v>29</v>
      </c>
      <c r="E5" s="28" t="s">
        <v>235</v>
      </c>
      <c r="F5" s="28" t="s">
        <v>235</v>
      </c>
      <c r="G5" s="28" t="s">
        <v>227</v>
      </c>
      <c r="H5" s="28" t="s">
        <v>228</v>
      </c>
      <c r="I5" s="37" t="s">
        <v>29</v>
      </c>
      <c r="J5" s="37" t="s">
        <v>29</v>
      </c>
      <c r="K5" s="37" t="s">
        <v>29</v>
      </c>
      <c r="L5" s="42" t="s">
        <v>29</v>
      </c>
      <c r="M5" s="42" t="s">
        <v>29</v>
      </c>
      <c r="N5" s="37" t="s">
        <v>29</v>
      </c>
      <c r="O5" s="37" t="s">
        <v>29</v>
      </c>
      <c r="P5" s="38" t="s">
        <v>29</v>
      </c>
      <c r="Q5" s="38" t="s">
        <v>29</v>
      </c>
      <c r="R5" s="20" t="s">
        <v>29</v>
      </c>
      <c r="S5" s="20" t="s">
        <v>29</v>
      </c>
      <c r="T5" s="20" t="s">
        <v>29</v>
      </c>
      <c r="U5" s="18" t="s">
        <v>29</v>
      </c>
      <c r="V5" s="18" t="s">
        <v>29</v>
      </c>
      <c r="W5" s="18" t="s">
        <v>29</v>
      </c>
      <c r="X5" s="20" t="s">
        <v>29</v>
      </c>
      <c r="Y5" s="20" t="s">
        <v>29</v>
      </c>
      <c r="Z5" s="20" t="s">
        <v>29</v>
      </c>
      <c r="AD5" s="69" t="s">
        <v>205</v>
      </c>
    </row>
    <row r="6" spans="1:30" ht="16.5" customHeight="1" x14ac:dyDescent="0.2">
      <c r="A6" s="12" t="s">
        <v>33</v>
      </c>
      <c r="B6" s="5" t="s">
        <v>9</v>
      </c>
      <c r="C6" s="60" t="s">
        <v>34</v>
      </c>
      <c r="D6" s="60" t="s">
        <v>35</v>
      </c>
      <c r="E6" s="60" t="s">
        <v>36</v>
      </c>
      <c r="F6" s="60" t="s">
        <v>37</v>
      </c>
      <c r="G6" s="60" t="s">
        <v>38</v>
      </c>
      <c r="H6" s="36" t="s">
        <v>39</v>
      </c>
      <c r="I6" s="62" t="s">
        <v>9</v>
      </c>
      <c r="J6" s="280" t="s">
        <v>40</v>
      </c>
      <c r="K6" s="280"/>
      <c r="L6" s="280" t="s">
        <v>41</v>
      </c>
      <c r="M6" s="280"/>
      <c r="N6" s="280" t="s">
        <v>42</v>
      </c>
      <c r="O6" s="280"/>
      <c r="P6" s="280" t="s">
        <v>43</v>
      </c>
      <c r="Q6" s="280"/>
      <c r="R6" s="35"/>
      <c r="S6" s="273" t="s">
        <v>44</v>
      </c>
      <c r="T6" s="274"/>
      <c r="U6" s="274"/>
      <c r="V6" s="274"/>
      <c r="W6" s="275"/>
      <c r="X6" s="274"/>
      <c r="Y6" s="274"/>
      <c r="Z6" s="268"/>
    </row>
    <row r="7" spans="1:30" ht="15.75" customHeight="1" x14ac:dyDescent="0.2">
      <c r="A7" s="1" t="s">
        <v>45</v>
      </c>
      <c r="B7" s="20"/>
      <c r="C7" s="19">
        <v>41796</v>
      </c>
      <c r="D7" s="19">
        <v>41798</v>
      </c>
      <c r="E7" s="19">
        <v>41800</v>
      </c>
      <c r="F7" s="19">
        <v>41802</v>
      </c>
      <c r="G7" s="15">
        <f>AVERAGE(C7:F7)</f>
        <v>41799</v>
      </c>
      <c r="H7" s="6" t="s">
        <v>46</v>
      </c>
      <c r="I7" s="39"/>
      <c r="J7" s="276" t="s">
        <v>360</v>
      </c>
      <c r="K7" s="267"/>
      <c r="L7" s="346" t="s">
        <v>361</v>
      </c>
      <c r="M7" s="267"/>
      <c r="N7" s="346" t="s">
        <v>364</v>
      </c>
      <c r="O7" s="267"/>
      <c r="P7" s="278" t="s">
        <v>29</v>
      </c>
      <c r="Q7" s="267"/>
      <c r="R7" s="23" t="s">
        <v>47</v>
      </c>
      <c r="S7" s="24"/>
      <c r="T7" s="43">
        <v>4</v>
      </c>
      <c r="U7" s="279" t="s">
        <v>48</v>
      </c>
      <c r="V7" s="279"/>
      <c r="W7" s="279"/>
      <c r="X7" s="281" t="s">
        <v>29</v>
      </c>
      <c r="Y7" s="282"/>
      <c r="Z7" s="283"/>
    </row>
    <row r="8" spans="1:30" ht="15.75" customHeight="1" x14ac:dyDescent="0.2">
      <c r="A8" s="3" t="s">
        <v>49</v>
      </c>
      <c r="B8" s="20" t="s">
        <v>29</v>
      </c>
      <c r="C8" s="20" t="s">
        <v>29</v>
      </c>
      <c r="D8" s="20" t="s">
        <v>29</v>
      </c>
      <c r="E8" s="20" t="s">
        <v>29</v>
      </c>
      <c r="F8" s="20" t="s">
        <v>29</v>
      </c>
      <c r="G8" s="60"/>
      <c r="H8" s="6" t="s">
        <v>50</v>
      </c>
      <c r="I8" s="17">
        <v>41833</v>
      </c>
      <c r="J8" s="287">
        <f>IF(((I8-C16)&gt;0),(I8-C16),"/")</f>
        <v>2</v>
      </c>
      <c r="K8" s="268"/>
      <c r="L8" s="287">
        <f>IF(((I8-D16)&gt;0),(I8-D16),"/")</f>
        <v>2</v>
      </c>
      <c r="M8" s="268"/>
      <c r="N8" s="287">
        <f>IF(((I8-E16)&gt;0),(I8-E16),"/")</f>
        <v>1</v>
      </c>
      <c r="O8" s="268"/>
      <c r="P8" s="278" t="s">
        <v>29</v>
      </c>
      <c r="Q8" s="267"/>
      <c r="R8" s="22" t="s">
        <v>51</v>
      </c>
      <c r="S8" s="11"/>
      <c r="T8" s="43">
        <v>1</v>
      </c>
      <c r="U8" s="310" t="s">
        <v>52</v>
      </c>
      <c r="V8" s="310"/>
      <c r="W8" s="310"/>
      <c r="X8" s="298" t="s">
        <v>29</v>
      </c>
      <c r="Y8" s="299"/>
      <c r="Z8" s="300"/>
    </row>
    <row r="9" spans="1:30" ht="15.75" customHeight="1" x14ac:dyDescent="0.2">
      <c r="A9" s="3" t="s">
        <v>49</v>
      </c>
      <c r="B9" s="20" t="s">
        <v>29</v>
      </c>
      <c r="C9" s="20" t="s">
        <v>29</v>
      </c>
      <c r="D9" s="20" t="s">
        <v>29</v>
      </c>
      <c r="E9" s="20" t="s">
        <v>29</v>
      </c>
      <c r="F9" s="20" t="s">
        <v>29</v>
      </c>
      <c r="G9" s="60"/>
      <c r="H9" s="6" t="s">
        <v>53</v>
      </c>
      <c r="I9" s="102">
        <v>41833</v>
      </c>
      <c r="J9" s="289">
        <v>49</v>
      </c>
      <c r="K9" s="268"/>
      <c r="L9" s="290">
        <v>44</v>
      </c>
      <c r="M9" s="268"/>
      <c r="N9" s="290">
        <v>1</v>
      </c>
      <c r="O9" s="268"/>
      <c r="P9" s="278" t="s">
        <v>29</v>
      </c>
      <c r="Q9" s="267"/>
      <c r="R9" s="22" t="s">
        <v>54</v>
      </c>
      <c r="S9" s="11"/>
      <c r="T9" s="43">
        <v>3</v>
      </c>
      <c r="U9" s="310" t="s">
        <v>55</v>
      </c>
      <c r="V9" s="310"/>
      <c r="W9" s="310"/>
      <c r="X9" s="298" t="s">
        <v>29</v>
      </c>
      <c r="Y9" s="299"/>
      <c r="Z9" s="300"/>
    </row>
    <row r="10" spans="1:30" ht="15" customHeight="1" x14ac:dyDescent="0.2">
      <c r="A10" s="3" t="s">
        <v>49</v>
      </c>
      <c r="B10" s="20" t="s">
        <v>29</v>
      </c>
      <c r="C10" s="20" t="s">
        <v>29</v>
      </c>
      <c r="D10" s="20" t="s">
        <v>29</v>
      </c>
      <c r="E10" s="20" t="s">
        <v>29</v>
      </c>
      <c r="F10" s="20" t="s">
        <v>29</v>
      </c>
      <c r="G10" s="60"/>
      <c r="H10" s="6" t="s">
        <v>56</v>
      </c>
      <c r="I10" s="10"/>
      <c r="J10" s="284" t="s">
        <v>29</v>
      </c>
      <c r="K10" s="268"/>
      <c r="L10" s="285" t="s">
        <v>29</v>
      </c>
      <c r="M10" s="268"/>
      <c r="N10" s="285" t="s">
        <v>29</v>
      </c>
      <c r="O10" s="268"/>
      <c r="P10" s="286" t="s">
        <v>29</v>
      </c>
      <c r="Q10" s="268"/>
      <c r="R10" s="22" t="s">
        <v>57</v>
      </c>
      <c r="S10" s="11"/>
      <c r="T10" s="43">
        <v>1</v>
      </c>
      <c r="U10" s="310" t="s">
        <v>58</v>
      </c>
      <c r="V10" s="310"/>
      <c r="W10" s="310"/>
      <c r="X10" s="298" t="s">
        <v>29</v>
      </c>
      <c r="Y10" s="299"/>
      <c r="Z10" s="300"/>
    </row>
    <row r="11" spans="1:30" ht="15" customHeight="1" x14ac:dyDescent="0.2">
      <c r="A11" s="3" t="s">
        <v>49</v>
      </c>
      <c r="B11" s="20" t="s">
        <v>29</v>
      </c>
      <c r="C11" s="20" t="s">
        <v>29</v>
      </c>
      <c r="D11" s="20" t="s">
        <v>29</v>
      </c>
      <c r="E11" s="20" t="s">
        <v>29</v>
      </c>
      <c r="F11" s="20" t="s">
        <v>29</v>
      </c>
      <c r="G11" s="60"/>
      <c r="H11" s="6" t="s">
        <v>59</v>
      </c>
      <c r="I11" s="17">
        <v>41836</v>
      </c>
      <c r="J11" s="287">
        <f>I11-C16</f>
        <v>5</v>
      </c>
      <c r="K11" s="268"/>
      <c r="L11" s="287">
        <f>I11-D16</f>
        <v>5</v>
      </c>
      <c r="M11" s="268"/>
      <c r="N11" s="287">
        <f>I11-E16</f>
        <v>4</v>
      </c>
      <c r="O11" s="268"/>
      <c r="P11" s="278" t="s">
        <v>29</v>
      </c>
      <c r="Q11" s="267"/>
      <c r="R11" s="22" t="s">
        <v>60</v>
      </c>
      <c r="S11" s="11"/>
      <c r="T11" s="43">
        <v>1</v>
      </c>
      <c r="U11" s="310" t="s">
        <v>61</v>
      </c>
      <c r="V11" s="310"/>
      <c r="W11" s="310"/>
      <c r="X11" s="298" t="s">
        <v>29</v>
      </c>
      <c r="Y11" s="299"/>
      <c r="Z11" s="300"/>
    </row>
    <row r="12" spans="1:30" ht="15.75" customHeight="1" x14ac:dyDescent="0.2">
      <c r="A12" s="3" t="s">
        <v>49</v>
      </c>
      <c r="B12" s="20" t="s">
        <v>29</v>
      </c>
      <c r="C12" s="20" t="s">
        <v>29</v>
      </c>
      <c r="D12" s="20" t="s">
        <v>29</v>
      </c>
      <c r="E12" s="20" t="s">
        <v>29</v>
      </c>
      <c r="F12" s="20" t="s">
        <v>29</v>
      </c>
      <c r="G12" s="60"/>
      <c r="H12" s="6" t="s">
        <v>62</v>
      </c>
      <c r="I12" s="102">
        <v>41836</v>
      </c>
      <c r="J12" s="289">
        <v>108</v>
      </c>
      <c r="K12" s="268"/>
      <c r="L12" s="290">
        <v>97</v>
      </c>
      <c r="M12" s="268"/>
      <c r="N12" s="290">
        <v>60</v>
      </c>
      <c r="O12" s="268"/>
      <c r="P12" s="278" t="s">
        <v>29</v>
      </c>
      <c r="Q12" s="267"/>
      <c r="R12" s="22" t="s">
        <v>63</v>
      </c>
      <c r="S12" s="11"/>
      <c r="T12" s="45">
        <v>2</v>
      </c>
      <c r="U12" s="311" t="s">
        <v>64</v>
      </c>
      <c r="V12" s="311"/>
      <c r="W12" s="311"/>
      <c r="X12" s="301" t="s">
        <v>29</v>
      </c>
      <c r="Y12" s="302"/>
      <c r="Z12" s="303"/>
    </row>
    <row r="13" spans="1:30" ht="15.75" customHeight="1" x14ac:dyDescent="0.2">
      <c r="A13" s="3" t="s">
        <v>49</v>
      </c>
      <c r="B13" s="20" t="s">
        <v>29</v>
      </c>
      <c r="C13" s="20" t="s">
        <v>29</v>
      </c>
      <c r="D13" s="20" t="s">
        <v>29</v>
      </c>
      <c r="E13" s="20" t="s">
        <v>29</v>
      </c>
      <c r="F13" s="20" t="s">
        <v>29</v>
      </c>
      <c r="G13" s="60"/>
      <c r="H13" s="6" t="s">
        <v>65</v>
      </c>
      <c r="I13" s="10"/>
      <c r="J13" s="284" t="s">
        <v>29</v>
      </c>
      <c r="K13" s="268"/>
      <c r="L13" s="285" t="s">
        <v>29</v>
      </c>
      <c r="M13" s="268"/>
      <c r="N13" s="285" t="s">
        <v>29</v>
      </c>
      <c r="O13" s="268"/>
      <c r="P13" s="286" t="s">
        <v>29</v>
      </c>
      <c r="Q13" s="272"/>
      <c r="R13" s="424" t="s">
        <v>66</v>
      </c>
      <c r="S13" s="425"/>
      <c r="T13" s="425"/>
      <c r="U13" s="425"/>
      <c r="V13" s="425"/>
      <c r="W13" s="425"/>
      <c r="X13" s="425"/>
      <c r="Y13" s="425"/>
      <c r="Z13" s="425"/>
    </row>
    <row r="14" spans="1:30" ht="15.75" customHeight="1" x14ac:dyDescent="0.2">
      <c r="A14" s="3" t="s">
        <v>49</v>
      </c>
      <c r="B14" s="20" t="s">
        <v>29</v>
      </c>
      <c r="C14" s="20" t="s">
        <v>29</v>
      </c>
      <c r="D14" s="20" t="s">
        <v>29</v>
      </c>
      <c r="E14" s="20" t="s">
        <v>29</v>
      </c>
      <c r="F14" s="20" t="s">
        <v>29</v>
      </c>
      <c r="G14" s="60"/>
      <c r="H14" s="6" t="s">
        <v>67</v>
      </c>
      <c r="I14" s="10"/>
      <c r="J14" s="284" t="s">
        <v>29</v>
      </c>
      <c r="K14" s="268"/>
      <c r="L14" s="285" t="s">
        <v>29</v>
      </c>
      <c r="M14" s="268"/>
      <c r="N14" s="285" t="s">
        <v>29</v>
      </c>
      <c r="O14" s="268"/>
      <c r="P14" s="286" t="s">
        <v>29</v>
      </c>
      <c r="Q14" s="272"/>
      <c r="R14" s="427"/>
      <c r="S14" s="428"/>
      <c r="T14" s="428"/>
      <c r="U14" s="428"/>
      <c r="V14" s="428"/>
      <c r="W14" s="428"/>
      <c r="X14" s="428"/>
      <c r="Y14" s="428"/>
      <c r="Z14" s="428"/>
    </row>
    <row r="15" spans="1:30" ht="15.75" customHeight="1" x14ac:dyDescent="0.2">
      <c r="A15" s="3" t="s">
        <v>49</v>
      </c>
      <c r="B15" s="20" t="s">
        <v>29</v>
      </c>
      <c r="C15" s="20" t="s">
        <v>29</v>
      </c>
      <c r="D15" s="20" t="s">
        <v>29</v>
      </c>
      <c r="E15" s="20" t="s">
        <v>29</v>
      </c>
      <c r="F15" s="20" t="s">
        <v>29</v>
      </c>
      <c r="G15" s="60"/>
      <c r="H15" s="6" t="s">
        <v>68</v>
      </c>
      <c r="I15" s="10"/>
      <c r="J15" s="284" t="s">
        <v>29</v>
      </c>
      <c r="K15" s="268"/>
      <c r="L15" s="285" t="s">
        <v>29</v>
      </c>
      <c r="M15" s="268"/>
      <c r="N15" s="285" t="s">
        <v>29</v>
      </c>
      <c r="O15" s="268"/>
      <c r="P15" s="292" t="s">
        <v>29</v>
      </c>
      <c r="Q15" s="293"/>
      <c r="R15" s="305" t="s">
        <v>475</v>
      </c>
      <c r="S15" s="305"/>
      <c r="T15" s="305"/>
      <c r="U15" s="305"/>
      <c r="V15" s="305"/>
      <c r="W15" s="305"/>
      <c r="X15" s="305"/>
      <c r="Y15" s="305"/>
      <c r="Z15" s="305"/>
    </row>
    <row r="16" spans="1:30" ht="15.75" customHeight="1" x14ac:dyDescent="0.2">
      <c r="A16" s="14" t="s">
        <v>69</v>
      </c>
      <c r="B16" s="20"/>
      <c r="C16" s="19">
        <v>41831</v>
      </c>
      <c r="D16" s="19">
        <v>41831</v>
      </c>
      <c r="E16" s="19">
        <v>41832</v>
      </c>
      <c r="F16" s="93" t="s">
        <v>410</v>
      </c>
      <c r="G16" s="15">
        <f>AVERAGE(C16:F16)</f>
        <v>41831.333333333336</v>
      </c>
      <c r="H16" s="6" t="s">
        <v>70</v>
      </c>
      <c r="I16" s="17">
        <v>41841</v>
      </c>
      <c r="J16" s="294">
        <f>I16-C16</f>
        <v>10</v>
      </c>
      <c r="K16" s="268"/>
      <c r="L16" s="294">
        <f>I16-D16</f>
        <v>10</v>
      </c>
      <c r="M16" s="268"/>
      <c r="N16" s="294">
        <f>I16-E16</f>
        <v>9</v>
      </c>
      <c r="O16" s="272"/>
      <c r="P16" s="278" t="s">
        <v>29</v>
      </c>
      <c r="Q16" s="267"/>
      <c r="R16" s="307"/>
      <c r="S16" s="307"/>
      <c r="T16" s="307"/>
      <c r="U16" s="307"/>
      <c r="V16" s="307"/>
      <c r="W16" s="307"/>
      <c r="X16" s="307"/>
      <c r="Y16" s="307"/>
      <c r="Z16" s="308"/>
    </row>
    <row r="17" spans="1:26" ht="15.75" customHeight="1" x14ac:dyDescent="0.2">
      <c r="A17" s="323" t="s">
        <v>71</v>
      </c>
      <c r="B17" s="324"/>
      <c r="C17" s="50">
        <f>C16-C7</f>
        <v>35</v>
      </c>
      <c r="D17" s="50">
        <f>D16-D7</f>
        <v>33</v>
      </c>
      <c r="E17" s="50">
        <f>E16-E7</f>
        <v>32</v>
      </c>
      <c r="F17" s="172">
        <v>41838</v>
      </c>
      <c r="G17" s="51">
        <f>AVERAGE(C17:E17)</f>
        <v>33.333333333333336</v>
      </c>
      <c r="H17" s="6" t="s">
        <v>72</v>
      </c>
      <c r="I17" s="102">
        <v>41841</v>
      </c>
      <c r="J17" s="291">
        <v>255</v>
      </c>
      <c r="K17" s="268"/>
      <c r="L17" s="290">
        <v>218</v>
      </c>
      <c r="M17" s="268"/>
      <c r="N17" s="320">
        <v>161</v>
      </c>
      <c r="O17" s="272"/>
      <c r="P17" s="278" t="s">
        <v>29</v>
      </c>
      <c r="Q17" s="267"/>
      <c r="R17" s="307"/>
      <c r="S17" s="307"/>
      <c r="T17" s="307"/>
      <c r="U17" s="307"/>
      <c r="V17" s="307"/>
      <c r="W17" s="307"/>
      <c r="X17" s="307"/>
      <c r="Y17" s="307"/>
      <c r="Z17" s="308"/>
    </row>
    <row r="18" spans="1:26" ht="15.75" customHeight="1" x14ac:dyDescent="0.2">
      <c r="A18" s="327" t="s">
        <v>73</v>
      </c>
      <c r="B18" s="327"/>
      <c r="C18" s="325" t="s">
        <v>40</v>
      </c>
      <c r="D18" s="325" t="s">
        <v>41</v>
      </c>
      <c r="E18" s="325" t="s">
        <v>42</v>
      </c>
      <c r="F18" s="325" t="s">
        <v>43</v>
      </c>
      <c r="G18" s="326" t="s">
        <v>38</v>
      </c>
      <c r="H18" s="49" t="s">
        <v>78</v>
      </c>
      <c r="I18" s="10"/>
      <c r="J18" s="286" t="s">
        <v>29</v>
      </c>
      <c r="K18" s="268"/>
      <c r="L18" s="285" t="s">
        <v>29</v>
      </c>
      <c r="M18" s="268"/>
      <c r="N18" s="296" t="s">
        <v>29</v>
      </c>
      <c r="O18" s="272"/>
      <c r="P18" s="297" t="s">
        <v>29</v>
      </c>
      <c r="Q18" s="261"/>
      <c r="R18" s="307"/>
      <c r="S18" s="307"/>
      <c r="T18" s="307"/>
      <c r="U18" s="307"/>
      <c r="V18" s="307"/>
      <c r="W18" s="307"/>
      <c r="X18" s="307"/>
      <c r="Y18" s="307"/>
      <c r="Z18" s="308"/>
    </row>
    <row r="19" spans="1:26" ht="15" customHeight="1" x14ac:dyDescent="0.2">
      <c r="A19" s="328"/>
      <c r="B19" s="328"/>
      <c r="C19" s="261"/>
      <c r="D19" s="261"/>
      <c r="E19" s="261"/>
      <c r="F19" s="261"/>
      <c r="G19" s="261"/>
      <c r="H19" s="49" t="s">
        <v>67</v>
      </c>
      <c r="I19" s="10"/>
      <c r="J19" s="286" t="s">
        <v>29</v>
      </c>
      <c r="K19" s="268"/>
      <c r="L19" s="285" t="s">
        <v>29</v>
      </c>
      <c r="M19" s="268"/>
      <c r="N19" s="296" t="s">
        <v>29</v>
      </c>
      <c r="O19" s="272"/>
      <c r="P19" s="297" t="s">
        <v>29</v>
      </c>
      <c r="Q19" s="261"/>
      <c r="R19" s="307"/>
      <c r="S19" s="307"/>
      <c r="T19" s="307"/>
      <c r="U19" s="307"/>
      <c r="V19" s="307"/>
      <c r="W19" s="307"/>
      <c r="X19" s="307"/>
      <c r="Y19" s="307"/>
      <c r="Z19" s="308"/>
    </row>
    <row r="20" spans="1:26" ht="15.75" customHeight="1" x14ac:dyDescent="0.2">
      <c r="A20" s="312" t="s">
        <v>79</v>
      </c>
      <c r="B20" s="313"/>
      <c r="C20" s="214" t="s">
        <v>408</v>
      </c>
      <c r="D20" s="122" t="s">
        <v>408</v>
      </c>
      <c r="E20" s="122" t="s">
        <v>445</v>
      </c>
      <c r="F20" s="52" t="s">
        <v>29</v>
      </c>
      <c r="G20" s="52" t="s">
        <v>29</v>
      </c>
      <c r="H20" s="6" t="s">
        <v>68</v>
      </c>
      <c r="I20" s="10"/>
      <c r="J20" s="286" t="s">
        <v>29</v>
      </c>
      <c r="K20" s="268"/>
      <c r="L20" s="285" t="s">
        <v>29</v>
      </c>
      <c r="M20" s="268"/>
      <c r="N20" s="296" t="s">
        <v>29</v>
      </c>
      <c r="O20" s="272"/>
      <c r="P20" s="297" t="s">
        <v>29</v>
      </c>
      <c r="Q20" s="261"/>
      <c r="R20" s="307"/>
      <c r="S20" s="307"/>
      <c r="T20" s="307"/>
      <c r="U20" s="307"/>
      <c r="V20" s="307"/>
      <c r="W20" s="307"/>
      <c r="X20" s="307"/>
      <c r="Y20" s="307"/>
      <c r="Z20" s="308"/>
    </row>
    <row r="21" spans="1:26" ht="15.75" customHeight="1" x14ac:dyDescent="0.2">
      <c r="A21" s="312" t="s">
        <v>46</v>
      </c>
      <c r="B21" s="313"/>
      <c r="C21" s="122" t="s">
        <v>354</v>
      </c>
      <c r="D21" s="28" t="s">
        <v>355</v>
      </c>
      <c r="E21" s="28" t="s">
        <v>356</v>
      </c>
      <c r="F21" s="52" t="s">
        <v>29</v>
      </c>
      <c r="G21" s="18" t="s">
        <v>29</v>
      </c>
      <c r="H21" s="47" t="s">
        <v>80</v>
      </c>
      <c r="I21" s="17">
        <v>41846</v>
      </c>
      <c r="J21" s="294">
        <f>I21-C16</f>
        <v>15</v>
      </c>
      <c r="K21" s="268"/>
      <c r="L21" s="294">
        <f>I21-D16</f>
        <v>15</v>
      </c>
      <c r="M21" s="268"/>
      <c r="N21" s="294">
        <f>I21-E16</f>
        <v>14</v>
      </c>
      <c r="O21" s="272"/>
      <c r="P21" s="278" t="s">
        <v>29</v>
      </c>
      <c r="Q21" s="267"/>
      <c r="R21" s="307"/>
      <c r="S21" s="307"/>
      <c r="T21" s="307"/>
      <c r="U21" s="307"/>
      <c r="V21" s="307"/>
      <c r="W21" s="307"/>
      <c r="X21" s="307"/>
      <c r="Y21" s="307"/>
      <c r="Z21" s="308"/>
    </row>
    <row r="22" spans="1:26" ht="15.75" customHeight="1" x14ac:dyDescent="0.2">
      <c r="A22" s="312" t="s">
        <v>81</v>
      </c>
      <c r="B22" s="313"/>
      <c r="C22" s="29" t="s">
        <v>410</v>
      </c>
      <c r="D22" s="29" t="s">
        <v>410</v>
      </c>
      <c r="E22" s="29">
        <v>41856</v>
      </c>
      <c r="F22" s="52" t="s">
        <v>29</v>
      </c>
      <c r="G22" s="43" t="s">
        <v>29</v>
      </c>
      <c r="H22" s="48" t="s">
        <v>82</v>
      </c>
      <c r="I22" s="102">
        <v>41846</v>
      </c>
      <c r="J22" s="291">
        <v>441</v>
      </c>
      <c r="K22" s="268"/>
      <c r="L22" s="290">
        <v>394</v>
      </c>
      <c r="M22" s="268"/>
      <c r="N22" s="320">
        <v>395</v>
      </c>
      <c r="O22" s="272"/>
      <c r="P22" s="278" t="s">
        <v>29</v>
      </c>
      <c r="Q22" s="267"/>
      <c r="R22" s="307"/>
      <c r="S22" s="307"/>
      <c r="T22" s="307"/>
      <c r="U22" s="307"/>
      <c r="V22" s="307"/>
      <c r="W22" s="307"/>
      <c r="X22" s="307"/>
      <c r="Y22" s="307"/>
      <c r="Z22" s="308"/>
    </row>
    <row r="23" spans="1:26" ht="15.75" customHeight="1" x14ac:dyDescent="0.2">
      <c r="A23" s="312" t="s">
        <v>12</v>
      </c>
      <c r="B23" s="313"/>
      <c r="C23" s="28" t="s">
        <v>410</v>
      </c>
      <c r="D23" s="28" t="s">
        <v>410</v>
      </c>
      <c r="E23" s="18">
        <v>194719214</v>
      </c>
      <c r="F23" s="52" t="s">
        <v>29</v>
      </c>
      <c r="G23" s="43" t="s">
        <v>29</v>
      </c>
      <c r="H23" s="103" t="s">
        <v>370</v>
      </c>
      <c r="I23" s="8"/>
      <c r="J23" s="429" t="s">
        <v>369</v>
      </c>
      <c r="K23" s="268"/>
      <c r="L23" s="430" t="s">
        <v>369</v>
      </c>
      <c r="M23" s="268"/>
      <c r="N23" s="431" t="s">
        <v>369</v>
      </c>
      <c r="O23" s="272"/>
      <c r="P23" s="278" t="s">
        <v>29</v>
      </c>
      <c r="Q23" s="267"/>
      <c r="R23" s="307"/>
      <c r="S23" s="307"/>
      <c r="T23" s="307"/>
      <c r="U23" s="307"/>
      <c r="V23" s="307"/>
      <c r="W23" s="307"/>
      <c r="X23" s="307"/>
      <c r="Y23" s="307"/>
      <c r="Z23" s="308"/>
    </row>
    <row r="24" spans="1:26" ht="15.75" customHeight="1" x14ac:dyDescent="0.2">
      <c r="A24" s="312" t="s">
        <v>84</v>
      </c>
      <c r="B24" s="313"/>
      <c r="C24" s="29" t="s">
        <v>410</v>
      </c>
      <c r="D24" s="28" t="s">
        <v>410</v>
      </c>
      <c r="E24" s="28" t="s">
        <v>410</v>
      </c>
      <c r="F24" s="52" t="s">
        <v>29</v>
      </c>
      <c r="G24" s="43" t="s">
        <v>29</v>
      </c>
      <c r="H24" s="48" t="s">
        <v>67</v>
      </c>
      <c r="I24" s="10"/>
      <c r="J24" s="286" t="s">
        <v>29</v>
      </c>
      <c r="K24" s="268"/>
      <c r="L24" s="321" t="s">
        <v>29</v>
      </c>
      <c r="M24" s="268"/>
      <c r="N24" s="322" t="s">
        <v>29</v>
      </c>
      <c r="O24" s="272"/>
      <c r="P24" s="297" t="s">
        <v>29</v>
      </c>
      <c r="Q24" s="261"/>
      <c r="R24" s="307"/>
      <c r="S24" s="307"/>
      <c r="T24" s="307"/>
      <c r="U24" s="307"/>
      <c r="V24" s="307"/>
      <c r="W24" s="307"/>
      <c r="X24" s="307"/>
      <c r="Y24" s="307"/>
      <c r="Z24" s="308"/>
    </row>
    <row r="25" spans="1:26" ht="15.75" customHeight="1" x14ac:dyDescent="0.2">
      <c r="A25" s="312" t="s">
        <v>11</v>
      </c>
      <c r="B25" s="313"/>
      <c r="C25" s="29" t="s">
        <v>410</v>
      </c>
      <c r="D25" s="28" t="s">
        <v>410</v>
      </c>
      <c r="E25" s="28" t="s">
        <v>413</v>
      </c>
      <c r="F25" s="52" t="s">
        <v>29</v>
      </c>
      <c r="G25" s="43" t="s">
        <v>29</v>
      </c>
      <c r="H25" s="48" t="s">
        <v>68</v>
      </c>
      <c r="I25" s="10"/>
      <c r="J25" s="286" t="s">
        <v>29</v>
      </c>
      <c r="K25" s="268"/>
      <c r="L25" s="321" t="s">
        <v>29</v>
      </c>
      <c r="M25" s="268"/>
      <c r="N25" s="322" t="s">
        <v>29</v>
      </c>
      <c r="O25" s="272"/>
      <c r="P25" s="297" t="s">
        <v>29</v>
      </c>
      <c r="Q25" s="261"/>
      <c r="R25" s="307"/>
      <c r="S25" s="307"/>
      <c r="T25" s="307"/>
      <c r="U25" s="307"/>
      <c r="V25" s="307"/>
      <c r="W25" s="307"/>
      <c r="X25" s="307"/>
      <c r="Y25" s="307"/>
      <c r="Z25" s="308"/>
    </row>
    <row r="26" spans="1:26" ht="15.75" customHeight="1" x14ac:dyDescent="0.2">
      <c r="A26" s="314" t="s">
        <v>85</v>
      </c>
      <c r="B26" s="315"/>
      <c r="C26" s="108">
        <v>41856</v>
      </c>
      <c r="D26" s="108">
        <v>41856</v>
      </c>
      <c r="E26" s="28" t="s">
        <v>410</v>
      </c>
      <c r="F26" s="52" t="s">
        <v>29</v>
      </c>
      <c r="G26" s="43" t="s">
        <v>29</v>
      </c>
      <c r="H26" s="104" t="s">
        <v>372</v>
      </c>
      <c r="I26" s="102">
        <v>41851</v>
      </c>
      <c r="J26" s="291">
        <f>I26-C16</f>
        <v>20</v>
      </c>
      <c r="K26" s="268"/>
      <c r="L26" s="291">
        <f>I26-D16</f>
        <v>20</v>
      </c>
      <c r="M26" s="268"/>
      <c r="N26" s="432">
        <f>I26-E16</f>
        <v>19</v>
      </c>
      <c r="O26" s="433"/>
      <c r="P26" s="278" t="s">
        <v>29</v>
      </c>
      <c r="Q26" s="267"/>
      <c r="R26" s="307"/>
      <c r="S26" s="307"/>
      <c r="T26" s="307"/>
      <c r="U26" s="307"/>
      <c r="V26" s="307"/>
      <c r="W26" s="307"/>
      <c r="X26" s="307"/>
      <c r="Y26" s="307"/>
      <c r="Z26" s="308"/>
    </row>
    <row r="27" spans="1:26" ht="15.75" customHeight="1" x14ac:dyDescent="0.2">
      <c r="A27" s="316" t="s">
        <v>87</v>
      </c>
      <c r="B27" s="317"/>
      <c r="C27" s="213">
        <f>C26-C16</f>
        <v>25</v>
      </c>
      <c r="D27" s="28">
        <f>D26-D16</f>
        <v>25</v>
      </c>
      <c r="E27" s="28" t="s">
        <v>410</v>
      </c>
      <c r="F27" s="18" t="s">
        <v>29</v>
      </c>
      <c r="G27" s="43" t="s">
        <v>29</v>
      </c>
      <c r="H27" s="103" t="s">
        <v>373</v>
      </c>
      <c r="I27" s="102">
        <v>41851</v>
      </c>
      <c r="J27" s="291">
        <v>516</v>
      </c>
      <c r="K27" s="268"/>
      <c r="L27" s="290">
        <v>487</v>
      </c>
      <c r="M27" s="268"/>
      <c r="N27" s="320">
        <v>555</v>
      </c>
      <c r="O27" s="272"/>
      <c r="P27" s="278" t="s">
        <v>29</v>
      </c>
      <c r="Q27" s="267"/>
      <c r="R27" s="307"/>
      <c r="S27" s="307"/>
      <c r="T27" s="307"/>
      <c r="U27" s="307"/>
      <c r="V27" s="307"/>
      <c r="W27" s="307"/>
      <c r="X27" s="307"/>
      <c r="Y27" s="307"/>
      <c r="Z27" s="308"/>
    </row>
    <row r="28" spans="1:26" ht="15.75" customHeight="1" x14ac:dyDescent="0.2">
      <c r="A28" s="61"/>
      <c r="B28" s="7"/>
      <c r="C28" s="4"/>
      <c r="D28" s="4"/>
      <c r="E28" s="4"/>
      <c r="F28" s="4"/>
      <c r="G28" s="4"/>
      <c r="H28" s="48" t="s">
        <v>86</v>
      </c>
      <c r="I28" s="10"/>
      <c r="J28" s="286" t="s">
        <v>29</v>
      </c>
      <c r="K28" s="268"/>
      <c r="L28" s="321" t="s">
        <v>29</v>
      </c>
      <c r="M28" s="268"/>
      <c r="N28" s="322" t="s">
        <v>29</v>
      </c>
      <c r="O28" s="272"/>
      <c r="P28" s="297" t="s">
        <v>29</v>
      </c>
      <c r="Q28" s="261"/>
      <c r="R28" s="53"/>
      <c r="S28" s="30"/>
      <c r="T28" s="4"/>
      <c r="U28" s="4"/>
      <c r="V28" s="4"/>
      <c r="W28" s="26"/>
      <c r="X28" s="4"/>
      <c r="Y28" s="4"/>
      <c r="Z28" s="4"/>
    </row>
    <row r="29" spans="1:26" ht="18" customHeight="1" x14ac:dyDescent="0.2">
      <c r="H29" s="48" t="s">
        <v>88</v>
      </c>
      <c r="I29" s="10"/>
      <c r="J29" s="286">
        <v>18</v>
      </c>
      <c r="K29" s="268"/>
      <c r="L29" s="321">
        <v>18</v>
      </c>
      <c r="M29" s="268"/>
      <c r="N29" s="322" t="s">
        <v>29</v>
      </c>
      <c r="O29" s="272"/>
      <c r="P29" s="297" t="s">
        <v>29</v>
      </c>
      <c r="Q29" s="261"/>
    </row>
    <row r="30" spans="1:26" ht="18" customHeight="1" x14ac:dyDescent="0.2">
      <c r="H30" s="104" t="s">
        <v>414</v>
      </c>
      <c r="I30" s="17">
        <v>41856</v>
      </c>
      <c r="J30" s="294" t="s">
        <v>410</v>
      </c>
      <c r="K30" s="268"/>
      <c r="L30" s="294" t="s">
        <v>410</v>
      </c>
      <c r="M30" s="268"/>
      <c r="N30" s="294">
        <f>I30-E16</f>
        <v>24</v>
      </c>
      <c r="O30" s="272"/>
      <c r="P30" s="278" t="s">
        <v>29</v>
      </c>
      <c r="Q30" s="267"/>
    </row>
    <row r="31" spans="1:26" ht="18" customHeight="1" x14ac:dyDescent="0.2">
      <c r="H31" s="103" t="s">
        <v>415</v>
      </c>
      <c r="I31" s="17">
        <v>41856</v>
      </c>
      <c r="J31" s="429" t="s">
        <v>410</v>
      </c>
      <c r="K31" s="268"/>
      <c r="L31" s="430" t="s">
        <v>410</v>
      </c>
      <c r="M31" s="268"/>
      <c r="N31" s="320">
        <v>806</v>
      </c>
      <c r="O31" s="272"/>
      <c r="P31" s="278" t="s">
        <v>29</v>
      </c>
      <c r="Q31" s="267"/>
    </row>
    <row r="32" spans="1:26" ht="18" customHeight="1" x14ac:dyDescent="0.2">
      <c r="H32" s="103" t="s">
        <v>370</v>
      </c>
      <c r="I32" s="17">
        <v>41856</v>
      </c>
      <c r="J32" s="286" t="s">
        <v>29</v>
      </c>
      <c r="K32" s="268"/>
      <c r="L32" s="286" t="s">
        <v>29</v>
      </c>
      <c r="M32" s="268"/>
      <c r="N32" s="431" t="s">
        <v>369</v>
      </c>
      <c r="O32" s="272"/>
      <c r="P32" s="286" t="s">
        <v>29</v>
      </c>
      <c r="Q32" s="268"/>
    </row>
    <row r="33" spans="8:17" ht="18" customHeight="1" x14ac:dyDescent="0.2">
      <c r="H33" s="48" t="s">
        <v>67</v>
      </c>
      <c r="I33" s="10"/>
      <c r="J33" s="286" t="s">
        <v>29</v>
      </c>
      <c r="K33" s="268"/>
      <c r="L33" s="321" t="s">
        <v>29</v>
      </c>
      <c r="M33" s="268"/>
      <c r="N33" s="322" t="s">
        <v>29</v>
      </c>
      <c r="O33" s="272"/>
      <c r="P33" s="297" t="s">
        <v>29</v>
      </c>
      <c r="Q33" s="261"/>
    </row>
    <row r="34" spans="8:17" ht="18" customHeight="1" x14ac:dyDescent="0.2">
      <c r="H34" s="48" t="s">
        <v>68</v>
      </c>
      <c r="I34" s="10"/>
      <c r="J34" s="286" t="s">
        <v>29</v>
      </c>
      <c r="K34" s="268"/>
      <c r="L34" s="321" t="s">
        <v>29</v>
      </c>
      <c r="M34" s="268"/>
      <c r="N34" s="322" t="s">
        <v>29</v>
      </c>
      <c r="O34" s="272"/>
      <c r="P34" s="297" t="s">
        <v>29</v>
      </c>
      <c r="Q34" s="261"/>
    </row>
    <row r="35" spans="8:17" ht="18" customHeight="1" x14ac:dyDescent="0.2">
      <c r="H35" s="104" t="s">
        <v>414</v>
      </c>
      <c r="I35" s="17">
        <v>41861</v>
      </c>
      <c r="J35" s="294" t="s">
        <v>410</v>
      </c>
      <c r="K35" s="268"/>
      <c r="L35" s="294" t="s">
        <v>410</v>
      </c>
      <c r="M35" s="268"/>
      <c r="N35" s="294" t="e">
        <f>I35-E21</f>
        <v>#VALUE!</v>
      </c>
      <c r="O35" s="272"/>
      <c r="P35" s="278" t="s">
        <v>29</v>
      </c>
      <c r="Q35" s="267"/>
    </row>
    <row r="36" spans="8:17" ht="18" customHeight="1" x14ac:dyDescent="0.2">
      <c r="H36" s="103" t="s">
        <v>415</v>
      </c>
      <c r="I36" s="17">
        <v>41861</v>
      </c>
      <c r="J36" s="429" t="s">
        <v>410</v>
      </c>
      <c r="K36" s="268"/>
      <c r="L36" s="430" t="s">
        <v>410</v>
      </c>
      <c r="M36" s="268"/>
      <c r="N36" s="320">
        <v>870</v>
      </c>
      <c r="O36" s="272"/>
      <c r="P36" s="278" t="s">
        <v>29</v>
      </c>
      <c r="Q36" s="267"/>
    </row>
    <row r="37" spans="8:17" ht="18" customHeight="1" x14ac:dyDescent="0.2">
      <c r="H37" s="103" t="s">
        <v>370</v>
      </c>
      <c r="I37" s="10"/>
      <c r="J37" s="286" t="s">
        <v>29</v>
      </c>
      <c r="K37" s="268"/>
      <c r="L37" s="286" t="s">
        <v>29</v>
      </c>
      <c r="M37" s="268"/>
      <c r="N37" s="286" t="s">
        <v>29</v>
      </c>
      <c r="O37" s="268"/>
      <c r="P37" s="286" t="s">
        <v>29</v>
      </c>
      <c r="Q37" s="268"/>
    </row>
    <row r="38" spans="8:17" ht="18" customHeight="1" x14ac:dyDescent="0.2">
      <c r="H38" s="48" t="s">
        <v>67</v>
      </c>
      <c r="I38" s="10"/>
      <c r="J38" s="286" t="s">
        <v>29</v>
      </c>
      <c r="K38" s="268"/>
      <c r="L38" s="321" t="s">
        <v>29</v>
      </c>
      <c r="M38" s="268"/>
      <c r="N38" s="322" t="s">
        <v>29</v>
      </c>
      <c r="O38" s="272"/>
      <c r="P38" s="297" t="s">
        <v>29</v>
      </c>
      <c r="Q38" s="261"/>
    </row>
    <row r="39" spans="8:17" ht="18" customHeight="1" x14ac:dyDescent="0.2">
      <c r="H39" s="48" t="s">
        <v>68</v>
      </c>
      <c r="I39" s="10"/>
      <c r="J39" s="286" t="s">
        <v>29</v>
      </c>
      <c r="K39" s="268"/>
      <c r="L39" s="321" t="s">
        <v>29</v>
      </c>
      <c r="M39" s="268"/>
      <c r="N39" s="322" t="s">
        <v>29</v>
      </c>
      <c r="O39" s="272"/>
      <c r="P39" s="297" t="s">
        <v>29</v>
      </c>
      <c r="Q39" s="261"/>
    </row>
    <row r="47" spans="8:17" ht="18" customHeight="1" x14ac:dyDescent="0.2">
      <c r="I47" s="17">
        <v>41856</v>
      </c>
      <c r="J47" s="429" t="s">
        <v>410</v>
      </c>
      <c r="K47" s="268"/>
      <c r="L47" s="430" t="s">
        <v>410</v>
      </c>
      <c r="M47" s="268"/>
      <c r="N47" s="431" t="s">
        <v>369</v>
      </c>
      <c r="O47" s="272"/>
      <c r="P47" s="367" t="s">
        <v>410</v>
      </c>
      <c r="Q47" s="261"/>
    </row>
    <row r="48" spans="8:17" ht="18" customHeight="1" x14ac:dyDescent="0.2">
      <c r="I48" s="17">
        <v>41856</v>
      </c>
      <c r="J48" s="429" t="s">
        <v>410</v>
      </c>
      <c r="K48" s="268"/>
      <c r="L48" s="430" t="s">
        <v>410</v>
      </c>
      <c r="M48" s="268"/>
      <c r="N48" s="431" t="s">
        <v>369</v>
      </c>
      <c r="O48" s="272"/>
      <c r="P48" s="367" t="s">
        <v>410</v>
      </c>
      <c r="Q48" s="261"/>
    </row>
  </sheetData>
  <mergeCells count="184">
    <mergeCell ref="J38:K38"/>
    <mergeCell ref="L38:M38"/>
    <mergeCell ref="N38:O38"/>
    <mergeCell ref="P38:Q38"/>
    <mergeCell ref="J39:K39"/>
    <mergeCell ref="L39:M39"/>
    <mergeCell ref="N39:O39"/>
    <mergeCell ref="P39:Q39"/>
    <mergeCell ref="N35:O35"/>
    <mergeCell ref="P35:Q35"/>
    <mergeCell ref="J36:K36"/>
    <mergeCell ref="L36:M36"/>
    <mergeCell ref="N36:O36"/>
    <mergeCell ref="P36:Q36"/>
    <mergeCell ref="J37:K37"/>
    <mergeCell ref="L37:M37"/>
    <mergeCell ref="N37:O37"/>
    <mergeCell ref="P37:Q37"/>
    <mergeCell ref="N30:O30"/>
    <mergeCell ref="P30:Q30"/>
    <mergeCell ref="J48:K48"/>
    <mergeCell ref="L48:M48"/>
    <mergeCell ref="N48:O48"/>
    <mergeCell ref="P48:Q48"/>
    <mergeCell ref="J47:K47"/>
    <mergeCell ref="L47:M47"/>
    <mergeCell ref="N47:O47"/>
    <mergeCell ref="P47:Q47"/>
    <mergeCell ref="J33:K33"/>
    <mergeCell ref="L33:M33"/>
    <mergeCell ref="N33:O33"/>
    <mergeCell ref="P33:Q33"/>
    <mergeCell ref="J34:K34"/>
    <mergeCell ref="L34:M34"/>
    <mergeCell ref="N34:O34"/>
    <mergeCell ref="P34:Q34"/>
    <mergeCell ref="J31:K31"/>
    <mergeCell ref="L31:M31"/>
    <mergeCell ref="N31:O31"/>
    <mergeCell ref="P31:Q31"/>
    <mergeCell ref="J35:K35"/>
    <mergeCell ref="L35:M35"/>
    <mergeCell ref="J32:K32"/>
    <mergeCell ref="L32:M32"/>
    <mergeCell ref="N32:O32"/>
    <mergeCell ref="P32:Q32"/>
    <mergeCell ref="A26:B26"/>
    <mergeCell ref="J26:K26"/>
    <mergeCell ref="L26:M26"/>
    <mergeCell ref="N26:O26"/>
    <mergeCell ref="P26:Q26"/>
    <mergeCell ref="A27:B27"/>
    <mergeCell ref="J27:K27"/>
    <mergeCell ref="L27:M27"/>
    <mergeCell ref="N27:O27"/>
    <mergeCell ref="P27:Q27"/>
    <mergeCell ref="J28:K28"/>
    <mergeCell ref="L28:M28"/>
    <mergeCell ref="N28:O28"/>
    <mergeCell ref="P28:Q28"/>
    <mergeCell ref="J29:K29"/>
    <mergeCell ref="L29:M29"/>
    <mergeCell ref="N29:O29"/>
    <mergeCell ref="P29:Q29"/>
    <mergeCell ref="J30:K30"/>
    <mergeCell ref="L30:M30"/>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legacy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68</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169</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69</v>
      </c>
      <c r="G1" s="241" t="s">
        <v>3</v>
      </c>
      <c r="H1" s="235" t="s">
        <v>4</v>
      </c>
      <c r="I1" s="329" t="s">
        <v>5</v>
      </c>
      <c r="J1" s="261"/>
      <c r="K1" s="262" t="s">
        <v>359</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200">
        <v>41842</v>
      </c>
      <c r="D3" s="71" t="s">
        <v>29</v>
      </c>
      <c r="E3" s="71" t="s">
        <v>235</v>
      </c>
      <c r="F3" s="71" t="s">
        <v>235</v>
      </c>
      <c r="G3" s="71" t="s">
        <v>225</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200">
        <v>41841</v>
      </c>
      <c r="D5" s="71" t="s">
        <v>29</v>
      </c>
      <c r="E5" s="71" t="s">
        <v>29</v>
      </c>
      <c r="F5" s="71" t="s">
        <v>381</v>
      </c>
      <c r="G5" s="71" t="s">
        <v>225</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360</v>
      </c>
      <c r="K7" s="267"/>
      <c r="L7" s="346" t="s">
        <v>361</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41841</v>
      </c>
      <c r="J8" s="341">
        <f>IF(((I8-C16)&gt;0),(I8-C16),"/")</f>
        <v>41841</v>
      </c>
      <c r="K8" s="336"/>
      <c r="L8" s="341">
        <f>IF(((I8-D16)&gt;0),(I8-D16),"/")</f>
        <v>41841</v>
      </c>
      <c r="M8" s="336"/>
      <c r="N8" s="341">
        <f>IF(((I8-E16)&gt;0),(I8-E16),"/")</f>
        <v>41841</v>
      </c>
      <c r="O8" s="336"/>
      <c r="P8" s="341">
        <f>IF(((I8-F16)&gt;0),(I8-F16),"/")</f>
        <v>41841</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63">
        <v>41841</v>
      </c>
      <c r="J9" s="355">
        <v>43</v>
      </c>
      <c r="K9" s="336"/>
      <c r="L9" s="356">
        <v>37</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41848</v>
      </c>
      <c r="J11" s="341">
        <f>I11-C16</f>
        <v>41848</v>
      </c>
      <c r="K11" s="336"/>
      <c r="L11" s="341">
        <f>I11-D16</f>
        <v>41848</v>
      </c>
      <c r="M11" s="336"/>
      <c r="N11" s="341">
        <f>I11-E16</f>
        <v>41848</v>
      </c>
      <c r="O11" s="336"/>
      <c r="P11" s="362">
        <f>I11-F16</f>
        <v>41848</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66">
        <v>41848</v>
      </c>
      <c r="J12" s="355">
        <v>133</v>
      </c>
      <c r="K12" s="336"/>
      <c r="L12" s="356">
        <v>95</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375</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70</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175</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B17" sqref="AB1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71</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259</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5"/>
  <sheetViews>
    <sheetView topLeftCell="A4" zoomScaleNormal="100" workbookViewId="0">
      <selection activeCell="AB30" sqref="AB30"/>
    </sheetView>
  </sheetViews>
  <sheetFormatPr defaultColWidth="11.85546875" defaultRowHeight="18" customHeight="1" x14ac:dyDescent="0.2"/>
  <cols>
    <col min="1" max="1" width="9.140625" style="25" customWidth="1"/>
    <col min="2" max="2" width="6.28515625" style="25" customWidth="1"/>
    <col min="3" max="3" width="13" style="25" bestFit="1" customWidth="1"/>
    <col min="4" max="4" width="6.85546875" style="25" customWidth="1"/>
    <col min="5" max="5" width="14.140625" style="25" bestFit="1" customWidth="1"/>
    <col min="6" max="6" width="13" style="25" bestFit="1"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6.42578125" style="25" customWidth="1"/>
    <col min="28" max="29" width="11.85546875" style="25"/>
    <col min="30" max="30" width="12.5703125" style="25" customWidth="1"/>
    <col min="31" max="16384" width="11.85546875" style="25"/>
  </cols>
  <sheetData>
    <row r="1" spans="1:33" ht="12.75" x14ac:dyDescent="0.2">
      <c r="A1" s="132" t="s">
        <v>0</v>
      </c>
      <c r="B1" s="125">
        <v>2014</v>
      </c>
      <c r="C1" s="132" t="s">
        <v>1</v>
      </c>
      <c r="D1" s="125"/>
      <c r="E1" s="132" t="s">
        <v>2</v>
      </c>
      <c r="F1" s="125">
        <v>72</v>
      </c>
      <c r="G1" s="133" t="s">
        <v>3</v>
      </c>
      <c r="H1" s="125" t="s">
        <v>4</v>
      </c>
      <c r="I1" s="329" t="s">
        <v>5</v>
      </c>
      <c r="J1" s="261"/>
      <c r="K1" s="497" t="s">
        <v>328</v>
      </c>
      <c r="L1" s="498"/>
      <c r="M1" s="498"/>
      <c r="N1" s="498"/>
      <c r="O1" s="499"/>
      <c r="P1" s="333" t="s">
        <v>6</v>
      </c>
      <c r="Q1" s="261"/>
      <c r="R1" s="334"/>
      <c r="S1" s="272"/>
      <c r="T1" s="135"/>
      <c r="U1" s="135"/>
      <c r="V1" s="135"/>
      <c r="W1" s="135"/>
      <c r="X1" s="135"/>
      <c r="Y1" s="135"/>
      <c r="Z1" s="136"/>
    </row>
    <row r="2" spans="1:33"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99" t="s">
        <v>90</v>
      </c>
      <c r="AD2" s="31" t="s">
        <v>95</v>
      </c>
    </row>
    <row r="3" spans="1:33"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B3" s="96"/>
      <c r="AC3" s="96"/>
      <c r="AD3" s="96"/>
    </row>
    <row r="4" spans="1:33"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99" t="s">
        <v>90</v>
      </c>
      <c r="AD4" s="31" t="s">
        <v>95</v>
      </c>
      <c r="AE4" s="95" t="s">
        <v>346</v>
      </c>
      <c r="AF4" s="95" t="s">
        <v>347</v>
      </c>
      <c r="AG4" s="95" t="s">
        <v>348</v>
      </c>
    </row>
    <row r="5" spans="1:33" ht="15.75" customHeight="1" x14ac:dyDescent="0.2">
      <c r="A5" s="71" t="s">
        <v>103</v>
      </c>
      <c r="B5" s="144">
        <v>41783</v>
      </c>
      <c r="C5" s="80" t="s">
        <v>179</v>
      </c>
      <c r="D5" s="80" t="s">
        <v>29</v>
      </c>
      <c r="E5" s="80" t="s">
        <v>181</v>
      </c>
      <c r="F5" s="80" t="s">
        <v>180</v>
      </c>
      <c r="G5" s="80" t="s">
        <v>215</v>
      </c>
      <c r="H5" s="80" t="s">
        <v>29</v>
      </c>
      <c r="I5" s="80" t="s">
        <v>29</v>
      </c>
      <c r="J5" s="80">
        <v>1012</v>
      </c>
      <c r="K5" s="80">
        <v>5</v>
      </c>
      <c r="L5" s="91" t="s">
        <v>29</v>
      </c>
      <c r="M5" s="91" t="s">
        <v>29</v>
      </c>
      <c r="N5" s="80">
        <v>360</v>
      </c>
      <c r="O5" s="80">
        <v>166</v>
      </c>
      <c r="P5" s="145" t="s">
        <v>29</v>
      </c>
      <c r="Q5" s="145" t="s">
        <v>29</v>
      </c>
      <c r="R5" s="145" t="s">
        <v>29</v>
      </c>
      <c r="S5" s="145" t="s">
        <v>29</v>
      </c>
      <c r="T5" s="145" t="s">
        <v>29</v>
      </c>
      <c r="U5" s="80" t="s">
        <v>4</v>
      </c>
      <c r="V5" s="80" t="s">
        <v>153</v>
      </c>
      <c r="W5" s="80" t="s">
        <v>154</v>
      </c>
      <c r="X5" s="145" t="s">
        <v>29</v>
      </c>
      <c r="Y5" s="145" t="s">
        <v>29</v>
      </c>
      <c r="Z5" s="145" t="s">
        <v>29</v>
      </c>
      <c r="AA5" s="69" t="s">
        <v>112</v>
      </c>
      <c r="AB5" s="69" t="s">
        <v>205</v>
      </c>
      <c r="AC5" s="96"/>
      <c r="AD5" s="96"/>
      <c r="AE5" s="69" t="s">
        <v>216</v>
      </c>
      <c r="AF5" s="96">
        <v>49</v>
      </c>
      <c r="AG5" s="96">
        <v>5.9</v>
      </c>
    </row>
    <row r="6" spans="1:33" ht="15.75" customHeight="1" x14ac:dyDescent="0.2">
      <c r="A6" s="71" t="s">
        <v>103</v>
      </c>
      <c r="B6" s="146">
        <v>41804</v>
      </c>
      <c r="C6" s="128"/>
      <c r="D6" s="128"/>
      <c r="E6" s="128"/>
      <c r="F6" s="128" t="s">
        <v>180</v>
      </c>
      <c r="G6" s="128" t="s">
        <v>225</v>
      </c>
      <c r="H6" s="128"/>
      <c r="I6" s="128"/>
      <c r="J6" s="128"/>
      <c r="K6" s="128"/>
      <c r="L6" s="147"/>
      <c r="M6" s="147"/>
      <c r="N6" s="128"/>
      <c r="O6" s="128"/>
      <c r="P6" s="148"/>
      <c r="Q6" s="148"/>
      <c r="R6" s="148"/>
      <c r="S6" s="148"/>
      <c r="T6" s="148"/>
      <c r="U6" s="128"/>
      <c r="V6" s="128"/>
      <c r="W6" s="128"/>
      <c r="X6" s="148"/>
      <c r="Y6" s="148"/>
      <c r="Z6" s="148"/>
      <c r="AA6" s="69"/>
      <c r="AB6" s="96"/>
      <c r="AC6" s="96"/>
      <c r="AD6" s="69" t="s">
        <v>205</v>
      </c>
      <c r="AE6" s="96"/>
      <c r="AF6" s="96"/>
      <c r="AG6" s="96"/>
    </row>
    <row r="7" spans="1:33" ht="16.5" customHeight="1" x14ac:dyDescent="0.2">
      <c r="A7" s="149" t="s">
        <v>33</v>
      </c>
      <c r="B7" s="139" t="s">
        <v>9</v>
      </c>
      <c r="C7" s="150" t="s">
        <v>34</v>
      </c>
      <c r="D7" s="150" t="s">
        <v>35</v>
      </c>
      <c r="E7" s="150" t="s">
        <v>36</v>
      </c>
      <c r="F7" s="150" t="s">
        <v>37</v>
      </c>
      <c r="G7" s="150" t="s">
        <v>38</v>
      </c>
      <c r="H7" s="151" t="s">
        <v>39</v>
      </c>
      <c r="I7" s="152" t="s">
        <v>9</v>
      </c>
      <c r="J7" s="420" t="s">
        <v>40</v>
      </c>
      <c r="K7" s="420"/>
      <c r="L7" s="420" t="s">
        <v>41</v>
      </c>
      <c r="M7" s="420"/>
      <c r="N7" s="420" t="s">
        <v>42</v>
      </c>
      <c r="O7" s="420"/>
      <c r="P7" s="420" t="s">
        <v>43</v>
      </c>
      <c r="Q7" s="420"/>
      <c r="R7" s="74"/>
      <c r="S7" s="421" t="s">
        <v>44</v>
      </c>
      <c r="T7" s="422"/>
      <c r="U7" s="422"/>
      <c r="V7" s="422"/>
      <c r="W7" s="422"/>
      <c r="X7" s="422"/>
      <c r="Y7" s="422"/>
      <c r="Z7" s="267"/>
    </row>
    <row r="8" spans="1:33" ht="15.75" customHeight="1" x14ac:dyDescent="0.2">
      <c r="A8" s="154" t="s">
        <v>45</v>
      </c>
      <c r="B8" s="142"/>
      <c r="C8" s="155" t="s">
        <v>260</v>
      </c>
      <c r="D8" s="155" t="s">
        <v>260</v>
      </c>
      <c r="E8" s="155" t="s">
        <v>260</v>
      </c>
      <c r="F8" s="155"/>
      <c r="G8" s="156" t="e">
        <f>AVERAGE(C8:F8)</f>
        <v>#DIV/0!</v>
      </c>
      <c r="H8" s="157" t="s">
        <v>46</v>
      </c>
      <c r="I8" s="158"/>
      <c r="J8" s="276" t="s">
        <v>354</v>
      </c>
      <c r="K8" s="267"/>
      <c r="L8" s="346" t="s">
        <v>355</v>
      </c>
      <c r="M8" s="267"/>
      <c r="N8" s="346" t="s">
        <v>356</v>
      </c>
      <c r="O8" s="267"/>
      <c r="P8" s="397" t="s">
        <v>29</v>
      </c>
      <c r="Q8" s="486"/>
      <c r="R8" s="159" t="s">
        <v>47</v>
      </c>
      <c r="S8" s="160"/>
      <c r="T8" s="106">
        <v>3</v>
      </c>
      <c r="U8" s="348" t="s">
        <v>48</v>
      </c>
      <c r="V8" s="348"/>
      <c r="W8" s="348"/>
      <c r="X8" s="349" t="s">
        <v>29</v>
      </c>
      <c r="Y8" s="350"/>
      <c r="Z8" s="351"/>
    </row>
    <row r="9" spans="1:33" ht="15.75" customHeight="1" x14ac:dyDescent="0.2">
      <c r="A9" s="161" t="s">
        <v>49</v>
      </c>
      <c r="B9" s="142" t="s">
        <v>29</v>
      </c>
      <c r="C9" s="142" t="s">
        <v>29</v>
      </c>
      <c r="D9" s="142" t="s">
        <v>29</v>
      </c>
      <c r="E9" s="142" t="s">
        <v>29</v>
      </c>
      <c r="F9" s="142" t="s">
        <v>29</v>
      </c>
      <c r="G9" s="162"/>
      <c r="H9" s="157" t="s">
        <v>50</v>
      </c>
      <c r="I9" s="163">
        <v>41840</v>
      </c>
      <c r="J9" s="341">
        <f>I9-C17</f>
        <v>5</v>
      </c>
      <c r="K9" s="336"/>
      <c r="L9" s="341">
        <f>I9-D17</f>
        <v>4</v>
      </c>
      <c r="M9" s="336"/>
      <c r="N9" s="341">
        <f>I9-E17</f>
        <v>4</v>
      </c>
      <c r="O9" s="336"/>
      <c r="P9" s="354">
        <v>0</v>
      </c>
      <c r="Q9" s="272"/>
      <c r="R9" s="164" t="s">
        <v>51</v>
      </c>
      <c r="S9" s="165"/>
      <c r="T9" s="106">
        <v>0</v>
      </c>
      <c r="U9" s="342" t="s">
        <v>52</v>
      </c>
      <c r="V9" s="342"/>
      <c r="W9" s="342"/>
      <c r="X9" s="343" t="s">
        <v>29</v>
      </c>
      <c r="Y9" s="344"/>
      <c r="Z9" s="345"/>
    </row>
    <row r="10" spans="1:33" ht="15.75" customHeight="1" x14ac:dyDescent="0.2">
      <c r="A10" s="161" t="s">
        <v>49</v>
      </c>
      <c r="B10" s="142" t="s">
        <v>29</v>
      </c>
      <c r="C10" s="142" t="s">
        <v>29</v>
      </c>
      <c r="D10" s="142" t="s">
        <v>29</v>
      </c>
      <c r="E10" s="142" t="s">
        <v>29</v>
      </c>
      <c r="F10" s="142" t="s">
        <v>29</v>
      </c>
      <c r="G10" s="162"/>
      <c r="H10" s="157" t="s">
        <v>53</v>
      </c>
      <c r="I10" s="166">
        <v>41840</v>
      </c>
      <c r="J10" s="355">
        <v>65</v>
      </c>
      <c r="K10" s="336"/>
      <c r="L10" s="356">
        <v>59</v>
      </c>
      <c r="M10" s="336"/>
      <c r="N10" s="356">
        <v>40</v>
      </c>
      <c r="O10" s="336"/>
      <c r="P10" s="363" t="s">
        <v>29</v>
      </c>
      <c r="Q10" s="293"/>
      <c r="R10" s="164" t="s">
        <v>54</v>
      </c>
      <c r="S10" s="165"/>
      <c r="T10" s="106">
        <v>3</v>
      </c>
      <c r="U10" s="342" t="s">
        <v>55</v>
      </c>
      <c r="V10" s="342"/>
      <c r="W10" s="342"/>
      <c r="X10" s="343" t="s">
        <v>29</v>
      </c>
      <c r="Y10" s="344"/>
      <c r="Z10" s="345"/>
    </row>
    <row r="11" spans="1:33" ht="15" customHeight="1" x14ac:dyDescent="0.2">
      <c r="A11" s="161" t="s">
        <v>49</v>
      </c>
      <c r="B11" s="142" t="s">
        <v>29</v>
      </c>
      <c r="C11" s="142" t="s">
        <v>29</v>
      </c>
      <c r="D11" s="142" t="s">
        <v>29</v>
      </c>
      <c r="E11" s="142" t="s">
        <v>29</v>
      </c>
      <c r="F11" s="142" t="s">
        <v>29</v>
      </c>
      <c r="G11" s="162"/>
      <c r="H11" s="157" t="s">
        <v>56</v>
      </c>
      <c r="I11" s="167"/>
      <c r="J11" s="504" t="s">
        <v>29</v>
      </c>
      <c r="K11" s="293"/>
      <c r="L11" s="505" t="s">
        <v>29</v>
      </c>
      <c r="M11" s="293"/>
      <c r="N11" s="505" t="s">
        <v>29</v>
      </c>
      <c r="O11" s="293"/>
      <c r="P11" s="354" t="s">
        <v>29</v>
      </c>
      <c r="Q11" s="336"/>
      <c r="R11" s="164" t="s">
        <v>57</v>
      </c>
      <c r="S11" s="165"/>
      <c r="T11" s="106">
        <v>1</v>
      </c>
      <c r="U11" s="342" t="s">
        <v>58</v>
      </c>
      <c r="V11" s="342"/>
      <c r="W11" s="342"/>
      <c r="X11" s="343" t="s">
        <v>29</v>
      </c>
      <c r="Y11" s="344"/>
      <c r="Z11" s="345"/>
    </row>
    <row r="12" spans="1:33" ht="15" customHeight="1" x14ac:dyDescent="0.2">
      <c r="A12" s="161" t="s">
        <v>49</v>
      </c>
      <c r="B12" s="142" t="s">
        <v>29</v>
      </c>
      <c r="C12" s="142" t="s">
        <v>29</v>
      </c>
      <c r="D12" s="142" t="s">
        <v>29</v>
      </c>
      <c r="E12" s="142" t="s">
        <v>29</v>
      </c>
      <c r="F12" s="142" t="s">
        <v>29</v>
      </c>
      <c r="G12" s="162"/>
      <c r="H12" s="157" t="s">
        <v>59</v>
      </c>
      <c r="I12" s="108">
        <v>41845</v>
      </c>
      <c r="J12" s="502">
        <f>I12-C17</f>
        <v>10</v>
      </c>
      <c r="K12" s="502"/>
      <c r="L12" s="502">
        <f>I12-D17</f>
        <v>9</v>
      </c>
      <c r="M12" s="502"/>
      <c r="N12" s="502">
        <v>9</v>
      </c>
      <c r="O12" s="502"/>
      <c r="P12" s="354">
        <v>1</v>
      </c>
      <c r="Q12" s="272"/>
      <c r="R12" s="164" t="s">
        <v>60</v>
      </c>
      <c r="S12" s="165"/>
      <c r="T12" s="106">
        <v>0</v>
      </c>
      <c r="U12" s="342" t="s">
        <v>61</v>
      </c>
      <c r="V12" s="342"/>
      <c r="W12" s="342"/>
      <c r="X12" s="343" t="s">
        <v>29</v>
      </c>
      <c r="Y12" s="344"/>
      <c r="Z12" s="345"/>
    </row>
    <row r="13" spans="1:33" ht="15.75" customHeight="1" x14ac:dyDescent="0.2">
      <c r="A13" s="161" t="s">
        <v>49</v>
      </c>
      <c r="B13" s="142" t="s">
        <v>29</v>
      </c>
      <c r="C13" s="142" t="s">
        <v>29</v>
      </c>
      <c r="D13" s="142" t="s">
        <v>29</v>
      </c>
      <c r="E13" s="142" t="s">
        <v>29</v>
      </c>
      <c r="F13" s="142" t="s">
        <v>29</v>
      </c>
      <c r="G13" s="162"/>
      <c r="H13" s="157" t="s">
        <v>62</v>
      </c>
      <c r="I13" s="108">
        <v>41845</v>
      </c>
      <c r="J13" s="503" t="s">
        <v>411</v>
      </c>
      <c r="K13" s="502"/>
      <c r="L13" s="502">
        <v>153</v>
      </c>
      <c r="M13" s="502"/>
      <c r="N13" s="502">
        <v>66</v>
      </c>
      <c r="O13" s="502"/>
      <c r="P13" s="363" t="s">
        <v>29</v>
      </c>
      <c r="Q13" s="293"/>
      <c r="R13" s="164" t="s">
        <v>63</v>
      </c>
      <c r="S13" s="165"/>
      <c r="T13" s="168">
        <v>3</v>
      </c>
      <c r="U13" s="358" t="s">
        <v>64</v>
      </c>
      <c r="V13" s="358"/>
      <c r="W13" s="358"/>
      <c r="X13" s="359" t="s">
        <v>29</v>
      </c>
      <c r="Y13" s="360"/>
      <c r="Z13" s="361"/>
    </row>
    <row r="14" spans="1:33" ht="15.75" customHeight="1" x14ac:dyDescent="0.2">
      <c r="A14" s="161" t="s">
        <v>49</v>
      </c>
      <c r="B14" s="142" t="s">
        <v>29</v>
      </c>
      <c r="C14" s="142" t="s">
        <v>29</v>
      </c>
      <c r="D14" s="142" t="s">
        <v>29</v>
      </c>
      <c r="E14" s="142" t="s">
        <v>29</v>
      </c>
      <c r="F14" s="142" t="s">
        <v>29</v>
      </c>
      <c r="G14" s="162"/>
      <c r="H14" s="157" t="s">
        <v>65</v>
      </c>
      <c r="I14" s="167"/>
      <c r="J14" s="500" t="s">
        <v>29</v>
      </c>
      <c r="K14" s="267"/>
      <c r="L14" s="501" t="s">
        <v>29</v>
      </c>
      <c r="M14" s="267"/>
      <c r="N14" s="501" t="s">
        <v>29</v>
      </c>
      <c r="O14" s="267"/>
      <c r="P14" s="354" t="s">
        <v>29</v>
      </c>
      <c r="Q14" s="272"/>
      <c r="R14" s="401" t="s">
        <v>66</v>
      </c>
      <c r="S14" s="402"/>
      <c r="T14" s="402"/>
      <c r="U14" s="402"/>
      <c r="V14" s="402"/>
      <c r="W14" s="402"/>
      <c r="X14" s="402"/>
      <c r="Y14" s="402"/>
      <c r="Z14" s="402"/>
    </row>
    <row r="15" spans="1:33" ht="15.75" customHeight="1" x14ac:dyDescent="0.2">
      <c r="A15" s="161" t="s">
        <v>49</v>
      </c>
      <c r="B15" s="142" t="s">
        <v>29</v>
      </c>
      <c r="C15" s="142" t="s">
        <v>29</v>
      </c>
      <c r="D15" s="142" t="s">
        <v>29</v>
      </c>
      <c r="E15" s="142" t="s">
        <v>29</v>
      </c>
      <c r="F15" s="142" t="s">
        <v>29</v>
      </c>
      <c r="G15" s="162"/>
      <c r="H15" s="157" t="s">
        <v>67</v>
      </c>
      <c r="I15" s="167"/>
      <c r="J15" s="352" t="s">
        <v>29</v>
      </c>
      <c r="K15" s="336"/>
      <c r="L15" s="353" t="s">
        <v>29</v>
      </c>
      <c r="M15" s="336"/>
      <c r="N15" s="353" t="s">
        <v>29</v>
      </c>
      <c r="O15" s="336"/>
      <c r="P15" s="354" t="s">
        <v>29</v>
      </c>
      <c r="Q15" s="272"/>
      <c r="R15" s="404"/>
      <c r="S15" s="405"/>
      <c r="T15" s="405"/>
      <c r="U15" s="405"/>
      <c r="V15" s="405"/>
      <c r="W15" s="405"/>
      <c r="X15" s="405"/>
      <c r="Y15" s="405"/>
      <c r="Z15" s="405"/>
    </row>
    <row r="16" spans="1:33" ht="15.75" customHeight="1" x14ac:dyDescent="0.2">
      <c r="A16" s="161" t="s">
        <v>49</v>
      </c>
      <c r="B16" s="142" t="s">
        <v>29</v>
      </c>
      <c r="C16" s="142" t="s">
        <v>29</v>
      </c>
      <c r="D16" s="142" t="s">
        <v>29</v>
      </c>
      <c r="E16" s="142" t="s">
        <v>29</v>
      </c>
      <c r="F16" s="142" t="s">
        <v>29</v>
      </c>
      <c r="G16" s="162"/>
      <c r="H16" s="157" t="s">
        <v>68</v>
      </c>
      <c r="I16" s="167"/>
      <c r="J16" s="352" t="s">
        <v>29</v>
      </c>
      <c r="K16" s="336"/>
      <c r="L16" s="353" t="s">
        <v>29</v>
      </c>
      <c r="M16" s="336"/>
      <c r="N16" s="353" t="s">
        <v>29</v>
      </c>
      <c r="O16" s="336"/>
      <c r="P16" s="363" t="s">
        <v>29</v>
      </c>
      <c r="Q16" s="293"/>
      <c r="R16" s="305" t="s">
        <v>484</v>
      </c>
      <c r="S16" s="305"/>
      <c r="T16" s="305"/>
      <c r="U16" s="305"/>
      <c r="V16" s="305"/>
      <c r="W16" s="305"/>
      <c r="X16" s="305"/>
      <c r="Y16" s="305"/>
      <c r="Z16" s="306"/>
    </row>
    <row r="17" spans="1:26" ht="15.75" customHeight="1" x14ac:dyDescent="0.2">
      <c r="A17" s="171" t="s">
        <v>69</v>
      </c>
      <c r="B17" s="142"/>
      <c r="C17" s="155">
        <v>41835</v>
      </c>
      <c r="D17" s="155">
        <v>41836</v>
      </c>
      <c r="E17" s="155">
        <v>41836</v>
      </c>
      <c r="F17" s="155" t="s">
        <v>410</v>
      </c>
      <c r="G17" s="156">
        <f>AVERAGE(C17:F17)</f>
        <v>41835.666666666664</v>
      </c>
      <c r="H17" s="157" t="s">
        <v>70</v>
      </c>
      <c r="I17" s="163">
        <v>41850</v>
      </c>
      <c r="J17" s="364">
        <f>I17-C17</f>
        <v>15</v>
      </c>
      <c r="K17" s="336"/>
      <c r="L17" s="364">
        <v>14</v>
      </c>
      <c r="M17" s="336"/>
      <c r="N17" s="364" t="s">
        <v>410</v>
      </c>
      <c r="O17" s="272"/>
      <c r="P17" s="354" t="s">
        <v>29</v>
      </c>
      <c r="Q17" s="272"/>
      <c r="R17" s="307"/>
      <c r="S17" s="307"/>
      <c r="T17" s="307"/>
      <c r="U17" s="307"/>
      <c r="V17" s="307"/>
      <c r="W17" s="307"/>
      <c r="X17" s="307"/>
      <c r="Y17" s="307"/>
      <c r="Z17" s="308"/>
    </row>
    <row r="18" spans="1:26" ht="15.75" customHeight="1" x14ac:dyDescent="0.2">
      <c r="A18" s="338" t="s">
        <v>71</v>
      </c>
      <c r="B18" s="368"/>
      <c r="C18" s="172" t="e">
        <f>C17-C8</f>
        <v>#VALUE!</v>
      </c>
      <c r="D18" s="172" t="e">
        <f>D17-D8</f>
        <v>#VALUE!</v>
      </c>
      <c r="E18" s="172" t="e">
        <f>E17-E8</f>
        <v>#VALUE!</v>
      </c>
      <c r="F18" s="172" t="e">
        <f>F17-F8</f>
        <v>#VALUE!</v>
      </c>
      <c r="G18" s="173" t="e">
        <f>AVERAGE(C18:E18)</f>
        <v>#VALUE!</v>
      </c>
      <c r="H18" s="157" t="s">
        <v>72</v>
      </c>
      <c r="I18" s="163">
        <v>41850</v>
      </c>
      <c r="J18" s="357">
        <v>197</v>
      </c>
      <c r="K18" s="336"/>
      <c r="L18" s="356">
        <v>285</v>
      </c>
      <c r="M18" s="336"/>
      <c r="N18" s="366" t="s">
        <v>410</v>
      </c>
      <c r="O18" s="272"/>
      <c r="P18" s="363" t="s">
        <v>29</v>
      </c>
      <c r="Q18" s="293"/>
      <c r="R18" s="307"/>
      <c r="S18" s="307"/>
      <c r="T18" s="307"/>
      <c r="U18" s="307"/>
      <c r="V18" s="307"/>
      <c r="W18" s="307"/>
      <c r="X18" s="307"/>
      <c r="Y18" s="307"/>
      <c r="Z18" s="308"/>
    </row>
    <row r="19" spans="1:26" ht="15.75" customHeight="1" x14ac:dyDescent="0.2">
      <c r="A19" s="340" t="s">
        <v>73</v>
      </c>
      <c r="B19" s="340"/>
      <c r="C19" s="339" t="s">
        <v>40</v>
      </c>
      <c r="D19" s="339" t="s">
        <v>41</v>
      </c>
      <c r="E19" s="339" t="s">
        <v>42</v>
      </c>
      <c r="F19" s="339" t="s">
        <v>43</v>
      </c>
      <c r="G19" s="339" t="s">
        <v>38</v>
      </c>
      <c r="H19" s="167" t="s">
        <v>78</v>
      </c>
      <c r="I19" s="163">
        <v>41850</v>
      </c>
      <c r="J19" s="354" t="s">
        <v>29</v>
      </c>
      <c r="K19" s="336"/>
      <c r="L19" s="356" t="s">
        <v>369</v>
      </c>
      <c r="M19" s="336"/>
      <c r="N19" s="370" t="s">
        <v>29</v>
      </c>
      <c r="O19" s="272"/>
      <c r="P19" s="371" t="s">
        <v>29</v>
      </c>
      <c r="Q19" s="261"/>
      <c r="R19" s="307"/>
      <c r="S19" s="307"/>
      <c r="T19" s="307"/>
      <c r="U19" s="307"/>
      <c r="V19" s="307"/>
      <c r="W19" s="307"/>
      <c r="X19" s="307"/>
      <c r="Y19" s="307"/>
      <c r="Z19" s="308"/>
    </row>
    <row r="20" spans="1:26" ht="15" customHeight="1" x14ac:dyDescent="0.2">
      <c r="A20" s="369"/>
      <c r="B20" s="369"/>
      <c r="C20" s="261"/>
      <c r="D20" s="261"/>
      <c r="E20" s="261"/>
      <c r="F20" s="261"/>
      <c r="G20" s="261"/>
      <c r="H20" s="167" t="s">
        <v>67</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79</v>
      </c>
      <c r="B21" s="373"/>
      <c r="C21" s="122" t="s">
        <v>354</v>
      </c>
      <c r="D21" s="122" t="s">
        <v>452</v>
      </c>
      <c r="E21" s="122" t="s">
        <v>356</v>
      </c>
      <c r="F21" s="71" t="s">
        <v>29</v>
      </c>
      <c r="G21" s="122" t="s">
        <v>29</v>
      </c>
      <c r="H21" s="157" t="s">
        <v>68</v>
      </c>
      <c r="I21" s="167"/>
      <c r="J21" s="354" t="s">
        <v>29</v>
      </c>
      <c r="K21" s="336"/>
      <c r="L21" s="353" t="s">
        <v>29</v>
      </c>
      <c r="M21" s="336"/>
      <c r="N21" s="370" t="s">
        <v>29</v>
      </c>
      <c r="O21" s="272"/>
      <c r="P21" s="371" t="s">
        <v>29</v>
      </c>
      <c r="Q21" s="261"/>
      <c r="R21" s="307"/>
      <c r="S21" s="307"/>
      <c r="T21" s="307"/>
      <c r="U21" s="307"/>
      <c r="V21" s="307"/>
      <c r="W21" s="307"/>
      <c r="X21" s="307"/>
      <c r="Y21" s="307"/>
      <c r="Z21" s="308"/>
    </row>
    <row r="22" spans="1:26" ht="15.75" customHeight="1" x14ac:dyDescent="0.2">
      <c r="A22" s="372" t="s">
        <v>46</v>
      </c>
      <c r="B22" s="373"/>
      <c r="C22" s="200" t="s">
        <v>410</v>
      </c>
      <c r="D22" s="200" t="s">
        <v>355</v>
      </c>
      <c r="E22" s="200" t="s">
        <v>410</v>
      </c>
      <c r="F22" s="205" t="s">
        <v>29</v>
      </c>
      <c r="G22" s="71" t="s">
        <v>29</v>
      </c>
      <c r="H22" s="176" t="s">
        <v>80</v>
      </c>
      <c r="I22" s="163">
        <v>41855</v>
      </c>
      <c r="J22" s="364" t="s">
        <v>410</v>
      </c>
      <c r="K22" s="336"/>
      <c r="L22" s="364">
        <f>I22-D17</f>
        <v>19</v>
      </c>
      <c r="M22" s="336"/>
      <c r="N22" s="364" t="s">
        <v>410</v>
      </c>
      <c r="O22" s="272"/>
      <c r="P22" s="354" t="s">
        <v>29</v>
      </c>
      <c r="Q22" s="272"/>
      <c r="R22" s="307"/>
      <c r="S22" s="307"/>
      <c r="T22" s="307"/>
      <c r="U22" s="307"/>
      <c r="V22" s="307"/>
      <c r="W22" s="307"/>
      <c r="X22" s="307"/>
      <c r="Y22" s="307"/>
      <c r="Z22" s="308"/>
    </row>
    <row r="23" spans="1:26" ht="15.75" customHeight="1" x14ac:dyDescent="0.2">
      <c r="A23" s="372" t="s">
        <v>81</v>
      </c>
      <c r="B23" s="373"/>
      <c r="C23" s="71" t="s">
        <v>410</v>
      </c>
      <c r="D23" s="177">
        <v>220612786</v>
      </c>
      <c r="E23" s="71" t="s">
        <v>410</v>
      </c>
      <c r="F23" s="205" t="s">
        <v>29</v>
      </c>
      <c r="G23" s="106" t="s">
        <v>29</v>
      </c>
      <c r="H23" s="178" t="s">
        <v>82</v>
      </c>
      <c r="I23" s="166">
        <v>41855</v>
      </c>
      <c r="J23" s="357" t="s">
        <v>410</v>
      </c>
      <c r="K23" s="336"/>
      <c r="L23" s="356">
        <v>353</v>
      </c>
      <c r="M23" s="336"/>
      <c r="N23" s="366" t="s">
        <v>410</v>
      </c>
      <c r="O23" s="272"/>
      <c r="P23" s="363" t="s">
        <v>29</v>
      </c>
      <c r="Q23" s="293"/>
      <c r="R23" s="307"/>
      <c r="S23" s="307"/>
      <c r="T23" s="307"/>
      <c r="U23" s="307"/>
      <c r="V23" s="307"/>
      <c r="W23" s="307"/>
      <c r="X23" s="307"/>
      <c r="Y23" s="307"/>
      <c r="Z23" s="308"/>
    </row>
    <row r="24" spans="1:26" ht="15.75" customHeight="1" x14ac:dyDescent="0.2">
      <c r="A24" s="372" t="s">
        <v>12</v>
      </c>
      <c r="B24" s="373"/>
      <c r="C24" s="215" t="s">
        <v>410</v>
      </c>
      <c r="D24" s="71" t="s">
        <v>410</v>
      </c>
      <c r="E24" s="71" t="s">
        <v>410</v>
      </c>
      <c r="F24" s="205" t="s">
        <v>29</v>
      </c>
      <c r="G24" s="106" t="s">
        <v>29</v>
      </c>
      <c r="H24" s="178" t="s">
        <v>83</v>
      </c>
      <c r="I24" s="167"/>
      <c r="J24" s="354" t="s">
        <v>29</v>
      </c>
      <c r="K24" s="336"/>
      <c r="L24" s="372" t="s">
        <v>29</v>
      </c>
      <c r="M24" s="336"/>
      <c r="N24" s="380" t="s">
        <v>29</v>
      </c>
      <c r="O24" s="272"/>
      <c r="P24" s="354" t="s">
        <v>29</v>
      </c>
      <c r="Q24" s="272"/>
      <c r="R24" s="307"/>
      <c r="S24" s="307"/>
      <c r="T24" s="307"/>
      <c r="U24" s="307"/>
      <c r="V24" s="307"/>
      <c r="W24" s="307"/>
      <c r="X24" s="307"/>
      <c r="Y24" s="307"/>
      <c r="Z24" s="308"/>
    </row>
    <row r="25" spans="1:26" ht="15.75" customHeight="1" x14ac:dyDescent="0.2">
      <c r="A25" s="372" t="s">
        <v>84</v>
      </c>
      <c r="B25" s="373"/>
      <c r="C25" s="71" t="s">
        <v>410</v>
      </c>
      <c r="D25" s="71" t="s">
        <v>410</v>
      </c>
      <c r="E25" s="71" t="s">
        <v>410</v>
      </c>
      <c r="F25" s="205" t="s">
        <v>29</v>
      </c>
      <c r="G25" s="106" t="s">
        <v>29</v>
      </c>
      <c r="H25" s="178" t="s">
        <v>67</v>
      </c>
      <c r="I25" s="167"/>
      <c r="J25" s="354" t="s">
        <v>29</v>
      </c>
      <c r="K25" s="336"/>
      <c r="L25" s="372" t="s">
        <v>29</v>
      </c>
      <c r="M25" s="336"/>
      <c r="N25" s="380" t="s">
        <v>29</v>
      </c>
      <c r="O25" s="272"/>
      <c r="P25" s="363" t="s">
        <v>29</v>
      </c>
      <c r="Q25" s="293"/>
      <c r="R25" s="307"/>
      <c r="S25" s="307"/>
      <c r="T25" s="307"/>
      <c r="U25" s="307"/>
      <c r="V25" s="307"/>
      <c r="W25" s="307"/>
      <c r="X25" s="307"/>
      <c r="Y25" s="307"/>
      <c r="Z25" s="308"/>
    </row>
    <row r="26" spans="1:26" ht="15.75" customHeight="1" x14ac:dyDescent="0.2">
      <c r="A26" s="372" t="s">
        <v>11</v>
      </c>
      <c r="B26" s="373"/>
      <c r="C26" s="215" t="s">
        <v>410</v>
      </c>
      <c r="D26" s="71" t="s">
        <v>410</v>
      </c>
      <c r="E26" s="71" t="s">
        <v>410</v>
      </c>
      <c r="F26" s="205" t="s">
        <v>29</v>
      </c>
      <c r="G26" s="106" t="s">
        <v>29</v>
      </c>
      <c r="H26" s="178" t="s">
        <v>68</v>
      </c>
      <c r="I26" s="167"/>
      <c r="J26" s="354" t="s">
        <v>29</v>
      </c>
      <c r="K26" s="336"/>
      <c r="L26" s="372" t="s">
        <v>29</v>
      </c>
      <c r="M26" s="336"/>
      <c r="N26" s="380" t="s">
        <v>29</v>
      </c>
      <c r="O26" s="272"/>
      <c r="P26" s="371" t="s">
        <v>29</v>
      </c>
      <c r="Q26" s="261"/>
      <c r="R26" s="307"/>
      <c r="S26" s="307"/>
      <c r="T26" s="307"/>
      <c r="U26" s="307"/>
      <c r="V26" s="307"/>
      <c r="W26" s="307"/>
      <c r="X26" s="307"/>
      <c r="Y26" s="307"/>
      <c r="Z26" s="308"/>
    </row>
    <row r="27" spans="1:26" ht="15.75" customHeight="1" x14ac:dyDescent="0.2">
      <c r="A27" s="374" t="s">
        <v>85</v>
      </c>
      <c r="B27" s="375"/>
      <c r="C27" s="177">
        <v>41851</v>
      </c>
      <c r="D27" s="71" t="s">
        <v>408</v>
      </c>
      <c r="E27" s="177">
        <v>41847</v>
      </c>
      <c r="F27" s="205" t="s">
        <v>29</v>
      </c>
      <c r="G27" s="106" t="s">
        <v>29</v>
      </c>
      <c r="H27" s="178" t="s">
        <v>86</v>
      </c>
      <c r="I27" s="167"/>
      <c r="J27" s="354" t="s">
        <v>29</v>
      </c>
      <c r="K27" s="336"/>
      <c r="L27" s="372" t="s">
        <v>29</v>
      </c>
      <c r="M27" s="336"/>
      <c r="N27" s="380" t="s">
        <v>29</v>
      </c>
      <c r="O27" s="272"/>
      <c r="P27" s="354" t="s">
        <v>29</v>
      </c>
      <c r="Q27" s="272"/>
      <c r="R27" s="307"/>
      <c r="S27" s="307"/>
      <c r="T27" s="307"/>
      <c r="U27" s="307"/>
      <c r="V27" s="307"/>
      <c r="W27" s="307"/>
      <c r="X27" s="307"/>
      <c r="Y27" s="307"/>
      <c r="Z27" s="308"/>
    </row>
    <row r="28" spans="1:26" ht="15.75" customHeight="1" x14ac:dyDescent="0.2">
      <c r="A28" s="378" t="s">
        <v>87</v>
      </c>
      <c r="B28" s="379"/>
      <c r="C28" s="71">
        <f>C27-C17</f>
        <v>16</v>
      </c>
      <c r="D28" s="71" t="s">
        <v>408</v>
      </c>
      <c r="E28" s="71">
        <f>E27-E17</f>
        <v>11</v>
      </c>
      <c r="F28" s="205" t="s">
        <v>29</v>
      </c>
      <c r="G28" s="106" t="s">
        <v>29</v>
      </c>
      <c r="H28" s="178" t="s">
        <v>88</v>
      </c>
      <c r="I28" s="167"/>
      <c r="J28" s="354" t="s">
        <v>29</v>
      </c>
      <c r="K28" s="336"/>
      <c r="L28" s="372" t="s">
        <v>29</v>
      </c>
      <c r="M28" s="336"/>
      <c r="N28" s="380" t="s">
        <v>29</v>
      </c>
      <c r="O28" s="272"/>
      <c r="P28" s="363" t="s">
        <v>29</v>
      </c>
      <c r="Q28" s="293"/>
      <c r="R28" s="307"/>
      <c r="S28" s="307"/>
      <c r="T28" s="307"/>
      <c r="U28" s="307"/>
      <c r="V28" s="307"/>
      <c r="W28" s="307"/>
      <c r="X28" s="307"/>
      <c r="Y28" s="307"/>
      <c r="Z28" s="308"/>
    </row>
    <row r="29" spans="1:26" ht="15.75" customHeight="1" x14ac:dyDescent="0.2">
      <c r="A29" s="126"/>
      <c r="B29" s="180"/>
      <c r="C29" s="181"/>
      <c r="D29" s="181"/>
      <c r="E29" s="181"/>
      <c r="F29" s="181"/>
      <c r="G29" s="181"/>
      <c r="H29" s="176" t="s">
        <v>80</v>
      </c>
      <c r="I29" s="163">
        <v>41862</v>
      </c>
      <c r="J29" s="364" t="s">
        <v>410</v>
      </c>
      <c r="K29" s="336"/>
      <c r="L29" s="364">
        <f>I29-D17</f>
        <v>26</v>
      </c>
      <c r="M29" s="336"/>
      <c r="N29" s="364" t="s">
        <v>410</v>
      </c>
      <c r="O29" s="272"/>
      <c r="P29" s="354" t="s">
        <v>29</v>
      </c>
      <c r="Q29" s="272"/>
      <c r="R29" s="182"/>
      <c r="S29" s="181"/>
      <c r="T29" s="181"/>
      <c r="U29" s="181"/>
      <c r="V29" s="181"/>
      <c r="W29" s="181"/>
      <c r="X29" s="181"/>
      <c r="Y29" s="181"/>
      <c r="Z29" s="181"/>
    </row>
    <row r="30" spans="1:26" ht="18" customHeight="1" x14ac:dyDescent="0.2">
      <c r="H30" s="178" t="s">
        <v>82</v>
      </c>
      <c r="I30" s="166">
        <v>41862</v>
      </c>
      <c r="J30" s="357" t="s">
        <v>410</v>
      </c>
      <c r="K30" s="336"/>
      <c r="L30" s="356">
        <v>446</v>
      </c>
      <c r="M30" s="336"/>
      <c r="N30" s="366" t="s">
        <v>410</v>
      </c>
      <c r="O30" s="272"/>
      <c r="P30" s="363" t="s">
        <v>29</v>
      </c>
      <c r="Q30" s="293"/>
    </row>
    <row r="31" spans="1:26" ht="18" customHeight="1" x14ac:dyDescent="0.2">
      <c r="H31" s="178" t="s">
        <v>83</v>
      </c>
      <c r="I31" s="166">
        <v>41862</v>
      </c>
      <c r="J31" s="380" t="s">
        <v>29</v>
      </c>
      <c r="K31" s="272"/>
      <c r="L31" s="356" t="s">
        <v>369</v>
      </c>
      <c r="M31" s="336"/>
      <c r="N31" s="380" t="s">
        <v>29</v>
      </c>
      <c r="O31" s="272"/>
      <c r="P31" s="354" t="s">
        <v>29</v>
      </c>
      <c r="Q31" s="272"/>
    </row>
    <row r="32" spans="1:26" ht="18" customHeight="1" x14ac:dyDescent="0.2">
      <c r="H32" s="178" t="s">
        <v>67</v>
      </c>
      <c r="I32" s="167"/>
      <c r="J32" s="354" t="s">
        <v>29</v>
      </c>
      <c r="K32" s="336"/>
      <c r="L32" s="372" t="s">
        <v>29</v>
      </c>
      <c r="M32" s="336"/>
      <c r="N32" s="380" t="s">
        <v>29</v>
      </c>
      <c r="O32" s="272"/>
      <c r="P32" s="363" t="s">
        <v>29</v>
      </c>
      <c r="Q32" s="293"/>
    </row>
    <row r="33" spans="8:17" ht="18" customHeight="1" x14ac:dyDescent="0.2">
      <c r="H33" s="178" t="s">
        <v>68</v>
      </c>
      <c r="I33" s="167"/>
      <c r="J33" s="354" t="s">
        <v>29</v>
      </c>
      <c r="K33" s="336"/>
      <c r="L33" s="372" t="s">
        <v>29</v>
      </c>
      <c r="M33" s="336"/>
      <c r="N33" s="380" t="s">
        <v>29</v>
      </c>
      <c r="O33" s="272"/>
      <c r="P33" s="363" t="s">
        <v>29</v>
      </c>
      <c r="Q33" s="293"/>
    </row>
    <row r="34" spans="8:17" ht="18" customHeight="1" x14ac:dyDescent="0.2">
      <c r="H34" s="178" t="s">
        <v>86</v>
      </c>
      <c r="I34" s="167"/>
      <c r="J34" s="354" t="s">
        <v>29</v>
      </c>
      <c r="K34" s="336"/>
      <c r="L34" s="372" t="s">
        <v>29</v>
      </c>
      <c r="M34" s="336"/>
      <c r="N34" s="380" t="s">
        <v>29</v>
      </c>
      <c r="O34" s="272"/>
      <c r="P34" s="363" t="s">
        <v>29</v>
      </c>
      <c r="Q34" s="293"/>
    </row>
    <row r="35" spans="8:17" ht="18" customHeight="1" x14ac:dyDescent="0.2">
      <c r="H35" s="178" t="s">
        <v>88</v>
      </c>
      <c r="I35" s="167"/>
      <c r="J35" s="354" t="s">
        <v>29</v>
      </c>
      <c r="K35" s="336"/>
      <c r="L35" s="372" t="s">
        <v>29</v>
      </c>
      <c r="M35" s="336"/>
      <c r="N35" s="380" t="s">
        <v>29</v>
      </c>
      <c r="O35" s="272"/>
      <c r="P35" s="363" t="s">
        <v>29</v>
      </c>
      <c r="Q35" s="293"/>
    </row>
  </sheetData>
  <mergeCells count="156">
    <mergeCell ref="R14:Z15"/>
    <mergeCell ref="J15:K15"/>
    <mergeCell ref="L15:M15"/>
    <mergeCell ref="N15:O15"/>
    <mergeCell ref="P15:Q15"/>
    <mergeCell ref="J16:K16"/>
    <mergeCell ref="A27:B27"/>
    <mergeCell ref="J27:K27"/>
    <mergeCell ref="L27:M27"/>
    <mergeCell ref="N27:O27"/>
    <mergeCell ref="P27:Q27"/>
    <mergeCell ref="A23:B23"/>
    <mergeCell ref="J23:K23"/>
    <mergeCell ref="L23:M23"/>
    <mergeCell ref="N23:O23"/>
    <mergeCell ref="P23:Q23"/>
    <mergeCell ref="A24:B24"/>
    <mergeCell ref="J24:K24"/>
    <mergeCell ref="L24:M24"/>
    <mergeCell ref="N24:O24"/>
    <mergeCell ref="P24:Q24"/>
    <mergeCell ref="A21:B21"/>
    <mergeCell ref="J21:K21"/>
    <mergeCell ref="L21:M21"/>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R16:Z28"/>
    <mergeCell ref="J17:K17"/>
    <mergeCell ref="L17:M17"/>
    <mergeCell ref="N17:O17"/>
    <mergeCell ref="P17:Q17"/>
    <mergeCell ref="J10:K10"/>
    <mergeCell ref="L10:M10"/>
    <mergeCell ref="N10:O10"/>
    <mergeCell ref="P13:Q13"/>
    <mergeCell ref="U13:W13"/>
    <mergeCell ref="X13:Z13"/>
    <mergeCell ref="J13:K13"/>
    <mergeCell ref="L13:M13"/>
    <mergeCell ref="N13:O13"/>
    <mergeCell ref="U12:W12"/>
    <mergeCell ref="X12:Z12"/>
    <mergeCell ref="J11:K11"/>
    <mergeCell ref="L11:M11"/>
    <mergeCell ref="N11:O11"/>
    <mergeCell ref="P11:Q11"/>
    <mergeCell ref="U11:W11"/>
    <mergeCell ref="X11:Z11"/>
    <mergeCell ref="P10:Q10"/>
    <mergeCell ref="U10:W10"/>
    <mergeCell ref="X10:Z10"/>
    <mergeCell ref="J12:K12"/>
    <mergeCell ref="L12:M12"/>
    <mergeCell ref="N12:O12"/>
    <mergeCell ref="P12:Q12"/>
    <mergeCell ref="U9:W9"/>
    <mergeCell ref="X9:Z9"/>
    <mergeCell ref="L8:M8"/>
    <mergeCell ref="N8:O8"/>
    <mergeCell ref="P8:Q8"/>
    <mergeCell ref="U8:W8"/>
    <mergeCell ref="X8:Z8"/>
    <mergeCell ref="J9:K9"/>
    <mergeCell ref="L9:M9"/>
    <mergeCell ref="N9:O9"/>
    <mergeCell ref="P9:Q9"/>
    <mergeCell ref="R1:S1"/>
    <mergeCell ref="L2:M2"/>
    <mergeCell ref="Q2:R2"/>
    <mergeCell ref="Y2:Z2"/>
    <mergeCell ref="L4:M4"/>
    <mergeCell ref="Q4:R4"/>
    <mergeCell ref="Y4:Z4"/>
    <mergeCell ref="J7:K7"/>
    <mergeCell ref="L7:M7"/>
    <mergeCell ref="N7:O7"/>
    <mergeCell ref="P7:Q7"/>
    <mergeCell ref="S7:Z7"/>
    <mergeCell ref="L30:M30"/>
    <mergeCell ref="N30:O30"/>
    <mergeCell ref="P30:Q30"/>
    <mergeCell ref="J31:K31"/>
    <mergeCell ref="L31:M31"/>
    <mergeCell ref="N31:O31"/>
    <mergeCell ref="P31:Q31"/>
    <mergeCell ref="J32:K32"/>
    <mergeCell ref="I1:J1"/>
    <mergeCell ref="K1:O1"/>
    <mergeCell ref="P1:Q1"/>
    <mergeCell ref="L16:M16"/>
    <mergeCell ref="N16:O16"/>
    <mergeCell ref="P16:Q16"/>
    <mergeCell ref="J29:K29"/>
    <mergeCell ref="L29:M29"/>
    <mergeCell ref="N29:O29"/>
    <mergeCell ref="P29:Q29"/>
    <mergeCell ref="J14:K14"/>
    <mergeCell ref="L14:M14"/>
    <mergeCell ref="N14:O14"/>
    <mergeCell ref="P14:Q14"/>
    <mergeCell ref="J30:K30"/>
    <mergeCell ref="J8:K8"/>
    <mergeCell ref="J35:K35"/>
    <mergeCell ref="L35:M35"/>
    <mergeCell ref="N35:O35"/>
    <mergeCell ref="P35:Q35"/>
    <mergeCell ref="L32:M32"/>
    <mergeCell ref="N32:O32"/>
    <mergeCell ref="P32:Q32"/>
    <mergeCell ref="J33:K33"/>
    <mergeCell ref="L33:M33"/>
    <mergeCell ref="N33:O33"/>
    <mergeCell ref="P33:Q33"/>
    <mergeCell ref="J34:K34"/>
    <mergeCell ref="L34:M34"/>
    <mergeCell ref="N34:O34"/>
    <mergeCell ref="P34:Q34"/>
  </mergeCells>
  <pageMargins left="0.7" right="0.7" top="0.75" bottom="0.75" header="0.3" footer="0.3"/>
  <pageSetup orientation="portrait" r:id="rId1"/>
  <legacy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73</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170</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74</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363</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T28" sqref="T28"/>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75</v>
      </c>
      <c r="G1" s="241" t="s">
        <v>3</v>
      </c>
      <c r="H1" s="235" t="s">
        <v>4</v>
      </c>
      <c r="I1" s="329" t="s">
        <v>5</v>
      </c>
      <c r="J1" s="261"/>
      <c r="K1" s="330" t="s">
        <v>329</v>
      </c>
      <c r="L1" s="382"/>
      <c r="M1" s="382"/>
      <c r="N1" s="382"/>
      <c r="O1" s="383"/>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99" t="s">
        <v>90</v>
      </c>
      <c r="AD2" s="31" t="s">
        <v>95</v>
      </c>
    </row>
    <row r="3" spans="1:30" ht="15.75" customHeight="1" x14ac:dyDescent="0.2">
      <c r="A3" s="71" t="s">
        <v>29</v>
      </c>
      <c r="B3" s="144">
        <v>41802</v>
      </c>
      <c r="C3" s="71" t="s">
        <v>29</v>
      </c>
      <c r="D3" s="71" t="s">
        <v>29</v>
      </c>
      <c r="E3" s="71" t="s">
        <v>235</v>
      </c>
      <c r="F3" s="71" t="s">
        <v>235</v>
      </c>
      <c r="G3" s="71" t="s">
        <v>227</v>
      </c>
      <c r="H3" s="71" t="s">
        <v>228</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B3" s="96"/>
      <c r="AC3" s="96"/>
      <c r="AD3" s="69" t="s">
        <v>205</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99" t="s">
        <v>90</v>
      </c>
      <c r="AD4" s="31" t="s">
        <v>95</v>
      </c>
    </row>
    <row r="5" spans="1:30" ht="15.75" customHeight="1" x14ac:dyDescent="0.2">
      <c r="A5" s="71" t="s">
        <v>29</v>
      </c>
      <c r="B5" s="144">
        <v>41802</v>
      </c>
      <c r="C5" s="71" t="s">
        <v>29</v>
      </c>
      <c r="D5" s="71" t="s">
        <v>29</v>
      </c>
      <c r="E5" s="71" t="s">
        <v>235</v>
      </c>
      <c r="F5" s="71" t="s">
        <v>235</v>
      </c>
      <c r="G5" s="71" t="s">
        <v>227</v>
      </c>
      <c r="H5" s="71" t="s">
        <v>228</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c r="AB5" s="96"/>
      <c r="AC5" s="96"/>
      <c r="AD5" s="69" t="s">
        <v>205</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v>41798</v>
      </c>
      <c r="D7" s="155">
        <v>41799</v>
      </c>
      <c r="E7" s="155">
        <v>41800</v>
      </c>
      <c r="F7" s="155">
        <v>41802</v>
      </c>
      <c r="G7" s="156">
        <f>AVERAGE(C7:F7)</f>
        <v>41799.75</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41833</v>
      </c>
      <c r="J8" s="341">
        <f>IF(((I8-C16)&gt;0),(I8-C16),"/")</f>
        <v>3</v>
      </c>
      <c r="K8" s="336"/>
      <c r="L8" s="341">
        <f>IF(((I8-D16)&gt;0),(I8-D16),"/")</f>
        <v>2</v>
      </c>
      <c r="M8" s="336"/>
      <c r="N8" s="341">
        <f>IF(((I8-E16)&gt;0),(I8-E16),"/")</f>
        <v>1</v>
      </c>
      <c r="O8" s="336"/>
      <c r="P8" s="341" t="str">
        <f>IF(((I8-F16)&gt;0),(I8-F16),"/")</f>
        <v>/</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66">
        <v>41833</v>
      </c>
      <c r="J9" s="355">
        <v>61</v>
      </c>
      <c r="K9" s="336"/>
      <c r="L9" s="356">
        <v>52</v>
      </c>
      <c r="M9" s="336"/>
      <c r="N9" s="356">
        <v>44</v>
      </c>
      <c r="O9" s="336"/>
      <c r="P9" s="357">
        <v>33</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41834</v>
      </c>
      <c r="J11" s="341">
        <f>I11-C16</f>
        <v>4</v>
      </c>
      <c r="K11" s="336"/>
      <c r="L11" s="341">
        <f>I11-D16</f>
        <v>3</v>
      </c>
      <c r="M11" s="336"/>
      <c r="N11" s="341">
        <f>I11-E16</f>
        <v>2</v>
      </c>
      <c r="O11" s="336"/>
      <c r="P11" s="362">
        <f>I11-F16</f>
        <v>1</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66">
        <v>41834</v>
      </c>
      <c r="J12" s="355">
        <v>78</v>
      </c>
      <c r="K12" s="336"/>
      <c r="L12" s="356">
        <v>70</v>
      </c>
      <c r="M12" s="336"/>
      <c r="N12" s="356">
        <v>60</v>
      </c>
      <c r="O12" s="336"/>
      <c r="P12" s="357">
        <v>34</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384</v>
      </c>
      <c r="S15" s="305"/>
      <c r="T15" s="305"/>
      <c r="U15" s="305"/>
      <c r="V15" s="305"/>
      <c r="W15" s="305"/>
      <c r="X15" s="305"/>
      <c r="Y15" s="305"/>
      <c r="Z15" s="306"/>
    </row>
    <row r="16" spans="1:30" ht="15.75" customHeight="1" x14ac:dyDescent="0.2">
      <c r="A16" s="171" t="s">
        <v>69</v>
      </c>
      <c r="B16" s="142"/>
      <c r="C16" s="155">
        <v>41830</v>
      </c>
      <c r="D16" s="155">
        <v>41831</v>
      </c>
      <c r="E16" s="155">
        <v>41832</v>
      </c>
      <c r="F16" s="155">
        <v>41833</v>
      </c>
      <c r="G16" s="156">
        <f>AVERAGE(C16:F16)</f>
        <v>41831.5</v>
      </c>
      <c r="H16" s="157" t="s">
        <v>70</v>
      </c>
      <c r="I16" s="163">
        <v>40770</v>
      </c>
      <c r="J16" s="364">
        <f>I16-C16</f>
        <v>-1060</v>
      </c>
      <c r="K16" s="336"/>
      <c r="L16" s="364">
        <f>I16-D16</f>
        <v>-1061</v>
      </c>
      <c r="M16" s="336"/>
      <c r="N16" s="364">
        <f>I16-E16</f>
        <v>-1062</v>
      </c>
      <c r="O16" s="272"/>
      <c r="P16" s="365">
        <f>I16-F16</f>
        <v>-1063</v>
      </c>
      <c r="Q16" s="261"/>
      <c r="R16" s="307"/>
      <c r="S16" s="307"/>
      <c r="T16" s="307"/>
      <c r="U16" s="307"/>
      <c r="V16" s="307"/>
      <c r="W16" s="307"/>
      <c r="X16" s="307"/>
      <c r="Y16" s="307"/>
      <c r="Z16" s="308"/>
    </row>
    <row r="17" spans="1:29" ht="15.75" customHeight="1" x14ac:dyDescent="0.2">
      <c r="A17" s="338" t="s">
        <v>71</v>
      </c>
      <c r="B17" s="368"/>
      <c r="C17" s="172">
        <f>C16-C7</f>
        <v>32</v>
      </c>
      <c r="D17" s="172">
        <f>D16-D7</f>
        <v>32</v>
      </c>
      <c r="E17" s="172">
        <f>E16-E7</f>
        <v>32</v>
      </c>
      <c r="F17" s="172">
        <f>F16-F7</f>
        <v>31</v>
      </c>
      <c r="G17" s="173">
        <f>AVERAGE(C17:E17)</f>
        <v>32</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-1055</v>
      </c>
      <c r="K21" s="336"/>
      <c r="L21" s="364">
        <f>I21-D16</f>
        <v>-1056</v>
      </c>
      <c r="M21" s="336"/>
      <c r="N21" s="364">
        <f>I21-E16</f>
        <v>-1057</v>
      </c>
      <c r="O21" s="272"/>
      <c r="P21" s="365">
        <f>I21-F16</f>
        <v>-1058</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177">
        <v>41838</v>
      </c>
      <c r="D26" s="177">
        <v>41838</v>
      </c>
      <c r="E26" s="177">
        <v>41838</v>
      </c>
      <c r="F26" s="177">
        <v>41838</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194">
        <f>C26-C16</f>
        <v>8</v>
      </c>
      <c r="D27" s="194">
        <f>D26-D16</f>
        <v>7</v>
      </c>
      <c r="E27" s="194">
        <f>E26-E16</f>
        <v>6</v>
      </c>
      <c r="F27" s="194">
        <f>F26-F16</f>
        <v>5</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41"/>
  <sheetViews>
    <sheetView topLeftCell="A16" workbookViewId="0">
      <selection activeCell="AD20" sqref="AD20"/>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130">
        <v>2014</v>
      </c>
      <c r="C1" s="132" t="s">
        <v>1</v>
      </c>
      <c r="D1" s="130"/>
      <c r="E1" s="132" t="s">
        <v>2</v>
      </c>
      <c r="F1" s="130">
        <v>76</v>
      </c>
      <c r="G1" s="134" t="s">
        <v>3</v>
      </c>
      <c r="H1" s="130" t="s">
        <v>4</v>
      </c>
      <c r="I1" s="329" t="s">
        <v>5</v>
      </c>
      <c r="J1" s="261"/>
      <c r="K1" s="262" t="s">
        <v>330</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235</v>
      </c>
      <c r="F3" s="71" t="s">
        <v>235</v>
      </c>
      <c r="G3" s="71" t="s">
        <v>227</v>
      </c>
      <c r="H3" s="71" t="s">
        <v>228</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103</v>
      </c>
      <c r="B5" s="144">
        <v>41805</v>
      </c>
      <c r="C5" s="71" t="s">
        <v>29</v>
      </c>
      <c r="D5" s="71" t="s">
        <v>29</v>
      </c>
      <c r="E5" s="71" t="s">
        <v>29</v>
      </c>
      <c r="F5" s="71" t="s">
        <v>146</v>
      </c>
      <c r="G5" s="71" t="s">
        <v>227</v>
      </c>
      <c r="H5" s="71" t="s">
        <v>228</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c r="AD5" s="66" t="s">
        <v>226</v>
      </c>
    </row>
    <row r="6" spans="1:30" ht="16.5" customHeight="1" x14ac:dyDescent="0.2">
      <c r="A6" s="149" t="s">
        <v>33</v>
      </c>
      <c r="B6" s="139" t="s">
        <v>9</v>
      </c>
      <c r="C6" s="170" t="s">
        <v>34</v>
      </c>
      <c r="D6" s="170" t="s">
        <v>35</v>
      </c>
      <c r="E6" s="170" t="s">
        <v>36</v>
      </c>
      <c r="F6" s="170" t="s">
        <v>37</v>
      </c>
      <c r="G6" s="170" t="s">
        <v>38</v>
      </c>
      <c r="H6" s="190" t="s">
        <v>39</v>
      </c>
      <c r="I6" s="184"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v>41797</v>
      </c>
      <c r="D7" s="155">
        <v>41799</v>
      </c>
      <c r="E7" s="155">
        <v>41801</v>
      </c>
      <c r="F7" s="155">
        <v>41803</v>
      </c>
      <c r="G7" s="156">
        <f>AVERAGE(C7:F7)</f>
        <v>41800</v>
      </c>
      <c r="H7" s="157" t="s">
        <v>46</v>
      </c>
      <c r="I7" s="158"/>
      <c r="J7" s="276" t="s">
        <v>354</v>
      </c>
      <c r="K7" s="267"/>
      <c r="L7" s="346" t="s">
        <v>355</v>
      </c>
      <c r="M7" s="267"/>
      <c r="N7" s="346" t="s">
        <v>356</v>
      </c>
      <c r="O7" s="267"/>
      <c r="P7" s="347" t="s">
        <v>407</v>
      </c>
      <c r="Q7" s="267"/>
      <c r="R7" s="159" t="s">
        <v>47</v>
      </c>
      <c r="S7" s="160"/>
      <c r="T7" s="174">
        <v>4</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170"/>
      <c r="H8" s="157" t="s">
        <v>50</v>
      </c>
      <c r="I8" s="108">
        <v>41839</v>
      </c>
      <c r="J8" s="341">
        <f>I8-C16</f>
        <v>4</v>
      </c>
      <c r="K8" s="336"/>
      <c r="L8" s="341">
        <f>I8-D16</f>
        <v>4</v>
      </c>
      <c r="M8" s="336"/>
      <c r="N8" s="341">
        <v>4</v>
      </c>
      <c r="O8" s="336"/>
      <c r="P8" s="362">
        <f>I8-F16</f>
        <v>5</v>
      </c>
      <c r="Q8" s="336"/>
      <c r="R8" s="164" t="s">
        <v>51</v>
      </c>
      <c r="S8" s="165"/>
      <c r="T8" s="174">
        <v>0</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170"/>
      <c r="H9" s="157" t="s">
        <v>53</v>
      </c>
      <c r="I9" s="163">
        <v>41839</v>
      </c>
      <c r="J9" s="355">
        <v>144</v>
      </c>
      <c r="K9" s="336"/>
      <c r="L9" s="356">
        <v>100</v>
      </c>
      <c r="M9" s="336"/>
      <c r="N9" s="356">
        <v>68</v>
      </c>
      <c r="O9" s="336"/>
      <c r="P9" s="357">
        <v>36</v>
      </c>
      <c r="Q9" s="336"/>
      <c r="R9" s="164" t="s">
        <v>54</v>
      </c>
      <c r="S9" s="165"/>
      <c r="T9" s="174">
        <v>4</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170"/>
      <c r="H10" s="157" t="s">
        <v>56</v>
      </c>
      <c r="I10" s="167"/>
      <c r="J10" s="352" t="s">
        <v>29</v>
      </c>
      <c r="K10" s="336"/>
      <c r="L10" s="353" t="s">
        <v>29</v>
      </c>
      <c r="M10" s="336"/>
      <c r="N10" s="353" t="s">
        <v>29</v>
      </c>
      <c r="O10" s="336"/>
      <c r="P10" s="354" t="s">
        <v>29</v>
      </c>
      <c r="Q10" s="336"/>
      <c r="R10" s="164" t="s">
        <v>57</v>
      </c>
      <c r="S10" s="165"/>
      <c r="T10" s="174">
        <v>2</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170"/>
      <c r="H11" s="157" t="s">
        <v>59</v>
      </c>
      <c r="I11" s="163">
        <v>41844</v>
      </c>
      <c r="J11" s="364">
        <f>I11-C16</f>
        <v>9</v>
      </c>
      <c r="K11" s="336"/>
      <c r="L11" s="364">
        <v>9</v>
      </c>
      <c r="M11" s="336"/>
      <c r="N11" s="364">
        <v>9</v>
      </c>
      <c r="O11" s="272"/>
      <c r="P11" s="365">
        <v>8</v>
      </c>
      <c r="Q11" s="261"/>
      <c r="R11" s="164" t="s">
        <v>60</v>
      </c>
      <c r="S11" s="165"/>
      <c r="T11" s="174">
        <v>2</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170"/>
      <c r="H12" s="157" t="s">
        <v>62</v>
      </c>
      <c r="I12" s="166">
        <v>41844</v>
      </c>
      <c r="J12" s="357">
        <v>310</v>
      </c>
      <c r="K12" s="336"/>
      <c r="L12" s="356">
        <v>221</v>
      </c>
      <c r="M12" s="336"/>
      <c r="N12" s="366">
        <v>150</v>
      </c>
      <c r="O12" s="272"/>
      <c r="P12" s="367">
        <v>83</v>
      </c>
      <c r="Q12" s="261"/>
      <c r="R12" s="164" t="s">
        <v>63</v>
      </c>
      <c r="S12" s="165"/>
      <c r="T12" s="168">
        <v>2</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170"/>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170"/>
      <c r="H14" s="157" t="s">
        <v>67</v>
      </c>
      <c r="I14" s="167"/>
      <c r="J14" s="352" t="s">
        <v>29</v>
      </c>
      <c r="K14" s="336"/>
      <c r="L14" s="353" t="s">
        <v>29</v>
      </c>
      <c r="M14" s="336"/>
      <c r="N14" s="353" t="s">
        <v>29</v>
      </c>
      <c r="O14" s="336"/>
      <c r="P14" s="354" t="s">
        <v>29</v>
      </c>
      <c r="Q14" s="272"/>
      <c r="R14" s="329"/>
      <c r="S14" s="329"/>
      <c r="T14" s="329"/>
      <c r="U14" s="329"/>
      <c r="V14" s="329"/>
      <c r="W14" s="329"/>
      <c r="X14" s="329"/>
      <c r="Y14" s="329"/>
      <c r="Z14" s="381"/>
    </row>
    <row r="15" spans="1:30" ht="15.75" customHeight="1" x14ac:dyDescent="0.2">
      <c r="A15" s="161" t="s">
        <v>49</v>
      </c>
      <c r="B15" s="142" t="s">
        <v>29</v>
      </c>
      <c r="C15" s="142" t="s">
        <v>29</v>
      </c>
      <c r="D15" s="142" t="s">
        <v>29</v>
      </c>
      <c r="E15" s="142" t="s">
        <v>29</v>
      </c>
      <c r="F15" s="142" t="s">
        <v>29</v>
      </c>
      <c r="G15" s="170"/>
      <c r="H15" s="157" t="s">
        <v>68</v>
      </c>
      <c r="I15" s="167"/>
      <c r="J15" s="352" t="s">
        <v>29</v>
      </c>
      <c r="K15" s="336"/>
      <c r="L15" s="353" t="s">
        <v>29</v>
      </c>
      <c r="M15" s="336"/>
      <c r="N15" s="353" t="s">
        <v>29</v>
      </c>
      <c r="O15" s="336"/>
      <c r="P15" s="363" t="s">
        <v>29</v>
      </c>
      <c r="Q15" s="293"/>
      <c r="R15" s="305" t="s">
        <v>421</v>
      </c>
      <c r="S15" s="305"/>
      <c r="T15" s="305"/>
      <c r="U15" s="305"/>
      <c r="V15" s="305"/>
      <c r="W15" s="305"/>
      <c r="X15" s="305"/>
      <c r="Y15" s="305"/>
      <c r="Z15" s="305"/>
    </row>
    <row r="16" spans="1:30" ht="15.75" customHeight="1" x14ac:dyDescent="0.2">
      <c r="A16" s="171" t="s">
        <v>69</v>
      </c>
      <c r="B16" s="142"/>
      <c r="C16" s="155">
        <v>41835</v>
      </c>
      <c r="D16" s="155">
        <v>41835</v>
      </c>
      <c r="E16" s="155">
        <v>41835</v>
      </c>
      <c r="F16" s="155">
        <v>41834</v>
      </c>
      <c r="G16" s="156">
        <f>AVERAGE(C16:F16)</f>
        <v>41834.75</v>
      </c>
      <c r="H16" s="157" t="s">
        <v>70</v>
      </c>
      <c r="I16" s="163">
        <v>41849</v>
      </c>
      <c r="J16" s="364">
        <f>I16-C16</f>
        <v>14</v>
      </c>
      <c r="K16" s="336"/>
      <c r="L16" s="364">
        <v>14</v>
      </c>
      <c r="M16" s="336"/>
      <c r="N16" s="364">
        <v>14</v>
      </c>
      <c r="O16" s="272"/>
      <c r="P16" s="365">
        <v>13</v>
      </c>
      <c r="Q16" s="261"/>
      <c r="R16" s="307"/>
      <c r="S16" s="307"/>
      <c r="T16" s="307"/>
      <c r="U16" s="307"/>
      <c r="V16" s="307"/>
      <c r="W16" s="307"/>
      <c r="X16" s="307"/>
      <c r="Y16" s="307"/>
      <c r="Z16" s="307"/>
    </row>
    <row r="17" spans="1:26" ht="15.75" customHeight="1" x14ac:dyDescent="0.2">
      <c r="A17" s="338" t="s">
        <v>71</v>
      </c>
      <c r="B17" s="368"/>
      <c r="C17" s="172">
        <f>C16-C7</f>
        <v>38</v>
      </c>
      <c r="D17" s="172">
        <f>D16-D7</f>
        <v>36</v>
      </c>
      <c r="E17" s="172">
        <f>E16-E7</f>
        <v>34</v>
      </c>
      <c r="F17" s="172">
        <f>F16-F7</f>
        <v>31</v>
      </c>
      <c r="G17" s="173">
        <f>AVERAGE(C17:E17)</f>
        <v>36</v>
      </c>
      <c r="H17" s="157" t="s">
        <v>72</v>
      </c>
      <c r="I17" s="166">
        <v>41849</v>
      </c>
      <c r="J17" s="357">
        <v>496</v>
      </c>
      <c r="K17" s="336"/>
      <c r="L17" s="356">
        <v>327</v>
      </c>
      <c r="M17" s="336"/>
      <c r="N17" s="366">
        <v>247</v>
      </c>
      <c r="O17" s="272"/>
      <c r="P17" s="367">
        <v>108</v>
      </c>
      <c r="Q17" s="261"/>
      <c r="R17" s="307"/>
      <c r="S17" s="307"/>
      <c r="T17" s="307"/>
      <c r="U17" s="307"/>
      <c r="V17" s="307"/>
      <c r="W17" s="307"/>
      <c r="X17" s="307"/>
      <c r="Y17" s="307"/>
      <c r="Z17" s="307"/>
    </row>
    <row r="18" spans="1:26" ht="15.75" customHeight="1" x14ac:dyDescent="0.2">
      <c r="A18" s="340" t="s">
        <v>73</v>
      </c>
      <c r="B18" s="340"/>
      <c r="C18" s="339" t="s">
        <v>40</v>
      </c>
      <c r="D18" s="339" t="s">
        <v>41</v>
      </c>
      <c r="E18" s="339" t="s">
        <v>42</v>
      </c>
      <c r="F18" s="339" t="s">
        <v>43</v>
      </c>
      <c r="G18" s="339" t="s">
        <v>38</v>
      </c>
      <c r="H18" s="167" t="s">
        <v>78</v>
      </c>
      <c r="I18" s="179"/>
      <c r="J18" s="357" t="s">
        <v>369</v>
      </c>
      <c r="K18" s="336"/>
      <c r="L18" s="356" t="s">
        <v>369</v>
      </c>
      <c r="M18" s="336"/>
      <c r="N18" s="371" t="s">
        <v>29</v>
      </c>
      <c r="O18" s="261"/>
      <c r="P18" s="371" t="s">
        <v>29</v>
      </c>
      <c r="Q18" s="261"/>
      <c r="R18" s="307"/>
      <c r="S18" s="307"/>
      <c r="T18" s="307"/>
      <c r="U18" s="307"/>
      <c r="V18" s="307"/>
      <c r="W18" s="307"/>
      <c r="X18" s="307"/>
      <c r="Y18" s="307"/>
      <c r="Z18" s="307"/>
    </row>
    <row r="19" spans="1:26"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7"/>
    </row>
    <row r="20" spans="1:26" ht="15.75" customHeight="1" x14ac:dyDescent="0.2">
      <c r="A20" s="372" t="s">
        <v>79</v>
      </c>
      <c r="B20" s="373"/>
      <c r="C20" s="122" t="s">
        <v>446</v>
      </c>
      <c r="D20" s="122" t="s">
        <v>428</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7"/>
    </row>
    <row r="21" spans="1:26" ht="15.75" customHeight="1" x14ac:dyDescent="0.2">
      <c r="A21" s="372" t="s">
        <v>46</v>
      </c>
      <c r="B21" s="373"/>
      <c r="C21" s="71" t="s">
        <v>354</v>
      </c>
      <c r="D21" s="71" t="s">
        <v>355</v>
      </c>
      <c r="E21" s="71" t="s">
        <v>356</v>
      </c>
      <c r="F21" s="71" t="s">
        <v>407</v>
      </c>
      <c r="G21" s="71" t="s">
        <v>29</v>
      </c>
      <c r="H21" s="176" t="s">
        <v>80</v>
      </c>
      <c r="I21" s="163">
        <v>41854</v>
      </c>
      <c r="J21" s="364">
        <v>20</v>
      </c>
      <c r="K21" s="336"/>
      <c r="L21" s="364">
        <v>20</v>
      </c>
      <c r="M21" s="336"/>
      <c r="N21" s="364">
        <v>20</v>
      </c>
      <c r="O21" s="272"/>
      <c r="P21" s="365" t="s">
        <v>410</v>
      </c>
      <c r="Q21" s="261"/>
      <c r="R21" s="307"/>
      <c r="S21" s="307"/>
      <c r="T21" s="307"/>
      <c r="U21" s="307"/>
      <c r="V21" s="307"/>
      <c r="W21" s="307"/>
      <c r="X21" s="307"/>
      <c r="Y21" s="307"/>
      <c r="Z21" s="307"/>
    </row>
    <row r="22" spans="1:26" ht="15.75" customHeight="1" x14ac:dyDescent="0.2">
      <c r="A22" s="372" t="s">
        <v>81</v>
      </c>
      <c r="B22" s="373"/>
      <c r="C22" s="200">
        <v>41862</v>
      </c>
      <c r="D22" s="200">
        <v>41862</v>
      </c>
      <c r="E22" s="200" t="s">
        <v>410</v>
      </c>
      <c r="F22" s="71" t="s">
        <v>410</v>
      </c>
      <c r="G22" s="174" t="s">
        <v>29</v>
      </c>
      <c r="H22" s="178" t="s">
        <v>82</v>
      </c>
      <c r="I22" s="163">
        <v>41854</v>
      </c>
      <c r="J22" s="357">
        <v>653</v>
      </c>
      <c r="K22" s="336"/>
      <c r="L22" s="356">
        <v>458</v>
      </c>
      <c r="M22" s="336"/>
      <c r="N22" s="366">
        <v>378</v>
      </c>
      <c r="O22" s="272"/>
      <c r="P22" s="367" t="s">
        <v>410</v>
      </c>
      <c r="Q22" s="261"/>
      <c r="R22" s="307"/>
      <c r="S22" s="307"/>
      <c r="T22" s="307"/>
      <c r="U22" s="307"/>
      <c r="V22" s="307"/>
      <c r="W22" s="307"/>
      <c r="X22" s="307"/>
      <c r="Y22" s="307"/>
      <c r="Z22" s="307"/>
    </row>
    <row r="23" spans="1:26" ht="15.75" customHeight="1" x14ac:dyDescent="0.2">
      <c r="A23" s="372" t="s">
        <v>12</v>
      </c>
      <c r="B23" s="373"/>
      <c r="C23" s="71">
        <v>194719231</v>
      </c>
      <c r="D23" s="71">
        <v>220612792</v>
      </c>
      <c r="E23" s="71" t="s">
        <v>410</v>
      </c>
      <c r="F23" s="71" t="s">
        <v>410</v>
      </c>
      <c r="G23" s="174" t="s">
        <v>29</v>
      </c>
      <c r="H23" s="178" t="s">
        <v>83</v>
      </c>
      <c r="I23" s="167"/>
      <c r="J23" s="371" t="s">
        <v>29</v>
      </c>
      <c r="K23" s="261"/>
      <c r="L23" s="371" t="s">
        <v>29</v>
      </c>
      <c r="M23" s="261"/>
      <c r="N23" s="366" t="s">
        <v>369</v>
      </c>
      <c r="O23" s="272"/>
      <c r="P23" s="371" t="s">
        <v>29</v>
      </c>
      <c r="Q23" s="261"/>
      <c r="R23" s="307"/>
      <c r="S23" s="307"/>
      <c r="T23" s="307"/>
      <c r="U23" s="307"/>
      <c r="V23" s="307"/>
      <c r="W23" s="307"/>
      <c r="X23" s="307"/>
      <c r="Y23" s="307"/>
      <c r="Z23" s="307"/>
    </row>
    <row r="24" spans="1:26" ht="15.75" customHeight="1" x14ac:dyDescent="0.2">
      <c r="A24" s="372" t="s">
        <v>84</v>
      </c>
      <c r="B24" s="373"/>
      <c r="C24" s="71" t="s">
        <v>410</v>
      </c>
      <c r="D24" s="71" t="s">
        <v>410</v>
      </c>
      <c r="E24" s="71" t="s">
        <v>410</v>
      </c>
      <c r="F24" s="71" t="s">
        <v>410</v>
      </c>
      <c r="G24" s="17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7"/>
    </row>
    <row r="25" spans="1:26" ht="15.75" customHeight="1" x14ac:dyDescent="0.2">
      <c r="A25" s="372" t="s">
        <v>11</v>
      </c>
      <c r="B25" s="373"/>
      <c r="C25" s="71" t="s">
        <v>398</v>
      </c>
      <c r="D25" s="71" t="s">
        <v>398</v>
      </c>
      <c r="E25" s="71" t="s">
        <v>410</v>
      </c>
      <c r="F25" s="71" t="s">
        <v>410</v>
      </c>
      <c r="G25" s="17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7"/>
    </row>
    <row r="26" spans="1:26" ht="15.75" customHeight="1" x14ac:dyDescent="0.2">
      <c r="A26" s="374" t="s">
        <v>85</v>
      </c>
      <c r="B26" s="375"/>
      <c r="C26" s="71" t="s">
        <v>410</v>
      </c>
      <c r="D26" s="71" t="s">
        <v>410</v>
      </c>
      <c r="E26" s="177">
        <v>41858</v>
      </c>
      <c r="F26" s="177">
        <v>41849</v>
      </c>
      <c r="G26" s="174" t="s">
        <v>29</v>
      </c>
      <c r="H26" s="178" t="s">
        <v>86</v>
      </c>
      <c r="I26" s="167"/>
      <c r="J26" s="354" t="s">
        <v>29</v>
      </c>
      <c r="K26" s="336"/>
      <c r="L26" s="372" t="s">
        <v>29</v>
      </c>
      <c r="M26" s="336"/>
      <c r="N26" s="380" t="s">
        <v>29</v>
      </c>
      <c r="O26" s="272"/>
      <c r="P26" s="371" t="s">
        <v>29</v>
      </c>
      <c r="Q26" s="261"/>
      <c r="R26" s="307"/>
      <c r="S26" s="307"/>
      <c r="T26" s="307"/>
      <c r="U26" s="307"/>
      <c r="V26" s="307"/>
      <c r="W26" s="307"/>
      <c r="X26" s="307"/>
      <c r="Y26" s="307"/>
      <c r="Z26" s="307"/>
    </row>
    <row r="27" spans="1:26" ht="15.75" customHeight="1" x14ac:dyDescent="0.2">
      <c r="A27" s="378" t="s">
        <v>87</v>
      </c>
      <c r="B27" s="379"/>
      <c r="C27" s="71" t="s">
        <v>410</v>
      </c>
      <c r="D27" s="71" t="s">
        <v>29</v>
      </c>
      <c r="E27" s="71">
        <f>E26-E16</f>
        <v>23</v>
      </c>
      <c r="F27" s="71">
        <f>F26-F16</f>
        <v>15</v>
      </c>
      <c r="G27" s="174" t="s">
        <v>29</v>
      </c>
      <c r="H27" s="178" t="s">
        <v>88</v>
      </c>
      <c r="I27" s="167"/>
      <c r="J27" s="354" t="s">
        <v>29</v>
      </c>
      <c r="K27" s="336"/>
      <c r="L27" s="372" t="s">
        <v>29</v>
      </c>
      <c r="M27" s="336"/>
      <c r="N27" s="380" t="s">
        <v>29</v>
      </c>
      <c r="O27" s="272"/>
      <c r="P27" s="371" t="s">
        <v>29</v>
      </c>
      <c r="Q27" s="261"/>
      <c r="R27" s="506"/>
      <c r="S27" s="506"/>
      <c r="T27" s="506"/>
      <c r="U27" s="506"/>
      <c r="V27" s="506"/>
      <c r="W27" s="506"/>
      <c r="X27" s="506"/>
      <c r="Y27" s="506"/>
      <c r="Z27" s="506"/>
    </row>
    <row r="28" spans="1:26" ht="15.75" customHeight="1" x14ac:dyDescent="0.2">
      <c r="A28" s="129"/>
      <c r="B28" s="180"/>
      <c r="C28" s="181"/>
      <c r="D28" s="181"/>
      <c r="E28" s="181"/>
      <c r="F28" s="181"/>
      <c r="G28" s="181"/>
      <c r="H28" s="176" t="s">
        <v>80</v>
      </c>
      <c r="I28" s="163">
        <v>41862</v>
      </c>
      <c r="J28" s="364">
        <f>I28-C16</f>
        <v>27</v>
      </c>
      <c r="K28" s="336"/>
      <c r="L28" s="364">
        <v>27</v>
      </c>
      <c r="M28" s="336"/>
      <c r="N28" s="364" t="s">
        <v>410</v>
      </c>
      <c r="O28" s="272"/>
      <c r="P28" s="365" t="s">
        <v>410</v>
      </c>
      <c r="Q28" s="261"/>
      <c r="R28" s="182"/>
      <c r="S28" s="181"/>
      <c r="T28" s="181"/>
      <c r="U28" s="181"/>
      <c r="V28" s="181"/>
      <c r="W28" s="181"/>
      <c r="X28" s="181"/>
      <c r="Y28" s="181"/>
      <c r="Z28" s="181"/>
    </row>
    <row r="29" spans="1:26" ht="18" customHeight="1" x14ac:dyDescent="0.2">
      <c r="H29" s="178" t="s">
        <v>82</v>
      </c>
      <c r="I29" s="163">
        <v>41862</v>
      </c>
      <c r="J29" s="357">
        <v>754</v>
      </c>
      <c r="K29" s="336"/>
      <c r="L29" s="356">
        <v>551</v>
      </c>
      <c r="M29" s="336"/>
      <c r="N29" s="366" t="s">
        <v>410</v>
      </c>
      <c r="O29" s="272"/>
      <c r="P29" s="367" t="s">
        <v>410</v>
      </c>
      <c r="Q29" s="261"/>
    </row>
    <row r="30" spans="1:26" ht="18" customHeight="1" x14ac:dyDescent="0.2">
      <c r="H30" s="178" t="s">
        <v>83</v>
      </c>
      <c r="I30" s="166">
        <v>41862</v>
      </c>
      <c r="J30" s="366" t="s">
        <v>369</v>
      </c>
      <c r="K30" s="272"/>
      <c r="L30" s="366" t="s">
        <v>369</v>
      </c>
      <c r="M30" s="272"/>
      <c r="N30" s="371" t="s">
        <v>29</v>
      </c>
      <c r="O30" s="261"/>
      <c r="P30" s="371" t="s">
        <v>29</v>
      </c>
      <c r="Q30" s="261"/>
    </row>
    <row r="31" spans="1:26" ht="18" customHeight="1" x14ac:dyDescent="0.2">
      <c r="H31" s="178" t="s">
        <v>67</v>
      </c>
      <c r="I31" s="167"/>
      <c r="J31" s="354" t="s">
        <v>29</v>
      </c>
      <c r="K31" s="336"/>
      <c r="L31" s="372" t="s">
        <v>29</v>
      </c>
      <c r="M31" s="336"/>
      <c r="N31" s="380" t="s">
        <v>29</v>
      </c>
      <c r="O31" s="272"/>
      <c r="P31" s="371" t="s">
        <v>29</v>
      </c>
      <c r="Q31" s="261"/>
    </row>
    <row r="32" spans="1:26" ht="18" customHeight="1" x14ac:dyDescent="0.2">
      <c r="H32" s="178" t="s">
        <v>68</v>
      </c>
      <c r="I32" s="167"/>
      <c r="J32" s="354" t="s">
        <v>29</v>
      </c>
      <c r="K32" s="336"/>
      <c r="L32" s="372" t="s">
        <v>29</v>
      </c>
      <c r="M32" s="336"/>
      <c r="N32" s="380" t="s">
        <v>29</v>
      </c>
      <c r="O32" s="272"/>
      <c r="P32" s="371" t="s">
        <v>29</v>
      </c>
      <c r="Q32" s="261"/>
    </row>
    <row r="33" spans="8:17" ht="18" customHeight="1" x14ac:dyDescent="0.2">
      <c r="H33" s="178" t="s">
        <v>86</v>
      </c>
      <c r="I33" s="167"/>
      <c r="J33" s="354" t="s">
        <v>29</v>
      </c>
      <c r="K33" s="336"/>
      <c r="L33" s="372" t="s">
        <v>29</v>
      </c>
      <c r="M33" s="336"/>
      <c r="N33" s="380" t="s">
        <v>29</v>
      </c>
      <c r="O33" s="272"/>
      <c r="P33" s="371" t="s">
        <v>29</v>
      </c>
      <c r="Q33" s="261"/>
    </row>
    <row r="34" spans="8:17" ht="18" customHeight="1" x14ac:dyDescent="0.2">
      <c r="H34" s="178" t="s">
        <v>88</v>
      </c>
      <c r="I34" s="167"/>
      <c r="J34" s="354" t="s">
        <v>29</v>
      </c>
      <c r="K34" s="336"/>
      <c r="L34" s="372" t="s">
        <v>29</v>
      </c>
      <c r="M34" s="336"/>
      <c r="N34" s="380" t="s">
        <v>29</v>
      </c>
      <c r="O34" s="272"/>
      <c r="P34" s="371" t="s">
        <v>29</v>
      </c>
      <c r="Q34" s="261"/>
    </row>
    <row r="35" spans="8:17" ht="18" customHeight="1" x14ac:dyDescent="0.2">
      <c r="H35" s="176" t="s">
        <v>80</v>
      </c>
      <c r="I35" s="163">
        <v>41864</v>
      </c>
      <c r="J35" s="364">
        <f>I35-C16</f>
        <v>29</v>
      </c>
      <c r="K35" s="336"/>
      <c r="L35" s="364">
        <v>29</v>
      </c>
      <c r="M35" s="336"/>
      <c r="N35" s="364" t="s">
        <v>410</v>
      </c>
      <c r="O35" s="272"/>
      <c r="P35" s="365" t="s">
        <v>410</v>
      </c>
      <c r="Q35" s="261"/>
    </row>
    <row r="36" spans="8:17" ht="18" customHeight="1" x14ac:dyDescent="0.2">
      <c r="H36" s="178" t="s">
        <v>82</v>
      </c>
      <c r="I36" s="163">
        <v>41864</v>
      </c>
      <c r="J36" s="357">
        <v>840</v>
      </c>
      <c r="K36" s="336"/>
      <c r="L36" s="356">
        <v>581</v>
      </c>
      <c r="M36" s="336"/>
      <c r="N36" s="366" t="s">
        <v>410</v>
      </c>
      <c r="O36" s="272"/>
      <c r="P36" s="367" t="s">
        <v>410</v>
      </c>
      <c r="Q36" s="261"/>
    </row>
    <row r="37" spans="8:17" ht="18" customHeight="1" x14ac:dyDescent="0.2">
      <c r="H37" s="178" t="s">
        <v>83</v>
      </c>
      <c r="I37" s="167"/>
      <c r="J37" s="371" t="s">
        <v>29</v>
      </c>
      <c r="K37" s="261"/>
      <c r="L37" s="371" t="s">
        <v>29</v>
      </c>
      <c r="M37" s="261"/>
      <c r="N37" s="371" t="s">
        <v>29</v>
      </c>
      <c r="O37" s="261"/>
      <c r="P37" s="371" t="s">
        <v>29</v>
      </c>
      <c r="Q37" s="261"/>
    </row>
    <row r="38" spans="8:17" ht="18" customHeight="1" x14ac:dyDescent="0.2">
      <c r="H38" s="178" t="s">
        <v>67</v>
      </c>
      <c r="I38" s="167"/>
      <c r="J38" s="354" t="s">
        <v>29</v>
      </c>
      <c r="K38" s="336"/>
      <c r="L38" s="372" t="s">
        <v>29</v>
      </c>
      <c r="M38" s="336"/>
      <c r="N38" s="380" t="s">
        <v>29</v>
      </c>
      <c r="O38" s="272"/>
      <c r="P38" s="371" t="s">
        <v>29</v>
      </c>
      <c r="Q38" s="261"/>
    </row>
    <row r="39" spans="8:17" ht="18" customHeight="1" x14ac:dyDescent="0.2">
      <c r="H39" s="178" t="s">
        <v>68</v>
      </c>
      <c r="I39" s="167"/>
      <c r="J39" s="354" t="s">
        <v>29</v>
      </c>
      <c r="K39" s="336"/>
      <c r="L39" s="372" t="s">
        <v>29</v>
      </c>
      <c r="M39" s="336"/>
      <c r="N39" s="380" t="s">
        <v>29</v>
      </c>
      <c r="O39" s="272"/>
      <c r="P39" s="371" t="s">
        <v>29</v>
      </c>
      <c r="Q39" s="261"/>
    </row>
    <row r="40" spans="8:17" ht="18" customHeight="1" x14ac:dyDescent="0.2">
      <c r="H40" s="178" t="s">
        <v>86</v>
      </c>
      <c r="I40" s="167"/>
      <c r="J40" s="354" t="s">
        <v>29</v>
      </c>
      <c r="K40" s="336"/>
      <c r="L40" s="372" t="s">
        <v>29</v>
      </c>
      <c r="M40" s="336"/>
      <c r="N40" s="380" t="s">
        <v>29</v>
      </c>
      <c r="O40" s="272"/>
      <c r="P40" s="371" t="s">
        <v>29</v>
      </c>
      <c r="Q40" s="261"/>
    </row>
    <row r="41" spans="8:17" ht="18" customHeight="1" x14ac:dyDescent="0.2">
      <c r="H41" s="178" t="s">
        <v>88</v>
      </c>
      <c r="I41" s="167"/>
      <c r="J41" s="354" t="s">
        <v>29</v>
      </c>
      <c r="K41" s="336"/>
      <c r="L41" s="372" t="s">
        <v>29</v>
      </c>
      <c r="M41" s="336"/>
      <c r="N41" s="380" t="s">
        <v>29</v>
      </c>
      <c r="O41" s="272"/>
      <c r="P41" s="371" t="s">
        <v>29</v>
      </c>
      <c r="Q41" s="261"/>
    </row>
  </sheetData>
  <mergeCells count="184">
    <mergeCell ref="J40:K40"/>
    <mergeCell ref="L40:M40"/>
    <mergeCell ref="N40:O40"/>
    <mergeCell ref="P40:Q40"/>
    <mergeCell ref="J41:K41"/>
    <mergeCell ref="L41:M41"/>
    <mergeCell ref="N41:O41"/>
    <mergeCell ref="P41:Q41"/>
    <mergeCell ref="J34:K34"/>
    <mergeCell ref="L34:M34"/>
    <mergeCell ref="N34:O34"/>
    <mergeCell ref="P34:Q34"/>
    <mergeCell ref="J38:K38"/>
    <mergeCell ref="L38:M38"/>
    <mergeCell ref="N38:O38"/>
    <mergeCell ref="P38:Q38"/>
    <mergeCell ref="J39:K39"/>
    <mergeCell ref="L39:M39"/>
    <mergeCell ref="N39:O39"/>
    <mergeCell ref="P39:Q39"/>
    <mergeCell ref="J35:K35"/>
    <mergeCell ref="L35:M35"/>
    <mergeCell ref="N35:O35"/>
    <mergeCell ref="P35:Q35"/>
    <mergeCell ref="N31:O31"/>
    <mergeCell ref="P31:Q31"/>
    <mergeCell ref="J32:K32"/>
    <mergeCell ref="L32:M32"/>
    <mergeCell ref="N32:O32"/>
    <mergeCell ref="P32:Q32"/>
    <mergeCell ref="J33:K33"/>
    <mergeCell ref="L33:M33"/>
    <mergeCell ref="N33:O33"/>
    <mergeCell ref="P33:Q33"/>
    <mergeCell ref="J31:K31"/>
    <mergeCell ref="L31:M31"/>
    <mergeCell ref="L28:M28"/>
    <mergeCell ref="N28:O28"/>
    <mergeCell ref="P28:Q28"/>
    <mergeCell ref="J29:K29"/>
    <mergeCell ref="L29:M29"/>
    <mergeCell ref="N29:O29"/>
    <mergeCell ref="P29:Q29"/>
    <mergeCell ref="J30:K30"/>
    <mergeCell ref="L30:M30"/>
    <mergeCell ref="N30:O30"/>
    <mergeCell ref="P30:Q30"/>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R1:S1"/>
    <mergeCell ref="L2:M2"/>
    <mergeCell ref="Q2:R2"/>
    <mergeCell ref="Y2:Z2"/>
    <mergeCell ref="L4:M4"/>
    <mergeCell ref="Q4:R4"/>
    <mergeCell ref="Y4:Z4"/>
    <mergeCell ref="J6:K6"/>
    <mergeCell ref="L6:M6"/>
    <mergeCell ref="N6:O6"/>
    <mergeCell ref="P6:Q6"/>
    <mergeCell ref="S6:Z6"/>
    <mergeCell ref="J36:K36"/>
    <mergeCell ref="L36:M36"/>
    <mergeCell ref="N36:O36"/>
    <mergeCell ref="P36:Q36"/>
    <mergeCell ref="J37:K37"/>
    <mergeCell ref="L37:M37"/>
    <mergeCell ref="N37:O37"/>
    <mergeCell ref="P37:Q37"/>
    <mergeCell ref="I1:J1"/>
    <mergeCell ref="K1:O1"/>
    <mergeCell ref="P1:Q1"/>
    <mergeCell ref="J8:K8"/>
    <mergeCell ref="L8:M8"/>
    <mergeCell ref="N8:O8"/>
    <mergeCell ref="P8:Q8"/>
    <mergeCell ref="J12:K12"/>
    <mergeCell ref="L12:M12"/>
    <mergeCell ref="N12:O12"/>
    <mergeCell ref="P12:Q12"/>
    <mergeCell ref="J15:K15"/>
    <mergeCell ref="L15:M15"/>
    <mergeCell ref="N15:O15"/>
    <mergeCell ref="P15:Q15"/>
    <mergeCell ref="J28:K28"/>
  </mergeCells>
  <pageMargins left="0.7" right="0.7" top="0.75" bottom="0.75" header="0.3" footer="0.3"/>
  <legacy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48"/>
  <sheetViews>
    <sheetView topLeftCell="A25" workbookViewId="0">
      <selection activeCell="S36" sqref="S36"/>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130">
        <v>2014</v>
      </c>
      <c r="C1" s="132" t="s">
        <v>1</v>
      </c>
      <c r="D1" s="130"/>
      <c r="E1" s="132" t="s">
        <v>2</v>
      </c>
      <c r="F1" s="130">
        <v>77</v>
      </c>
      <c r="G1" s="134" t="s">
        <v>3</v>
      </c>
      <c r="H1" s="130" t="s">
        <v>4</v>
      </c>
      <c r="I1" s="381" t="s">
        <v>5</v>
      </c>
      <c r="J1" s="476"/>
      <c r="K1" s="330" t="s">
        <v>331</v>
      </c>
      <c r="L1" s="382"/>
      <c r="M1" s="382"/>
      <c r="N1" s="382"/>
      <c r="O1" s="383"/>
      <c r="P1" s="384" t="s">
        <v>6</v>
      </c>
      <c r="Q1" s="477"/>
      <c r="R1" s="385"/>
      <c r="S1" s="334"/>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86" t="s">
        <v>19</v>
      </c>
      <c r="M2" s="478"/>
      <c r="N2" s="138" t="s">
        <v>20</v>
      </c>
      <c r="O2" s="138" t="s">
        <v>21</v>
      </c>
      <c r="P2" s="138" t="s">
        <v>22</v>
      </c>
      <c r="Q2" s="335" t="s">
        <v>23</v>
      </c>
      <c r="R2" s="479"/>
      <c r="S2" s="139" t="s">
        <v>24</v>
      </c>
      <c r="T2" s="139" t="s">
        <v>25</v>
      </c>
      <c r="U2" s="140" t="s">
        <v>99</v>
      </c>
      <c r="V2" s="139" t="s">
        <v>92</v>
      </c>
      <c r="W2" s="139" t="s">
        <v>93</v>
      </c>
      <c r="X2" s="139" t="s">
        <v>27</v>
      </c>
      <c r="Y2" s="388" t="s">
        <v>28</v>
      </c>
      <c r="Z2" s="48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68"/>
      <c r="N4" s="139" t="s">
        <v>20</v>
      </c>
      <c r="O4" s="139" t="s">
        <v>21</v>
      </c>
      <c r="P4" s="139" t="s">
        <v>22</v>
      </c>
      <c r="Q4" s="338" t="s">
        <v>23</v>
      </c>
      <c r="R4" s="368"/>
      <c r="S4" s="139" t="s">
        <v>24</v>
      </c>
      <c r="T4" s="139" t="s">
        <v>25</v>
      </c>
      <c r="U4" s="139" t="s">
        <v>26</v>
      </c>
      <c r="V4" s="139" t="s">
        <v>92</v>
      </c>
      <c r="W4" s="139" t="s">
        <v>93</v>
      </c>
      <c r="X4" s="139" t="s">
        <v>27</v>
      </c>
      <c r="Y4" s="338" t="s">
        <v>28</v>
      </c>
      <c r="Z4" s="481"/>
      <c r="AA4" s="31" t="s">
        <v>89</v>
      </c>
      <c r="AB4" s="31" t="s">
        <v>91</v>
      </c>
      <c r="AC4" s="32" t="s">
        <v>90</v>
      </c>
      <c r="AD4" s="31" t="s">
        <v>95</v>
      </c>
    </row>
    <row r="5" spans="1:30" ht="15.75" customHeight="1" x14ac:dyDescent="0.2">
      <c r="A5" s="71" t="s">
        <v>103</v>
      </c>
      <c r="B5" s="144">
        <v>41798</v>
      </c>
      <c r="C5" s="71" t="s">
        <v>29</v>
      </c>
      <c r="D5" s="71" t="s">
        <v>29</v>
      </c>
      <c r="E5" s="71" t="s">
        <v>29</v>
      </c>
      <c r="F5" s="71" t="s">
        <v>224</v>
      </c>
      <c r="G5" s="71" t="s">
        <v>225</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c r="AD5" s="69" t="s">
        <v>205</v>
      </c>
    </row>
    <row r="6" spans="1:30" ht="16.5" customHeight="1" x14ac:dyDescent="0.2">
      <c r="A6" s="149" t="s">
        <v>33</v>
      </c>
      <c r="B6" s="139" t="s">
        <v>9</v>
      </c>
      <c r="C6" s="170" t="s">
        <v>34</v>
      </c>
      <c r="D6" s="170" t="s">
        <v>35</v>
      </c>
      <c r="E6" s="170" t="s">
        <v>36</v>
      </c>
      <c r="F6" s="170" t="s">
        <v>37</v>
      </c>
      <c r="G6" s="170" t="s">
        <v>38</v>
      </c>
      <c r="H6" s="190" t="s">
        <v>39</v>
      </c>
      <c r="I6" s="184" t="s">
        <v>9</v>
      </c>
      <c r="J6" s="390" t="s">
        <v>40</v>
      </c>
      <c r="K6" s="391"/>
      <c r="L6" s="390" t="s">
        <v>41</v>
      </c>
      <c r="M6" s="391"/>
      <c r="N6" s="390" t="s">
        <v>42</v>
      </c>
      <c r="O6" s="391"/>
      <c r="P6" s="390" t="s">
        <v>43</v>
      </c>
      <c r="Q6" s="391"/>
      <c r="R6" s="35"/>
      <c r="S6" s="340" t="s">
        <v>44</v>
      </c>
      <c r="T6" s="340"/>
      <c r="U6" s="340"/>
      <c r="V6" s="340"/>
      <c r="W6" s="340"/>
      <c r="X6" s="340"/>
      <c r="Y6" s="340"/>
      <c r="Z6" s="482"/>
    </row>
    <row r="7" spans="1:30" ht="15.75" customHeight="1" x14ac:dyDescent="0.2">
      <c r="A7" s="154" t="s">
        <v>45</v>
      </c>
      <c r="B7" s="142"/>
      <c r="C7" s="155" t="s">
        <v>260</v>
      </c>
      <c r="D7" s="155" t="s">
        <v>260</v>
      </c>
      <c r="E7" s="155" t="s">
        <v>260</v>
      </c>
      <c r="F7" s="155" t="s">
        <v>260</v>
      </c>
      <c r="G7" s="156" t="e">
        <f>AVERAGE(C7:F7)</f>
        <v>#DIV/0!</v>
      </c>
      <c r="H7" s="157" t="s">
        <v>46</v>
      </c>
      <c r="I7" s="158"/>
      <c r="J7" s="395" t="s">
        <v>29</v>
      </c>
      <c r="K7" s="484"/>
      <c r="L7" s="396" t="s">
        <v>29</v>
      </c>
      <c r="M7" s="485"/>
      <c r="N7" s="396" t="s">
        <v>29</v>
      </c>
      <c r="O7" s="485"/>
      <c r="P7" s="397" t="s">
        <v>29</v>
      </c>
      <c r="Q7" s="486"/>
      <c r="R7" s="159" t="s">
        <v>47</v>
      </c>
      <c r="S7" s="160"/>
      <c r="T7" s="174">
        <v>4</v>
      </c>
      <c r="U7" s="398" t="s">
        <v>48</v>
      </c>
      <c r="V7" s="399"/>
      <c r="W7" s="400"/>
      <c r="X7" s="349" t="s">
        <v>29</v>
      </c>
      <c r="Y7" s="350"/>
      <c r="Z7" s="351"/>
    </row>
    <row r="8" spans="1:30" ht="15.75" customHeight="1" x14ac:dyDescent="0.2">
      <c r="A8" s="161" t="s">
        <v>49</v>
      </c>
      <c r="B8" s="142" t="s">
        <v>29</v>
      </c>
      <c r="C8" s="142" t="s">
        <v>29</v>
      </c>
      <c r="D8" s="142" t="s">
        <v>29</v>
      </c>
      <c r="E8" s="142" t="s">
        <v>29</v>
      </c>
      <c r="F8" s="142" t="s">
        <v>29</v>
      </c>
      <c r="G8" s="170"/>
      <c r="H8" s="157" t="s">
        <v>50</v>
      </c>
      <c r="I8" s="163">
        <v>41832</v>
      </c>
      <c r="J8" s="341">
        <f>I8-C16</f>
        <v>4</v>
      </c>
      <c r="K8" s="483"/>
      <c r="L8" s="341">
        <v>4</v>
      </c>
      <c r="M8" s="483"/>
      <c r="N8" s="341">
        <v>3</v>
      </c>
      <c r="O8" s="483"/>
      <c r="P8" s="341">
        <v>1</v>
      </c>
      <c r="Q8" s="483"/>
      <c r="R8" s="164" t="s">
        <v>51</v>
      </c>
      <c r="S8" s="165"/>
      <c r="T8" s="174">
        <v>0</v>
      </c>
      <c r="U8" s="392" t="s">
        <v>52</v>
      </c>
      <c r="V8" s="393"/>
      <c r="W8" s="394"/>
      <c r="X8" s="343" t="s">
        <v>29</v>
      </c>
      <c r="Y8" s="344"/>
      <c r="Z8" s="345"/>
    </row>
    <row r="9" spans="1:30" ht="15.75" customHeight="1" x14ac:dyDescent="0.2">
      <c r="A9" s="161" t="s">
        <v>49</v>
      </c>
      <c r="B9" s="142" t="s">
        <v>29</v>
      </c>
      <c r="C9" s="142" t="s">
        <v>29</v>
      </c>
      <c r="D9" s="142" t="s">
        <v>29</v>
      </c>
      <c r="E9" s="142" t="s">
        <v>29</v>
      </c>
      <c r="F9" s="142" t="s">
        <v>29</v>
      </c>
      <c r="G9" s="170"/>
      <c r="H9" s="157" t="s">
        <v>53</v>
      </c>
      <c r="I9" s="166">
        <v>41832</v>
      </c>
      <c r="J9" s="355">
        <v>94</v>
      </c>
      <c r="K9" s="475"/>
      <c r="L9" s="376">
        <v>91</v>
      </c>
      <c r="M9" s="440"/>
      <c r="N9" s="376">
        <v>69</v>
      </c>
      <c r="O9" s="440"/>
      <c r="P9" s="357">
        <v>35</v>
      </c>
      <c r="Q9" s="445"/>
      <c r="R9" s="164" t="s">
        <v>54</v>
      </c>
      <c r="S9" s="165"/>
      <c r="T9" s="174">
        <v>4</v>
      </c>
      <c r="U9" s="392" t="s">
        <v>55</v>
      </c>
      <c r="V9" s="393"/>
      <c r="W9" s="394"/>
      <c r="X9" s="343" t="s">
        <v>29</v>
      </c>
      <c r="Y9" s="344"/>
      <c r="Z9" s="345"/>
    </row>
    <row r="10" spans="1:30" ht="15" customHeight="1" x14ac:dyDescent="0.2">
      <c r="A10" s="161" t="s">
        <v>49</v>
      </c>
      <c r="B10" s="142" t="s">
        <v>29</v>
      </c>
      <c r="C10" s="142" t="s">
        <v>29</v>
      </c>
      <c r="D10" s="142" t="s">
        <v>29</v>
      </c>
      <c r="E10" s="142" t="s">
        <v>29</v>
      </c>
      <c r="F10" s="142" t="s">
        <v>29</v>
      </c>
      <c r="G10" s="170"/>
      <c r="H10" s="157" t="s">
        <v>56</v>
      </c>
      <c r="I10" s="167"/>
      <c r="J10" s="352" t="s">
        <v>29</v>
      </c>
      <c r="K10" s="487"/>
      <c r="L10" s="372" t="s">
        <v>29</v>
      </c>
      <c r="M10" s="373"/>
      <c r="N10" s="372" t="s">
        <v>29</v>
      </c>
      <c r="O10" s="373"/>
      <c r="P10" s="354" t="s">
        <v>29</v>
      </c>
      <c r="Q10" s="488"/>
      <c r="R10" s="164" t="s">
        <v>57</v>
      </c>
      <c r="S10" s="165"/>
      <c r="T10" s="174">
        <v>3</v>
      </c>
      <c r="U10" s="392" t="s">
        <v>58</v>
      </c>
      <c r="V10" s="393"/>
      <c r="W10" s="394"/>
      <c r="X10" s="343" t="s">
        <v>29</v>
      </c>
      <c r="Y10" s="344"/>
      <c r="Z10" s="345"/>
    </row>
    <row r="11" spans="1:30" ht="15" customHeight="1" x14ac:dyDescent="0.2">
      <c r="A11" s="161" t="s">
        <v>49</v>
      </c>
      <c r="B11" s="142" t="s">
        <v>29</v>
      </c>
      <c r="C11" s="142" t="s">
        <v>29</v>
      </c>
      <c r="D11" s="142" t="s">
        <v>29</v>
      </c>
      <c r="E11" s="142" t="s">
        <v>29</v>
      </c>
      <c r="F11" s="142" t="s">
        <v>29</v>
      </c>
      <c r="G11" s="170"/>
      <c r="H11" s="157" t="s">
        <v>59</v>
      </c>
      <c r="I11" s="163">
        <v>41833</v>
      </c>
      <c r="J11" s="341">
        <f>I11-D16</f>
        <v>5</v>
      </c>
      <c r="K11" s="483"/>
      <c r="L11" s="341">
        <v>5</v>
      </c>
      <c r="M11" s="483"/>
      <c r="N11" s="341">
        <v>4</v>
      </c>
      <c r="O11" s="483"/>
      <c r="P11" s="362">
        <v>2</v>
      </c>
      <c r="Q11" s="489"/>
      <c r="R11" s="164" t="s">
        <v>60</v>
      </c>
      <c r="S11" s="165"/>
      <c r="T11" s="174">
        <v>3</v>
      </c>
      <c r="U11" s="392" t="s">
        <v>61</v>
      </c>
      <c r="V11" s="393"/>
      <c r="W11" s="394"/>
      <c r="X11" s="343" t="s">
        <v>29</v>
      </c>
      <c r="Y11" s="344"/>
      <c r="Z11" s="345"/>
    </row>
    <row r="12" spans="1:30" ht="15.75" customHeight="1" x14ac:dyDescent="0.2">
      <c r="A12" s="161" t="s">
        <v>49</v>
      </c>
      <c r="B12" s="142" t="s">
        <v>29</v>
      </c>
      <c r="C12" s="142" t="s">
        <v>29</v>
      </c>
      <c r="D12" s="142" t="s">
        <v>29</v>
      </c>
      <c r="E12" s="142" t="s">
        <v>29</v>
      </c>
      <c r="F12" s="142" t="s">
        <v>29</v>
      </c>
      <c r="G12" s="170"/>
      <c r="H12" s="157" t="s">
        <v>62</v>
      </c>
      <c r="I12" s="166">
        <v>41833</v>
      </c>
      <c r="J12" s="355">
        <v>131</v>
      </c>
      <c r="K12" s="475"/>
      <c r="L12" s="376">
        <v>119</v>
      </c>
      <c r="M12" s="440"/>
      <c r="N12" s="376">
        <v>88</v>
      </c>
      <c r="O12" s="440"/>
      <c r="P12" s="357">
        <v>41</v>
      </c>
      <c r="Q12" s="445"/>
      <c r="R12" s="164" t="s">
        <v>63</v>
      </c>
      <c r="S12" s="165"/>
      <c r="T12" s="168">
        <v>1</v>
      </c>
      <c r="U12" s="398" t="s">
        <v>64</v>
      </c>
      <c r="V12" s="399"/>
      <c r="W12" s="400"/>
      <c r="X12" s="359" t="s">
        <v>29</v>
      </c>
      <c r="Y12" s="360"/>
      <c r="Z12" s="361"/>
    </row>
    <row r="13" spans="1:30" ht="15.75" customHeight="1" x14ac:dyDescent="0.2">
      <c r="A13" s="161" t="s">
        <v>49</v>
      </c>
      <c r="B13" s="142" t="s">
        <v>29</v>
      </c>
      <c r="C13" s="142" t="s">
        <v>29</v>
      </c>
      <c r="D13" s="142" t="s">
        <v>29</v>
      </c>
      <c r="E13" s="142" t="s">
        <v>29</v>
      </c>
      <c r="F13" s="142" t="s">
        <v>29</v>
      </c>
      <c r="G13" s="170"/>
      <c r="H13" s="157" t="s">
        <v>65</v>
      </c>
      <c r="I13" s="167"/>
      <c r="J13" s="352" t="s">
        <v>29</v>
      </c>
      <c r="K13" s="487"/>
      <c r="L13" s="372" t="s">
        <v>29</v>
      </c>
      <c r="M13" s="373"/>
      <c r="N13" s="372" t="s">
        <v>29</v>
      </c>
      <c r="O13" s="373"/>
      <c r="P13" s="354" t="s">
        <v>29</v>
      </c>
      <c r="Q13" s="490"/>
      <c r="R13" s="401" t="s">
        <v>66</v>
      </c>
      <c r="S13" s="402"/>
      <c r="T13" s="402"/>
      <c r="U13" s="402"/>
      <c r="V13" s="402"/>
      <c r="W13" s="402"/>
      <c r="X13" s="402"/>
      <c r="Y13" s="402"/>
      <c r="Z13" s="403"/>
    </row>
    <row r="14" spans="1:30" ht="15.75" customHeight="1" x14ac:dyDescent="0.2">
      <c r="A14" s="161" t="s">
        <v>49</v>
      </c>
      <c r="B14" s="142" t="s">
        <v>29</v>
      </c>
      <c r="C14" s="142" t="s">
        <v>29</v>
      </c>
      <c r="D14" s="142" t="s">
        <v>29</v>
      </c>
      <c r="E14" s="142" t="s">
        <v>29</v>
      </c>
      <c r="F14" s="142" t="s">
        <v>29</v>
      </c>
      <c r="G14" s="170"/>
      <c r="H14" s="157" t="s">
        <v>67</v>
      </c>
      <c r="I14" s="167"/>
      <c r="J14" s="352" t="s">
        <v>29</v>
      </c>
      <c r="K14" s="487"/>
      <c r="L14" s="372" t="s">
        <v>29</v>
      </c>
      <c r="M14" s="373"/>
      <c r="N14" s="372" t="s">
        <v>29</v>
      </c>
      <c r="O14" s="373"/>
      <c r="P14" s="354" t="s">
        <v>29</v>
      </c>
      <c r="Q14" s="490"/>
      <c r="R14" s="404"/>
      <c r="S14" s="405"/>
      <c r="T14" s="405"/>
      <c r="U14" s="405"/>
      <c r="V14" s="405"/>
      <c r="W14" s="405"/>
      <c r="X14" s="405"/>
      <c r="Y14" s="405"/>
      <c r="Z14" s="405"/>
    </row>
    <row r="15" spans="1:30" ht="15.75" customHeight="1" x14ac:dyDescent="0.2">
      <c r="A15" s="161" t="s">
        <v>49</v>
      </c>
      <c r="B15" s="142" t="s">
        <v>29</v>
      </c>
      <c r="C15" s="142" t="s">
        <v>29</v>
      </c>
      <c r="D15" s="142" t="s">
        <v>29</v>
      </c>
      <c r="E15" s="142" t="s">
        <v>29</v>
      </c>
      <c r="F15" s="142" t="s">
        <v>29</v>
      </c>
      <c r="G15" s="170"/>
      <c r="H15" s="157" t="s">
        <v>68</v>
      </c>
      <c r="I15" s="167"/>
      <c r="J15" s="352" t="s">
        <v>29</v>
      </c>
      <c r="K15" s="487"/>
      <c r="L15" s="372" t="s">
        <v>29</v>
      </c>
      <c r="M15" s="373"/>
      <c r="N15" s="372" t="s">
        <v>29</v>
      </c>
      <c r="O15" s="373"/>
      <c r="P15" s="407" t="s">
        <v>29</v>
      </c>
      <c r="Q15" s="491"/>
      <c r="R15" s="305" t="s">
        <v>448</v>
      </c>
      <c r="S15" s="305"/>
      <c r="T15" s="305"/>
      <c r="U15" s="305"/>
      <c r="V15" s="305"/>
      <c r="W15" s="305"/>
      <c r="X15" s="305"/>
      <c r="Y15" s="305"/>
      <c r="Z15" s="305"/>
    </row>
    <row r="16" spans="1:30" ht="15.75" customHeight="1" x14ac:dyDescent="0.2">
      <c r="A16" s="171" t="s">
        <v>69</v>
      </c>
      <c r="B16" s="142"/>
      <c r="C16" s="155">
        <v>41828</v>
      </c>
      <c r="D16" s="155">
        <v>41828</v>
      </c>
      <c r="E16" s="155">
        <v>41829</v>
      </c>
      <c r="F16" s="155">
        <v>41831</v>
      </c>
      <c r="G16" s="156">
        <f>AVERAGE(C16:F16)</f>
        <v>41829</v>
      </c>
      <c r="H16" s="157" t="s">
        <v>70</v>
      </c>
      <c r="I16" s="166">
        <v>41838</v>
      </c>
      <c r="J16" s="364">
        <f>I16-C16</f>
        <v>10</v>
      </c>
      <c r="K16" s="492"/>
      <c r="L16" s="364">
        <v>10</v>
      </c>
      <c r="M16" s="492"/>
      <c r="N16" s="364">
        <v>9</v>
      </c>
      <c r="O16" s="493"/>
      <c r="P16" s="413">
        <v>7</v>
      </c>
      <c r="Q16" s="494"/>
      <c r="R16" s="307"/>
      <c r="S16" s="307"/>
      <c r="T16" s="307"/>
      <c r="U16" s="307"/>
      <c r="V16" s="307"/>
      <c r="W16" s="307"/>
      <c r="X16" s="307"/>
      <c r="Y16" s="307"/>
      <c r="Z16" s="307"/>
    </row>
    <row r="17" spans="1:26" ht="15.75" customHeight="1" x14ac:dyDescent="0.2">
      <c r="A17" s="338" t="s">
        <v>71</v>
      </c>
      <c r="B17" s="368"/>
      <c r="C17" s="172">
        <v>41836</v>
      </c>
      <c r="D17" s="172">
        <v>41836</v>
      </c>
      <c r="E17" s="172">
        <v>41837</v>
      </c>
      <c r="F17" s="172">
        <v>41838</v>
      </c>
      <c r="G17" s="173">
        <f>AVERAGE(C17:E17)</f>
        <v>41836.333333333336</v>
      </c>
      <c r="H17" s="157" t="s">
        <v>72</v>
      </c>
      <c r="I17" s="166">
        <v>41838</v>
      </c>
      <c r="J17" s="357">
        <v>319</v>
      </c>
      <c r="K17" s="445"/>
      <c r="L17" s="376">
        <v>296</v>
      </c>
      <c r="M17" s="440"/>
      <c r="N17" s="377">
        <v>214</v>
      </c>
      <c r="O17" s="437"/>
      <c r="P17" s="414">
        <v>80</v>
      </c>
      <c r="Q17" s="436"/>
      <c r="R17" s="307"/>
      <c r="S17" s="307"/>
      <c r="T17" s="307"/>
      <c r="U17" s="307"/>
      <c r="V17" s="307"/>
      <c r="W17" s="307"/>
      <c r="X17" s="307"/>
      <c r="Y17" s="307"/>
      <c r="Z17" s="307"/>
    </row>
    <row r="18" spans="1:26" ht="15.75" customHeight="1" x14ac:dyDescent="0.2">
      <c r="A18" s="340" t="s">
        <v>73</v>
      </c>
      <c r="B18" s="415"/>
      <c r="C18" s="417" t="s">
        <v>40</v>
      </c>
      <c r="D18" s="417" t="s">
        <v>41</v>
      </c>
      <c r="E18" s="417" t="s">
        <v>42</v>
      </c>
      <c r="F18" s="417" t="s">
        <v>43</v>
      </c>
      <c r="G18" s="417" t="s">
        <v>38</v>
      </c>
      <c r="H18" s="167" t="s">
        <v>78</v>
      </c>
      <c r="I18" s="167"/>
      <c r="J18" s="354" t="s">
        <v>29</v>
      </c>
      <c r="K18" s="488"/>
      <c r="L18" s="372" t="s">
        <v>29</v>
      </c>
      <c r="M18" s="373"/>
      <c r="N18" s="380" t="s">
        <v>29</v>
      </c>
      <c r="O18" s="495"/>
      <c r="P18" s="419" t="s">
        <v>29</v>
      </c>
      <c r="Q18" s="474"/>
      <c r="R18" s="307"/>
      <c r="S18" s="307"/>
      <c r="T18" s="307"/>
      <c r="U18" s="307"/>
      <c r="V18" s="307"/>
      <c r="W18" s="307"/>
      <c r="X18" s="307"/>
      <c r="Y18" s="307"/>
      <c r="Z18" s="307"/>
    </row>
    <row r="19" spans="1:26" ht="15" customHeight="1" x14ac:dyDescent="0.2">
      <c r="A19" s="369"/>
      <c r="B19" s="416"/>
      <c r="C19" s="420"/>
      <c r="D19" s="420"/>
      <c r="E19" s="420"/>
      <c r="F19" s="420"/>
      <c r="G19" s="420"/>
      <c r="H19" s="167" t="s">
        <v>67</v>
      </c>
      <c r="I19" s="167"/>
      <c r="J19" s="354" t="s">
        <v>29</v>
      </c>
      <c r="K19" s="488"/>
      <c r="L19" s="372" t="s">
        <v>29</v>
      </c>
      <c r="M19" s="373"/>
      <c r="N19" s="380" t="s">
        <v>29</v>
      </c>
      <c r="O19" s="495"/>
      <c r="P19" s="419" t="s">
        <v>29</v>
      </c>
      <c r="Q19" s="474"/>
      <c r="R19" s="307"/>
      <c r="S19" s="307"/>
      <c r="T19" s="307"/>
      <c r="U19" s="307"/>
      <c r="V19" s="307"/>
      <c r="W19" s="307"/>
      <c r="X19" s="307"/>
      <c r="Y19" s="307"/>
      <c r="Z19" s="307"/>
    </row>
    <row r="20" spans="1:26" ht="15.75" customHeight="1" x14ac:dyDescent="0.2">
      <c r="A20" s="372" t="s">
        <v>79</v>
      </c>
      <c r="B20" s="373"/>
      <c r="C20" s="122" t="s">
        <v>430</v>
      </c>
      <c r="D20" s="122" t="s">
        <v>430</v>
      </c>
      <c r="E20" s="122" t="s">
        <v>429</v>
      </c>
      <c r="F20" s="122" t="s">
        <v>410</v>
      </c>
      <c r="G20" s="122" t="s">
        <v>29</v>
      </c>
      <c r="H20" s="157" t="s">
        <v>68</v>
      </c>
      <c r="I20" s="167"/>
      <c r="J20" s="354" t="s">
        <v>29</v>
      </c>
      <c r="K20" s="488"/>
      <c r="L20" s="372" t="s">
        <v>29</v>
      </c>
      <c r="M20" s="373"/>
      <c r="N20" s="380" t="s">
        <v>29</v>
      </c>
      <c r="O20" s="495"/>
      <c r="P20" s="419" t="s">
        <v>29</v>
      </c>
      <c r="Q20" s="474"/>
      <c r="R20" s="307"/>
      <c r="S20" s="307"/>
      <c r="T20" s="307"/>
      <c r="U20" s="307"/>
      <c r="V20" s="307"/>
      <c r="W20" s="307"/>
      <c r="X20" s="307"/>
      <c r="Y20" s="307"/>
      <c r="Z20" s="307"/>
    </row>
    <row r="21" spans="1:26" ht="15.75" customHeight="1" x14ac:dyDescent="0.2">
      <c r="A21" s="372" t="s">
        <v>46</v>
      </c>
      <c r="B21" s="373"/>
      <c r="C21" s="71" t="s">
        <v>354</v>
      </c>
      <c r="D21" s="71" t="s">
        <v>355</v>
      </c>
      <c r="E21" s="71" t="s">
        <v>356</v>
      </c>
      <c r="F21" s="71" t="s">
        <v>407</v>
      </c>
      <c r="G21" s="71" t="s">
        <v>29</v>
      </c>
      <c r="H21" s="176" t="s">
        <v>80</v>
      </c>
      <c r="I21" s="163">
        <v>41843</v>
      </c>
      <c r="J21" s="364">
        <f>I21-C16</f>
        <v>15</v>
      </c>
      <c r="K21" s="492"/>
      <c r="L21" s="364">
        <v>15</v>
      </c>
      <c r="M21" s="492"/>
      <c r="N21" s="364">
        <v>14</v>
      </c>
      <c r="O21" s="493"/>
      <c r="P21" s="413" t="s">
        <v>410</v>
      </c>
      <c r="Q21" s="494"/>
      <c r="R21" s="307"/>
      <c r="S21" s="307"/>
      <c r="T21" s="307"/>
      <c r="U21" s="307"/>
      <c r="V21" s="307"/>
      <c r="W21" s="307"/>
      <c r="X21" s="307"/>
      <c r="Y21" s="307"/>
      <c r="Z21" s="307"/>
    </row>
    <row r="22" spans="1:26" ht="15.75" customHeight="1" x14ac:dyDescent="0.2">
      <c r="A22" s="372" t="s">
        <v>81</v>
      </c>
      <c r="B22" s="373"/>
      <c r="C22" s="200">
        <v>41853</v>
      </c>
      <c r="D22" s="200">
        <v>41853</v>
      </c>
      <c r="E22" s="200">
        <v>41853</v>
      </c>
      <c r="F22" s="71" t="s">
        <v>410</v>
      </c>
      <c r="G22" s="174" t="s">
        <v>29</v>
      </c>
      <c r="H22" s="178" t="s">
        <v>82</v>
      </c>
      <c r="I22" s="163">
        <v>41843</v>
      </c>
      <c r="J22" s="357">
        <v>508</v>
      </c>
      <c r="K22" s="445"/>
      <c r="L22" s="376">
        <v>495</v>
      </c>
      <c r="M22" s="440"/>
      <c r="N22" s="377">
        <v>343</v>
      </c>
      <c r="O22" s="437"/>
      <c r="P22" s="414" t="s">
        <v>410</v>
      </c>
      <c r="Q22" s="436"/>
      <c r="R22" s="307"/>
      <c r="S22" s="307"/>
      <c r="T22" s="307"/>
      <c r="U22" s="307"/>
      <c r="V22" s="307"/>
      <c r="W22" s="307"/>
      <c r="X22" s="307"/>
      <c r="Y22" s="307"/>
      <c r="Z22" s="307"/>
    </row>
    <row r="23" spans="1:26" ht="15.75" customHeight="1" x14ac:dyDescent="0.2">
      <c r="A23" s="372" t="s">
        <v>12</v>
      </c>
      <c r="B23" s="373"/>
      <c r="C23" s="71">
        <v>168705288</v>
      </c>
      <c r="D23" s="71">
        <v>168705289</v>
      </c>
      <c r="E23" s="71">
        <v>220612774</v>
      </c>
      <c r="F23" s="71" t="s">
        <v>410</v>
      </c>
      <c r="G23" s="174" t="s">
        <v>29</v>
      </c>
      <c r="H23" s="178" t="s">
        <v>83</v>
      </c>
      <c r="I23" s="167"/>
      <c r="J23" s="354" t="s">
        <v>29</v>
      </c>
      <c r="K23" s="488"/>
      <c r="L23" s="372" t="s">
        <v>29</v>
      </c>
      <c r="M23" s="373"/>
      <c r="N23" s="380" t="s">
        <v>29</v>
      </c>
      <c r="O23" s="495"/>
      <c r="P23" s="419" t="s">
        <v>29</v>
      </c>
      <c r="Q23" s="474"/>
      <c r="R23" s="307"/>
      <c r="S23" s="307"/>
      <c r="T23" s="307"/>
      <c r="U23" s="307"/>
      <c r="V23" s="307"/>
      <c r="W23" s="307"/>
      <c r="X23" s="307"/>
      <c r="Y23" s="307"/>
      <c r="Z23" s="307"/>
    </row>
    <row r="24" spans="1:26" ht="15.75" customHeight="1" x14ac:dyDescent="0.2">
      <c r="A24" s="372" t="s">
        <v>84</v>
      </c>
      <c r="B24" s="373"/>
      <c r="C24" s="71" t="s">
        <v>410</v>
      </c>
      <c r="D24" s="71" t="s">
        <v>410</v>
      </c>
      <c r="E24" s="71" t="s">
        <v>410</v>
      </c>
      <c r="F24" s="71" t="s">
        <v>410</v>
      </c>
      <c r="G24" s="174" t="s">
        <v>29</v>
      </c>
      <c r="H24" s="178" t="s">
        <v>67</v>
      </c>
      <c r="I24" s="167"/>
      <c r="J24" s="354" t="s">
        <v>29</v>
      </c>
      <c r="K24" s="488"/>
      <c r="L24" s="372" t="s">
        <v>29</v>
      </c>
      <c r="M24" s="373"/>
      <c r="N24" s="380" t="s">
        <v>29</v>
      </c>
      <c r="O24" s="495"/>
      <c r="P24" s="419" t="s">
        <v>29</v>
      </c>
      <c r="Q24" s="474"/>
      <c r="R24" s="307"/>
      <c r="S24" s="307"/>
      <c r="T24" s="307"/>
      <c r="U24" s="307"/>
      <c r="V24" s="307"/>
      <c r="W24" s="307"/>
      <c r="X24" s="307"/>
      <c r="Y24" s="307"/>
      <c r="Z24" s="307"/>
    </row>
    <row r="25" spans="1:26" ht="15.75" customHeight="1" x14ac:dyDescent="0.2">
      <c r="A25" s="372" t="s">
        <v>11</v>
      </c>
      <c r="B25" s="373"/>
      <c r="C25" s="71" t="s">
        <v>398</v>
      </c>
      <c r="D25" s="71" t="s">
        <v>398</v>
      </c>
      <c r="E25" s="71" t="s">
        <v>447</v>
      </c>
      <c r="F25" s="71" t="s">
        <v>410</v>
      </c>
      <c r="G25" s="174" t="s">
        <v>29</v>
      </c>
      <c r="H25" s="178" t="s">
        <v>68</v>
      </c>
      <c r="I25" s="167"/>
      <c r="J25" s="354" t="s">
        <v>29</v>
      </c>
      <c r="K25" s="488"/>
      <c r="L25" s="372" t="s">
        <v>29</v>
      </c>
      <c r="M25" s="373"/>
      <c r="N25" s="380" t="s">
        <v>29</v>
      </c>
      <c r="O25" s="495"/>
      <c r="P25" s="419" t="s">
        <v>29</v>
      </c>
      <c r="Q25" s="474"/>
      <c r="R25" s="307"/>
      <c r="S25" s="307"/>
      <c r="T25" s="307"/>
      <c r="U25" s="307"/>
      <c r="V25" s="307"/>
      <c r="W25" s="307"/>
      <c r="X25" s="307"/>
      <c r="Y25" s="307"/>
      <c r="Z25" s="307"/>
    </row>
    <row r="26" spans="1:26" ht="15.75" customHeight="1" x14ac:dyDescent="0.2">
      <c r="A26" s="374" t="s">
        <v>85</v>
      </c>
      <c r="B26" s="375"/>
      <c r="C26" s="71" t="s">
        <v>410</v>
      </c>
      <c r="D26" s="71" t="s">
        <v>410</v>
      </c>
      <c r="E26" s="71" t="s">
        <v>410</v>
      </c>
      <c r="F26" s="177">
        <v>41841</v>
      </c>
      <c r="G26" s="174" t="s">
        <v>29</v>
      </c>
      <c r="H26" s="178" t="s">
        <v>86</v>
      </c>
      <c r="I26" s="179"/>
      <c r="J26" s="357" t="s">
        <v>29</v>
      </c>
      <c r="K26" s="445"/>
      <c r="L26" s="376" t="s">
        <v>29</v>
      </c>
      <c r="M26" s="440"/>
      <c r="N26" s="377" t="s">
        <v>29</v>
      </c>
      <c r="O26" s="437"/>
      <c r="P26" s="414" t="s">
        <v>29</v>
      </c>
      <c r="Q26" s="436"/>
      <c r="R26" s="307"/>
      <c r="S26" s="307"/>
      <c r="T26" s="307"/>
      <c r="U26" s="307"/>
      <c r="V26" s="307"/>
      <c r="W26" s="307"/>
      <c r="X26" s="307"/>
      <c r="Y26" s="307"/>
      <c r="Z26" s="307"/>
    </row>
    <row r="27" spans="1:26" ht="15.75" customHeight="1" x14ac:dyDescent="0.2">
      <c r="A27" s="378" t="s">
        <v>87</v>
      </c>
      <c r="B27" s="379"/>
      <c r="C27" s="71" t="s">
        <v>410</v>
      </c>
      <c r="D27" s="71" t="s">
        <v>410</v>
      </c>
      <c r="E27" s="71" t="s">
        <v>410</v>
      </c>
      <c r="F27" s="194">
        <f>F26-F16</f>
        <v>10</v>
      </c>
      <c r="G27" s="174" t="s">
        <v>29</v>
      </c>
      <c r="H27" s="178" t="s">
        <v>88</v>
      </c>
      <c r="I27" s="179"/>
      <c r="J27" s="357" t="s">
        <v>29</v>
      </c>
      <c r="K27" s="445"/>
      <c r="L27" s="376" t="s">
        <v>29</v>
      </c>
      <c r="M27" s="440"/>
      <c r="N27" s="377" t="s">
        <v>29</v>
      </c>
      <c r="O27" s="437"/>
      <c r="P27" s="414" t="s">
        <v>29</v>
      </c>
      <c r="Q27" s="436"/>
      <c r="R27" s="506"/>
      <c r="S27" s="506"/>
      <c r="T27" s="506"/>
      <c r="U27" s="506"/>
      <c r="V27" s="506"/>
      <c r="W27" s="506"/>
      <c r="X27" s="506"/>
      <c r="Y27" s="506"/>
      <c r="Z27" s="506"/>
    </row>
    <row r="28" spans="1:26" ht="15.75" customHeight="1" x14ac:dyDescent="0.2">
      <c r="A28" s="129"/>
      <c r="B28" s="180"/>
      <c r="C28" s="181"/>
      <c r="D28" s="181"/>
      <c r="E28" s="181"/>
      <c r="F28" s="181"/>
      <c r="G28" s="181"/>
      <c r="H28" s="176" t="s">
        <v>80</v>
      </c>
      <c r="I28" s="163">
        <v>41848</v>
      </c>
      <c r="J28" s="364">
        <f>I28-C16</f>
        <v>20</v>
      </c>
      <c r="K28" s="492"/>
      <c r="L28" s="364">
        <v>20</v>
      </c>
      <c r="M28" s="492"/>
      <c r="N28" s="364">
        <v>19</v>
      </c>
      <c r="O28" s="493"/>
      <c r="P28" s="413" t="s">
        <v>410</v>
      </c>
      <c r="Q28" s="494"/>
      <c r="R28" s="182"/>
      <c r="S28" s="181"/>
      <c r="T28" s="181"/>
      <c r="U28" s="181"/>
      <c r="V28" s="181"/>
      <c r="W28" s="181"/>
      <c r="X28" s="181"/>
      <c r="Y28" s="181"/>
      <c r="Z28" s="181"/>
    </row>
    <row r="29" spans="1:26" ht="18" customHeight="1" x14ac:dyDescent="0.2">
      <c r="H29" s="178" t="s">
        <v>82</v>
      </c>
      <c r="I29" s="163">
        <v>41848</v>
      </c>
      <c r="J29" s="357">
        <v>697</v>
      </c>
      <c r="K29" s="336"/>
      <c r="L29" s="356">
        <v>688</v>
      </c>
      <c r="M29" s="336"/>
      <c r="N29" s="366">
        <v>489</v>
      </c>
      <c r="O29" s="272"/>
      <c r="P29" s="367" t="s">
        <v>410</v>
      </c>
      <c r="Q29" s="261"/>
    </row>
    <row r="30" spans="1:26" ht="18" customHeight="1" x14ac:dyDescent="0.2">
      <c r="H30" s="178" t="s">
        <v>83</v>
      </c>
      <c r="I30" s="163">
        <v>41848</v>
      </c>
      <c r="J30" s="357" t="s">
        <v>369</v>
      </c>
      <c r="K30" s="336"/>
      <c r="L30" s="356" t="s">
        <v>369</v>
      </c>
      <c r="M30" s="336"/>
      <c r="N30" s="366" t="s">
        <v>369</v>
      </c>
      <c r="O30" s="272"/>
      <c r="P30" s="371" t="s">
        <v>29</v>
      </c>
      <c r="Q30" s="261"/>
    </row>
    <row r="31" spans="1:26" ht="18" customHeight="1" x14ac:dyDescent="0.2">
      <c r="H31" s="178" t="s">
        <v>67</v>
      </c>
      <c r="I31" s="167"/>
      <c r="J31" s="354" t="s">
        <v>29</v>
      </c>
      <c r="K31" s="336"/>
      <c r="L31" s="372" t="s">
        <v>29</v>
      </c>
      <c r="M31" s="336"/>
      <c r="N31" s="380" t="s">
        <v>29</v>
      </c>
      <c r="O31" s="272"/>
      <c r="P31" s="371" t="s">
        <v>29</v>
      </c>
      <c r="Q31" s="261"/>
    </row>
    <row r="32" spans="1:26" ht="18" customHeight="1" x14ac:dyDescent="0.2">
      <c r="H32" s="178" t="s">
        <v>68</v>
      </c>
      <c r="I32" s="167"/>
      <c r="J32" s="354" t="s">
        <v>29</v>
      </c>
      <c r="K32" s="336"/>
      <c r="L32" s="372" t="s">
        <v>29</v>
      </c>
      <c r="M32" s="336"/>
      <c r="N32" s="380" t="s">
        <v>29</v>
      </c>
      <c r="O32" s="272"/>
      <c r="P32" s="371" t="s">
        <v>29</v>
      </c>
      <c r="Q32" s="261"/>
    </row>
    <row r="33" spans="8:17" ht="18" customHeight="1" x14ac:dyDescent="0.2">
      <c r="H33" s="178" t="s">
        <v>86</v>
      </c>
      <c r="I33" s="167"/>
      <c r="J33" s="354" t="s">
        <v>29</v>
      </c>
      <c r="K33" s="336"/>
      <c r="L33" s="372" t="s">
        <v>29</v>
      </c>
      <c r="M33" s="336"/>
      <c r="N33" s="380" t="s">
        <v>29</v>
      </c>
      <c r="O33" s="272"/>
      <c r="P33" s="371" t="s">
        <v>29</v>
      </c>
      <c r="Q33" s="261"/>
    </row>
    <row r="34" spans="8:17" ht="18" customHeight="1" x14ac:dyDescent="0.2">
      <c r="H34" s="178" t="s">
        <v>88</v>
      </c>
      <c r="I34" s="167"/>
      <c r="J34" s="354" t="s">
        <v>29</v>
      </c>
      <c r="K34" s="336"/>
      <c r="L34" s="372" t="s">
        <v>29</v>
      </c>
      <c r="M34" s="336"/>
      <c r="N34" s="380" t="s">
        <v>29</v>
      </c>
      <c r="O34" s="272"/>
      <c r="P34" s="371" t="s">
        <v>29</v>
      </c>
      <c r="Q34" s="261"/>
    </row>
    <row r="35" spans="8:17" ht="18" customHeight="1" x14ac:dyDescent="0.2">
      <c r="H35" s="176" t="s">
        <v>80</v>
      </c>
      <c r="I35" s="163">
        <v>41853</v>
      </c>
      <c r="J35" s="364">
        <f>I35-C16</f>
        <v>25</v>
      </c>
      <c r="K35" s="336"/>
      <c r="L35" s="364">
        <v>25</v>
      </c>
      <c r="M35" s="336"/>
      <c r="N35" s="364">
        <v>24</v>
      </c>
      <c r="O35" s="272"/>
      <c r="P35" s="365" t="s">
        <v>410</v>
      </c>
      <c r="Q35" s="261"/>
    </row>
    <row r="36" spans="8:17" ht="18" customHeight="1" x14ac:dyDescent="0.2">
      <c r="H36" s="178" t="s">
        <v>82</v>
      </c>
      <c r="I36" s="163">
        <v>41853</v>
      </c>
      <c r="J36" s="357">
        <v>743</v>
      </c>
      <c r="K36" s="336"/>
      <c r="L36" s="356">
        <v>736</v>
      </c>
      <c r="M36" s="336"/>
      <c r="N36" s="366">
        <v>496</v>
      </c>
      <c r="O36" s="272"/>
      <c r="P36" s="367" t="s">
        <v>410</v>
      </c>
      <c r="Q36" s="261"/>
    </row>
    <row r="37" spans="8:17" ht="18" customHeight="1" x14ac:dyDescent="0.2">
      <c r="H37" s="178" t="s">
        <v>83</v>
      </c>
      <c r="I37" s="163">
        <v>41853</v>
      </c>
      <c r="J37" s="357" t="s">
        <v>369</v>
      </c>
      <c r="K37" s="336"/>
      <c r="L37" s="356" t="s">
        <v>369</v>
      </c>
      <c r="M37" s="336"/>
      <c r="N37" s="366" t="s">
        <v>369</v>
      </c>
      <c r="O37" s="272"/>
      <c r="P37" s="371" t="s">
        <v>29</v>
      </c>
      <c r="Q37" s="261"/>
    </row>
    <row r="38" spans="8:17" ht="18" customHeight="1" x14ac:dyDescent="0.2">
      <c r="H38" s="178" t="s">
        <v>67</v>
      </c>
      <c r="I38" s="167"/>
      <c r="J38" s="354" t="s">
        <v>29</v>
      </c>
      <c r="K38" s="336"/>
      <c r="L38" s="372" t="s">
        <v>29</v>
      </c>
      <c r="M38" s="336"/>
      <c r="N38" s="380" t="s">
        <v>29</v>
      </c>
      <c r="O38" s="272"/>
      <c r="P38" s="371" t="s">
        <v>29</v>
      </c>
      <c r="Q38" s="261"/>
    </row>
    <row r="39" spans="8:17" ht="18" customHeight="1" x14ac:dyDescent="0.2">
      <c r="H39" s="178" t="s">
        <v>68</v>
      </c>
      <c r="I39" s="167"/>
      <c r="J39" s="354" t="s">
        <v>29</v>
      </c>
      <c r="K39" s="336"/>
      <c r="L39" s="372" t="s">
        <v>29</v>
      </c>
      <c r="M39" s="336"/>
      <c r="N39" s="380" t="s">
        <v>29</v>
      </c>
      <c r="O39" s="272"/>
      <c r="P39" s="371" t="s">
        <v>29</v>
      </c>
      <c r="Q39" s="261"/>
    </row>
    <row r="40" spans="8:17" ht="18" customHeight="1" x14ac:dyDescent="0.2">
      <c r="H40" s="178" t="s">
        <v>86</v>
      </c>
      <c r="I40" s="167"/>
      <c r="J40" s="354" t="s">
        <v>29</v>
      </c>
      <c r="K40" s="336"/>
      <c r="L40" s="372" t="s">
        <v>29</v>
      </c>
      <c r="M40" s="336"/>
      <c r="N40" s="380" t="s">
        <v>29</v>
      </c>
      <c r="O40" s="272"/>
      <c r="P40" s="371" t="s">
        <v>29</v>
      </c>
      <c r="Q40" s="261"/>
    </row>
    <row r="41" spans="8:17" ht="18" customHeight="1" x14ac:dyDescent="0.2">
      <c r="H41" s="178" t="s">
        <v>88</v>
      </c>
      <c r="I41" s="167"/>
      <c r="J41" s="354" t="s">
        <v>29</v>
      </c>
      <c r="K41" s="336"/>
      <c r="L41" s="372" t="s">
        <v>29</v>
      </c>
      <c r="M41" s="336"/>
      <c r="N41" s="380" t="s">
        <v>29</v>
      </c>
      <c r="O41" s="272"/>
      <c r="P41" s="371" t="s">
        <v>29</v>
      </c>
      <c r="Q41" s="261"/>
    </row>
    <row r="42" spans="8:17" ht="18" customHeight="1" x14ac:dyDescent="0.2">
      <c r="H42" s="176" t="s">
        <v>80</v>
      </c>
      <c r="I42" s="163">
        <v>41859</v>
      </c>
      <c r="J42" s="364">
        <f>I42-C16</f>
        <v>31</v>
      </c>
      <c r="K42" s="336"/>
      <c r="L42" s="364">
        <v>31</v>
      </c>
      <c r="M42" s="336"/>
      <c r="N42" s="364">
        <v>30</v>
      </c>
      <c r="O42" s="272"/>
      <c r="P42" s="365" t="s">
        <v>410</v>
      </c>
      <c r="Q42" s="261"/>
    </row>
    <row r="43" spans="8:17" ht="18" customHeight="1" x14ac:dyDescent="0.2">
      <c r="H43" s="178" t="s">
        <v>82</v>
      </c>
      <c r="I43" s="163">
        <v>41859</v>
      </c>
      <c r="J43" s="357">
        <v>670</v>
      </c>
      <c r="K43" s="336"/>
      <c r="L43" s="356">
        <v>630</v>
      </c>
      <c r="M43" s="336"/>
      <c r="N43" s="366">
        <v>467</v>
      </c>
      <c r="O43" s="272"/>
      <c r="P43" s="367" t="s">
        <v>410</v>
      </c>
      <c r="Q43" s="261"/>
    </row>
    <row r="44" spans="8:17" ht="18" customHeight="1" x14ac:dyDescent="0.2">
      <c r="H44" s="178" t="s">
        <v>83</v>
      </c>
      <c r="I44" s="167"/>
      <c r="J44" s="354" t="s">
        <v>29</v>
      </c>
      <c r="K44" s="336"/>
      <c r="L44" s="372" t="s">
        <v>29</v>
      </c>
      <c r="M44" s="336"/>
      <c r="N44" s="380" t="s">
        <v>29</v>
      </c>
      <c r="O44" s="272"/>
      <c r="P44" s="371" t="s">
        <v>29</v>
      </c>
      <c r="Q44" s="261"/>
    </row>
    <row r="45" spans="8:17" ht="18" customHeight="1" x14ac:dyDescent="0.2">
      <c r="H45" s="178" t="s">
        <v>67</v>
      </c>
      <c r="I45" s="167"/>
      <c r="J45" s="354" t="s">
        <v>29</v>
      </c>
      <c r="K45" s="336"/>
      <c r="L45" s="372" t="s">
        <v>29</v>
      </c>
      <c r="M45" s="336"/>
      <c r="N45" s="380" t="s">
        <v>29</v>
      </c>
      <c r="O45" s="272"/>
      <c r="P45" s="371" t="s">
        <v>29</v>
      </c>
      <c r="Q45" s="261"/>
    </row>
    <row r="46" spans="8:17" ht="18" customHeight="1" x14ac:dyDescent="0.2">
      <c r="H46" s="178" t="s">
        <v>68</v>
      </c>
      <c r="I46" s="167"/>
      <c r="J46" s="354" t="s">
        <v>29</v>
      </c>
      <c r="K46" s="336"/>
      <c r="L46" s="372" t="s">
        <v>29</v>
      </c>
      <c r="M46" s="336"/>
      <c r="N46" s="380" t="s">
        <v>29</v>
      </c>
      <c r="O46" s="272"/>
      <c r="P46" s="371" t="s">
        <v>29</v>
      </c>
      <c r="Q46" s="261"/>
    </row>
    <row r="47" spans="8:17" ht="18" customHeight="1" x14ac:dyDescent="0.2">
      <c r="H47" s="178" t="s">
        <v>86</v>
      </c>
      <c r="I47" s="167"/>
      <c r="J47" s="354" t="s">
        <v>29</v>
      </c>
      <c r="K47" s="336"/>
      <c r="L47" s="372" t="s">
        <v>29</v>
      </c>
      <c r="M47" s="336"/>
      <c r="N47" s="380" t="s">
        <v>29</v>
      </c>
      <c r="O47" s="272"/>
      <c r="P47" s="371" t="s">
        <v>29</v>
      </c>
      <c r="Q47" s="261"/>
    </row>
    <row r="48" spans="8:17" ht="18" customHeight="1" x14ac:dyDescent="0.2">
      <c r="H48" s="178" t="s">
        <v>88</v>
      </c>
      <c r="I48" s="167"/>
      <c r="J48" s="354" t="s">
        <v>29</v>
      </c>
      <c r="K48" s="336"/>
      <c r="L48" s="372" t="s">
        <v>29</v>
      </c>
      <c r="M48" s="336"/>
      <c r="N48" s="380" t="s">
        <v>29</v>
      </c>
      <c r="O48" s="272"/>
      <c r="P48" s="371" t="s">
        <v>29</v>
      </c>
      <c r="Q48" s="261"/>
    </row>
  </sheetData>
  <mergeCells count="212">
    <mergeCell ref="J40:K40"/>
    <mergeCell ref="L40:M40"/>
    <mergeCell ref="N40:O40"/>
    <mergeCell ref="P40:Q40"/>
    <mergeCell ref="J41:K41"/>
    <mergeCell ref="L41:M41"/>
    <mergeCell ref="N41:O41"/>
    <mergeCell ref="P41:Q41"/>
    <mergeCell ref="J42:K42"/>
    <mergeCell ref="L42:M42"/>
    <mergeCell ref="N42:O42"/>
    <mergeCell ref="P42:Q42"/>
    <mergeCell ref="J48:K48"/>
    <mergeCell ref="L48:M48"/>
    <mergeCell ref="N48:O48"/>
    <mergeCell ref="P48:Q48"/>
    <mergeCell ref="J43:K43"/>
    <mergeCell ref="L43:M43"/>
    <mergeCell ref="N43:O43"/>
    <mergeCell ref="P43:Q43"/>
    <mergeCell ref="J44:K44"/>
    <mergeCell ref="L44:M44"/>
    <mergeCell ref="N44:O44"/>
    <mergeCell ref="P44:Q44"/>
    <mergeCell ref="J45:K45"/>
    <mergeCell ref="L45:M45"/>
    <mergeCell ref="N45:O45"/>
    <mergeCell ref="P45:Q45"/>
    <mergeCell ref="J46:K46"/>
    <mergeCell ref="L46:M46"/>
    <mergeCell ref="N46:O46"/>
    <mergeCell ref="P46:Q46"/>
    <mergeCell ref="J47:K47"/>
    <mergeCell ref="L47:M47"/>
    <mergeCell ref="N47:O47"/>
    <mergeCell ref="P47:Q47"/>
    <mergeCell ref="N37:O37"/>
    <mergeCell ref="P37:Q37"/>
    <mergeCell ref="J38:K38"/>
    <mergeCell ref="L38:M38"/>
    <mergeCell ref="N38:O38"/>
    <mergeCell ref="P38:Q38"/>
    <mergeCell ref="J39:K39"/>
    <mergeCell ref="L39:M39"/>
    <mergeCell ref="N39:O39"/>
    <mergeCell ref="P39:Q39"/>
    <mergeCell ref="J37:K37"/>
    <mergeCell ref="L37:M37"/>
    <mergeCell ref="J34:K34"/>
    <mergeCell ref="L34:M34"/>
    <mergeCell ref="N34:O34"/>
    <mergeCell ref="P34:Q34"/>
    <mergeCell ref="J35:K35"/>
    <mergeCell ref="L35:M35"/>
    <mergeCell ref="N35:O35"/>
    <mergeCell ref="P35:Q35"/>
    <mergeCell ref="J36:K36"/>
    <mergeCell ref="L36:M36"/>
    <mergeCell ref="N36:O36"/>
    <mergeCell ref="P36:Q36"/>
    <mergeCell ref="J31:K31"/>
    <mergeCell ref="L31:M31"/>
    <mergeCell ref="N31:O31"/>
    <mergeCell ref="P31:Q31"/>
    <mergeCell ref="J32:K32"/>
    <mergeCell ref="L32:M32"/>
    <mergeCell ref="N32:O32"/>
    <mergeCell ref="P32:Q32"/>
    <mergeCell ref="J33:K33"/>
    <mergeCell ref="L33:M33"/>
    <mergeCell ref="N33:O33"/>
    <mergeCell ref="P33:Q33"/>
    <mergeCell ref="J28:K28"/>
    <mergeCell ref="L28:M28"/>
    <mergeCell ref="N28:O28"/>
    <mergeCell ref="P28:Q28"/>
    <mergeCell ref="J29:K29"/>
    <mergeCell ref="L29:M29"/>
    <mergeCell ref="N29:O29"/>
    <mergeCell ref="P29:Q29"/>
    <mergeCell ref="J30:K30"/>
    <mergeCell ref="L30:M30"/>
    <mergeCell ref="N30:O30"/>
    <mergeCell ref="P30:Q30"/>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horizontalDpi="4294967295" verticalDpi="4294967295" r:id="rId1"/>
  <legacyDrawing r:id="rId2"/>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48"/>
  <sheetViews>
    <sheetView topLeftCell="A9"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58" t="s">
        <v>0</v>
      </c>
      <c r="B1" s="59">
        <v>2014</v>
      </c>
      <c r="C1" s="58" t="s">
        <v>1</v>
      </c>
      <c r="D1" s="59"/>
      <c r="E1" s="58" t="s">
        <v>2</v>
      </c>
      <c r="F1" s="55">
        <v>78</v>
      </c>
      <c r="G1" s="56" t="s">
        <v>3</v>
      </c>
      <c r="H1" s="55" t="s">
        <v>4</v>
      </c>
      <c r="I1" s="260" t="s">
        <v>5</v>
      </c>
      <c r="J1" s="261"/>
      <c r="K1" s="330" t="s">
        <v>332</v>
      </c>
      <c r="L1" s="382"/>
      <c r="M1" s="382"/>
      <c r="N1" s="382"/>
      <c r="O1" s="383"/>
      <c r="P1" s="263" t="s">
        <v>6</v>
      </c>
      <c r="Q1" s="261"/>
      <c r="R1" s="264"/>
      <c r="S1" s="265"/>
      <c r="T1" s="16"/>
      <c r="U1" s="16"/>
      <c r="V1" s="16"/>
      <c r="W1" s="16"/>
      <c r="X1" s="16"/>
      <c r="Y1" s="16"/>
      <c r="Z1" s="34"/>
    </row>
    <row r="2" spans="1:30" ht="27.75" customHeight="1" x14ac:dyDescent="0.2">
      <c r="A2" s="57" t="s">
        <v>8</v>
      </c>
      <c r="B2" s="54" t="s">
        <v>9</v>
      </c>
      <c r="C2" s="54" t="s">
        <v>10</v>
      </c>
      <c r="D2" s="54" t="s">
        <v>11</v>
      </c>
      <c r="E2" s="54" t="s">
        <v>12</v>
      </c>
      <c r="F2" s="54" t="s">
        <v>13</v>
      </c>
      <c r="G2" s="54" t="s">
        <v>14</v>
      </c>
      <c r="H2" s="54" t="s">
        <v>15</v>
      </c>
      <c r="I2" s="13" t="s">
        <v>16</v>
      </c>
      <c r="J2" s="54" t="s">
        <v>17</v>
      </c>
      <c r="K2" s="54" t="s">
        <v>18</v>
      </c>
      <c r="L2" s="266"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99" t="s">
        <v>90</v>
      </c>
      <c r="AD2" s="31" t="s">
        <v>95</v>
      </c>
    </row>
    <row r="3" spans="1:30" ht="15.75" customHeight="1" x14ac:dyDescent="0.2">
      <c r="A3" s="18" t="s">
        <v>29</v>
      </c>
      <c r="B3" s="64">
        <v>41801</v>
      </c>
      <c r="C3" s="28" t="s">
        <v>29</v>
      </c>
      <c r="D3" s="18" t="s">
        <v>29</v>
      </c>
      <c r="E3" s="28" t="s">
        <v>235</v>
      </c>
      <c r="F3" s="28" t="s">
        <v>235</v>
      </c>
      <c r="G3" s="28" t="s">
        <v>227</v>
      </c>
      <c r="H3" s="28" t="s">
        <v>228</v>
      </c>
      <c r="I3" s="18" t="s">
        <v>29</v>
      </c>
      <c r="J3" s="18" t="s">
        <v>29</v>
      </c>
      <c r="K3" s="18" t="s">
        <v>29</v>
      </c>
      <c r="L3" s="41" t="s">
        <v>29</v>
      </c>
      <c r="M3" s="41" t="s">
        <v>29</v>
      </c>
      <c r="N3" s="18" t="s">
        <v>29</v>
      </c>
      <c r="O3" s="18" t="s">
        <v>29</v>
      </c>
      <c r="P3" s="20" t="s">
        <v>29</v>
      </c>
      <c r="Q3" s="20" t="s">
        <v>29</v>
      </c>
      <c r="R3" s="20" t="s">
        <v>29</v>
      </c>
      <c r="S3" s="20" t="s">
        <v>29</v>
      </c>
      <c r="T3" s="20" t="s">
        <v>29</v>
      </c>
      <c r="U3" s="18" t="s">
        <v>29</v>
      </c>
      <c r="V3" s="18" t="s">
        <v>29</v>
      </c>
      <c r="W3" s="18" t="s">
        <v>29</v>
      </c>
      <c r="X3" s="20" t="s">
        <v>29</v>
      </c>
      <c r="Y3" s="33" t="s">
        <v>29</v>
      </c>
      <c r="Z3" s="33" t="s">
        <v>29</v>
      </c>
      <c r="AA3" s="96"/>
      <c r="AB3" s="96"/>
      <c r="AC3" s="96"/>
      <c r="AD3" s="69" t="s">
        <v>205</v>
      </c>
    </row>
    <row r="4" spans="1:30"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5" t="s">
        <v>26</v>
      </c>
      <c r="V4" s="27" t="s">
        <v>92</v>
      </c>
      <c r="W4" s="27" t="s">
        <v>93</v>
      </c>
      <c r="X4" s="5" t="s">
        <v>27</v>
      </c>
      <c r="Y4" s="271" t="s">
        <v>28</v>
      </c>
      <c r="Z4" s="272"/>
      <c r="AA4" s="31" t="s">
        <v>89</v>
      </c>
      <c r="AB4" s="31" t="s">
        <v>91</v>
      </c>
      <c r="AC4" s="99" t="s">
        <v>90</v>
      </c>
      <c r="AD4" s="31" t="s">
        <v>95</v>
      </c>
    </row>
    <row r="5" spans="1:30" ht="15.75" customHeight="1" x14ac:dyDescent="0.2">
      <c r="A5" s="18" t="s">
        <v>29</v>
      </c>
      <c r="B5" s="64">
        <v>41801</v>
      </c>
      <c r="C5" s="18" t="s">
        <v>29</v>
      </c>
      <c r="D5" s="18" t="s">
        <v>29</v>
      </c>
      <c r="E5" s="28" t="s">
        <v>235</v>
      </c>
      <c r="F5" s="28" t="s">
        <v>235</v>
      </c>
      <c r="G5" s="28" t="s">
        <v>227</v>
      </c>
      <c r="H5" s="28" t="s">
        <v>228</v>
      </c>
      <c r="I5" s="37" t="s">
        <v>29</v>
      </c>
      <c r="J5" s="37" t="s">
        <v>29</v>
      </c>
      <c r="K5" s="37" t="s">
        <v>29</v>
      </c>
      <c r="L5" s="42" t="s">
        <v>29</v>
      </c>
      <c r="M5" s="42" t="s">
        <v>29</v>
      </c>
      <c r="N5" s="37" t="s">
        <v>29</v>
      </c>
      <c r="O5" s="37" t="s">
        <v>29</v>
      </c>
      <c r="P5" s="38" t="s">
        <v>29</v>
      </c>
      <c r="Q5" s="38" t="s">
        <v>29</v>
      </c>
      <c r="R5" s="20" t="s">
        <v>29</v>
      </c>
      <c r="S5" s="20" t="s">
        <v>29</v>
      </c>
      <c r="T5" s="20" t="s">
        <v>29</v>
      </c>
      <c r="U5" s="18" t="s">
        <v>29</v>
      </c>
      <c r="V5" s="18" t="s">
        <v>29</v>
      </c>
      <c r="W5" s="18" t="s">
        <v>29</v>
      </c>
      <c r="X5" s="20" t="s">
        <v>29</v>
      </c>
      <c r="Y5" s="20" t="s">
        <v>29</v>
      </c>
      <c r="Z5" s="20" t="s">
        <v>29</v>
      </c>
      <c r="AA5" s="96"/>
      <c r="AB5" s="96"/>
      <c r="AC5" s="96"/>
      <c r="AD5" s="69" t="s">
        <v>205</v>
      </c>
    </row>
    <row r="6" spans="1:30" ht="16.5" customHeight="1" x14ac:dyDescent="0.2">
      <c r="A6" s="12" t="s">
        <v>33</v>
      </c>
      <c r="B6" s="5" t="s">
        <v>9</v>
      </c>
      <c r="C6" s="60" t="s">
        <v>34</v>
      </c>
      <c r="D6" s="60" t="s">
        <v>35</v>
      </c>
      <c r="E6" s="60" t="s">
        <v>36</v>
      </c>
      <c r="F6" s="60" t="s">
        <v>37</v>
      </c>
      <c r="G6" s="60" t="s">
        <v>38</v>
      </c>
      <c r="H6" s="36" t="s">
        <v>39</v>
      </c>
      <c r="I6" s="62" t="s">
        <v>9</v>
      </c>
      <c r="J6" s="280" t="s">
        <v>40</v>
      </c>
      <c r="K6" s="280"/>
      <c r="L6" s="280" t="s">
        <v>41</v>
      </c>
      <c r="M6" s="280"/>
      <c r="N6" s="280" t="s">
        <v>42</v>
      </c>
      <c r="O6" s="280"/>
      <c r="P6" s="280" t="s">
        <v>43</v>
      </c>
      <c r="Q6" s="280"/>
      <c r="R6" s="35"/>
      <c r="S6" s="273" t="s">
        <v>44</v>
      </c>
      <c r="T6" s="274"/>
      <c r="U6" s="274"/>
      <c r="V6" s="274"/>
      <c r="W6" s="275"/>
      <c r="X6" s="274"/>
      <c r="Y6" s="274"/>
      <c r="Z6" s="268"/>
    </row>
    <row r="7" spans="1:30" ht="15.75" customHeight="1" x14ac:dyDescent="0.2">
      <c r="A7" s="1" t="s">
        <v>45</v>
      </c>
      <c r="B7" s="20"/>
      <c r="C7" s="93" t="s">
        <v>260</v>
      </c>
      <c r="D7" s="93" t="s">
        <v>260</v>
      </c>
      <c r="E7" s="93" t="s">
        <v>260</v>
      </c>
      <c r="F7" s="93" t="s">
        <v>260</v>
      </c>
      <c r="G7" s="15" t="e">
        <f>AVERAGE(C7:F7)</f>
        <v>#DIV/0!</v>
      </c>
      <c r="H7" s="6" t="s">
        <v>46</v>
      </c>
      <c r="I7" s="39"/>
      <c r="J7" s="276" t="s">
        <v>360</v>
      </c>
      <c r="K7" s="267"/>
      <c r="L7" s="346" t="s">
        <v>361</v>
      </c>
      <c r="M7" s="267"/>
      <c r="N7" s="346" t="s">
        <v>364</v>
      </c>
      <c r="O7" s="267"/>
      <c r="P7" s="347" t="s">
        <v>365</v>
      </c>
      <c r="Q7" s="267"/>
      <c r="R7" s="23" t="s">
        <v>47</v>
      </c>
      <c r="S7" s="24"/>
      <c r="T7" s="43">
        <v>4</v>
      </c>
      <c r="U7" s="279" t="s">
        <v>48</v>
      </c>
      <c r="V7" s="279"/>
      <c r="W7" s="279"/>
      <c r="X7" s="281" t="s">
        <v>29</v>
      </c>
      <c r="Y7" s="282"/>
      <c r="Z7" s="283"/>
    </row>
    <row r="8" spans="1:30" ht="15.75" customHeight="1" x14ac:dyDescent="0.2">
      <c r="A8" s="3" t="s">
        <v>49</v>
      </c>
      <c r="B8" s="20" t="s">
        <v>29</v>
      </c>
      <c r="C8" s="20" t="s">
        <v>29</v>
      </c>
      <c r="D8" s="20" t="s">
        <v>29</v>
      </c>
      <c r="E8" s="20" t="s">
        <v>29</v>
      </c>
      <c r="F8" s="20" t="s">
        <v>29</v>
      </c>
      <c r="G8" s="60"/>
      <c r="H8" s="6" t="s">
        <v>50</v>
      </c>
      <c r="I8" s="17">
        <v>41833</v>
      </c>
      <c r="J8" s="507">
        <f>I8-C16</f>
        <v>4</v>
      </c>
      <c r="K8" s="293"/>
      <c r="L8" s="507">
        <v>3</v>
      </c>
      <c r="M8" s="293"/>
      <c r="N8" s="507">
        <v>3</v>
      </c>
      <c r="O8" s="293"/>
      <c r="P8" s="507">
        <v>3</v>
      </c>
      <c r="Q8" s="293"/>
      <c r="R8" s="22" t="s">
        <v>51</v>
      </c>
      <c r="S8" s="11"/>
      <c r="T8" s="43">
        <v>0</v>
      </c>
      <c r="U8" s="310" t="s">
        <v>52</v>
      </c>
      <c r="V8" s="310"/>
      <c r="W8" s="310"/>
      <c r="X8" s="298" t="s">
        <v>29</v>
      </c>
      <c r="Y8" s="299"/>
      <c r="Z8" s="300"/>
    </row>
    <row r="9" spans="1:30" ht="15.75" customHeight="1" x14ac:dyDescent="0.2">
      <c r="A9" s="3" t="s">
        <v>49</v>
      </c>
      <c r="B9" s="20" t="s">
        <v>29</v>
      </c>
      <c r="C9" s="20" t="s">
        <v>29</v>
      </c>
      <c r="D9" s="20" t="s">
        <v>29</v>
      </c>
      <c r="E9" s="20" t="s">
        <v>29</v>
      </c>
      <c r="F9" s="20" t="s">
        <v>29</v>
      </c>
      <c r="G9" s="60"/>
      <c r="H9" s="6" t="s">
        <v>53</v>
      </c>
      <c r="I9" s="108">
        <v>41833</v>
      </c>
      <c r="J9" s="502">
        <v>60</v>
      </c>
      <c r="K9" s="502"/>
      <c r="L9" s="502">
        <v>59</v>
      </c>
      <c r="M9" s="502"/>
      <c r="N9" s="502">
        <v>38</v>
      </c>
      <c r="O9" s="502"/>
      <c r="P9" s="502">
        <v>54</v>
      </c>
      <c r="Q9" s="502"/>
      <c r="R9" s="110" t="s">
        <v>54</v>
      </c>
      <c r="S9" s="11"/>
      <c r="T9" s="43">
        <v>4</v>
      </c>
      <c r="U9" s="310" t="s">
        <v>55</v>
      </c>
      <c r="V9" s="310"/>
      <c r="W9" s="310"/>
      <c r="X9" s="298" t="s">
        <v>29</v>
      </c>
      <c r="Y9" s="299"/>
      <c r="Z9" s="300"/>
    </row>
    <row r="10" spans="1:30" ht="15" customHeight="1" x14ac:dyDescent="0.2">
      <c r="A10" s="3" t="s">
        <v>49</v>
      </c>
      <c r="B10" s="20" t="s">
        <v>29</v>
      </c>
      <c r="C10" s="20" t="s">
        <v>29</v>
      </c>
      <c r="D10" s="20" t="s">
        <v>29</v>
      </c>
      <c r="E10" s="20" t="s">
        <v>29</v>
      </c>
      <c r="F10" s="20" t="s">
        <v>29</v>
      </c>
      <c r="G10" s="60"/>
      <c r="H10" s="6" t="s">
        <v>56</v>
      </c>
      <c r="I10" s="10"/>
      <c r="J10" s="508" t="s">
        <v>29</v>
      </c>
      <c r="K10" s="267"/>
      <c r="L10" s="509" t="s">
        <v>29</v>
      </c>
      <c r="M10" s="267"/>
      <c r="N10" s="509" t="s">
        <v>29</v>
      </c>
      <c r="O10" s="267"/>
      <c r="P10" s="510" t="s">
        <v>29</v>
      </c>
      <c r="Q10" s="267"/>
      <c r="R10" s="22" t="s">
        <v>57</v>
      </c>
      <c r="S10" s="11"/>
      <c r="T10" s="43">
        <v>2</v>
      </c>
      <c r="U10" s="310" t="s">
        <v>58</v>
      </c>
      <c r="V10" s="310"/>
      <c r="W10" s="310"/>
      <c r="X10" s="298" t="s">
        <v>29</v>
      </c>
      <c r="Y10" s="299"/>
      <c r="Z10" s="300"/>
    </row>
    <row r="11" spans="1:30" ht="15" customHeight="1" x14ac:dyDescent="0.2">
      <c r="A11" s="3" t="s">
        <v>49</v>
      </c>
      <c r="B11" s="20" t="s">
        <v>29</v>
      </c>
      <c r="C11" s="20" t="s">
        <v>29</v>
      </c>
      <c r="D11" s="20" t="s">
        <v>29</v>
      </c>
      <c r="E11" s="20" t="s">
        <v>29</v>
      </c>
      <c r="F11" s="20" t="s">
        <v>29</v>
      </c>
      <c r="G11" s="60"/>
      <c r="H11" s="6" t="s">
        <v>59</v>
      </c>
      <c r="I11" s="17">
        <v>41836</v>
      </c>
      <c r="J11" s="287">
        <v>8</v>
      </c>
      <c r="K11" s="268"/>
      <c r="L11" s="287">
        <v>7</v>
      </c>
      <c r="M11" s="268"/>
      <c r="N11" s="287">
        <v>7</v>
      </c>
      <c r="O11" s="268"/>
      <c r="P11" s="288">
        <v>7</v>
      </c>
      <c r="Q11" s="268"/>
      <c r="R11" s="22" t="s">
        <v>60</v>
      </c>
      <c r="S11" s="11"/>
      <c r="T11" s="43">
        <v>1</v>
      </c>
      <c r="U11" s="310" t="s">
        <v>61</v>
      </c>
      <c r="V11" s="310"/>
      <c r="W11" s="310"/>
      <c r="X11" s="298" t="s">
        <v>29</v>
      </c>
      <c r="Y11" s="299"/>
      <c r="Z11" s="300"/>
    </row>
    <row r="12" spans="1:30" ht="15.75" customHeight="1" x14ac:dyDescent="0.2">
      <c r="A12" s="3" t="s">
        <v>49</v>
      </c>
      <c r="B12" s="20" t="s">
        <v>29</v>
      </c>
      <c r="C12" s="20" t="s">
        <v>29</v>
      </c>
      <c r="D12" s="20" t="s">
        <v>29</v>
      </c>
      <c r="E12" s="20" t="s">
        <v>29</v>
      </c>
      <c r="F12" s="20" t="s">
        <v>29</v>
      </c>
      <c r="G12" s="60"/>
      <c r="H12" s="6" t="s">
        <v>62</v>
      </c>
      <c r="I12" s="102">
        <v>41836</v>
      </c>
      <c r="J12" s="289">
        <v>116</v>
      </c>
      <c r="K12" s="268"/>
      <c r="L12" s="290">
        <v>118</v>
      </c>
      <c r="M12" s="268"/>
      <c r="N12" s="290">
        <v>79</v>
      </c>
      <c r="O12" s="268"/>
      <c r="P12" s="291">
        <v>109</v>
      </c>
      <c r="Q12" s="268"/>
      <c r="R12" s="22" t="s">
        <v>63</v>
      </c>
      <c r="S12" s="11"/>
      <c r="T12" s="45">
        <v>3</v>
      </c>
      <c r="U12" s="311" t="s">
        <v>64</v>
      </c>
      <c r="V12" s="311"/>
      <c r="W12" s="311"/>
      <c r="X12" s="301" t="s">
        <v>29</v>
      </c>
      <c r="Y12" s="302"/>
      <c r="Z12" s="303"/>
    </row>
    <row r="13" spans="1:30" ht="15.75" customHeight="1" x14ac:dyDescent="0.2">
      <c r="A13" s="3" t="s">
        <v>49</v>
      </c>
      <c r="B13" s="20" t="s">
        <v>29</v>
      </c>
      <c r="C13" s="20" t="s">
        <v>29</v>
      </c>
      <c r="D13" s="20" t="s">
        <v>29</v>
      </c>
      <c r="E13" s="20" t="s">
        <v>29</v>
      </c>
      <c r="F13" s="20" t="s">
        <v>29</v>
      </c>
      <c r="G13" s="60"/>
      <c r="H13" s="6" t="s">
        <v>65</v>
      </c>
      <c r="I13" s="10"/>
      <c r="J13" s="284" t="s">
        <v>29</v>
      </c>
      <c r="K13" s="268"/>
      <c r="L13" s="285" t="s">
        <v>29</v>
      </c>
      <c r="M13" s="268"/>
      <c r="N13" s="285" t="s">
        <v>29</v>
      </c>
      <c r="O13" s="268"/>
      <c r="P13" s="286" t="s">
        <v>29</v>
      </c>
      <c r="Q13" s="272"/>
      <c r="R13" s="304" t="s">
        <v>66</v>
      </c>
      <c r="S13" s="304"/>
      <c r="T13" s="304"/>
      <c r="U13" s="304"/>
      <c r="V13" s="304"/>
      <c r="W13" s="304"/>
      <c r="X13" s="304"/>
      <c r="Y13" s="304"/>
      <c r="Z13" s="304"/>
    </row>
    <row r="14" spans="1:30" ht="15.75" customHeight="1" x14ac:dyDescent="0.2">
      <c r="A14" s="3" t="s">
        <v>49</v>
      </c>
      <c r="B14" s="20" t="s">
        <v>29</v>
      </c>
      <c r="C14" s="20" t="s">
        <v>29</v>
      </c>
      <c r="D14" s="20" t="s">
        <v>29</v>
      </c>
      <c r="E14" s="20" t="s">
        <v>29</v>
      </c>
      <c r="F14" s="20" t="s">
        <v>29</v>
      </c>
      <c r="G14" s="60"/>
      <c r="H14" s="6" t="s">
        <v>67</v>
      </c>
      <c r="I14" s="10"/>
      <c r="J14" s="284" t="s">
        <v>29</v>
      </c>
      <c r="K14" s="268"/>
      <c r="L14" s="285" t="s">
        <v>29</v>
      </c>
      <c r="M14" s="268"/>
      <c r="N14" s="285" t="s">
        <v>29</v>
      </c>
      <c r="O14" s="268"/>
      <c r="P14" s="286" t="s">
        <v>29</v>
      </c>
      <c r="Q14" s="272"/>
      <c r="R14" s="304"/>
      <c r="S14" s="304"/>
      <c r="T14" s="304"/>
      <c r="U14" s="304"/>
      <c r="V14" s="304"/>
      <c r="W14" s="304"/>
      <c r="X14" s="304"/>
      <c r="Y14" s="304"/>
      <c r="Z14" s="511"/>
    </row>
    <row r="15" spans="1:30" ht="15.75" customHeight="1" x14ac:dyDescent="0.2">
      <c r="A15" s="3" t="s">
        <v>49</v>
      </c>
      <c r="B15" s="20" t="s">
        <v>29</v>
      </c>
      <c r="C15" s="20" t="s">
        <v>29</v>
      </c>
      <c r="D15" s="20" t="s">
        <v>29</v>
      </c>
      <c r="E15" s="20" t="s">
        <v>29</v>
      </c>
      <c r="F15" s="20" t="s">
        <v>29</v>
      </c>
      <c r="G15" s="60"/>
      <c r="H15" s="6" t="s">
        <v>68</v>
      </c>
      <c r="I15" s="10"/>
      <c r="J15" s="284" t="s">
        <v>29</v>
      </c>
      <c r="K15" s="268"/>
      <c r="L15" s="285" t="s">
        <v>29</v>
      </c>
      <c r="M15" s="268"/>
      <c r="N15" s="285" t="s">
        <v>29</v>
      </c>
      <c r="O15" s="268"/>
      <c r="P15" s="292" t="s">
        <v>29</v>
      </c>
      <c r="Q15" s="293"/>
      <c r="R15" s="305" t="s">
        <v>467</v>
      </c>
      <c r="S15" s="305"/>
      <c r="T15" s="305"/>
      <c r="U15" s="305"/>
      <c r="V15" s="305"/>
      <c r="W15" s="305"/>
      <c r="X15" s="305"/>
      <c r="Y15" s="305"/>
      <c r="Z15" s="305"/>
    </row>
    <row r="16" spans="1:30" ht="15.75" customHeight="1" x14ac:dyDescent="0.2">
      <c r="A16" s="14" t="s">
        <v>69</v>
      </c>
      <c r="B16" s="20"/>
      <c r="C16" s="19">
        <v>41829</v>
      </c>
      <c r="D16" s="19">
        <v>41830</v>
      </c>
      <c r="E16" s="19">
        <v>41830</v>
      </c>
      <c r="F16" s="19">
        <v>41830</v>
      </c>
      <c r="G16" s="15">
        <f>AVERAGE(C16:F16)</f>
        <v>41829.75</v>
      </c>
      <c r="H16" s="6" t="s">
        <v>70</v>
      </c>
      <c r="I16" s="17">
        <v>41841</v>
      </c>
      <c r="J16" s="294">
        <f>I16-C16</f>
        <v>12</v>
      </c>
      <c r="K16" s="268"/>
      <c r="L16" s="294">
        <v>11</v>
      </c>
      <c r="M16" s="268"/>
      <c r="N16" s="294">
        <v>11</v>
      </c>
      <c r="O16" s="272"/>
      <c r="P16" s="295">
        <v>11</v>
      </c>
      <c r="Q16" s="261"/>
      <c r="R16" s="307"/>
      <c r="S16" s="307"/>
      <c r="T16" s="307"/>
      <c r="U16" s="307"/>
      <c r="V16" s="307"/>
      <c r="W16" s="307"/>
      <c r="X16" s="307"/>
      <c r="Y16" s="307"/>
      <c r="Z16" s="307"/>
    </row>
    <row r="17" spans="1:26" ht="15.75" customHeight="1" x14ac:dyDescent="0.2">
      <c r="A17" s="323" t="s">
        <v>71</v>
      </c>
      <c r="B17" s="324"/>
      <c r="C17" s="50">
        <v>41836</v>
      </c>
      <c r="D17" s="50">
        <v>41836</v>
      </c>
      <c r="E17" s="50">
        <v>41837</v>
      </c>
      <c r="F17" s="50">
        <v>41838</v>
      </c>
      <c r="G17" s="51">
        <f>AVERAGE(C17:E17)</f>
        <v>41836.333333333336</v>
      </c>
      <c r="H17" s="6" t="s">
        <v>72</v>
      </c>
      <c r="I17" s="102">
        <v>41841</v>
      </c>
      <c r="J17" s="291">
        <v>264</v>
      </c>
      <c r="K17" s="268"/>
      <c r="L17" s="290">
        <v>252</v>
      </c>
      <c r="M17" s="268"/>
      <c r="N17" s="320">
        <v>205</v>
      </c>
      <c r="O17" s="272"/>
      <c r="P17" s="309">
        <v>245</v>
      </c>
      <c r="Q17" s="261"/>
      <c r="R17" s="307"/>
      <c r="S17" s="307"/>
      <c r="T17" s="307"/>
      <c r="U17" s="307"/>
      <c r="V17" s="307"/>
      <c r="W17" s="307"/>
      <c r="X17" s="307"/>
      <c r="Y17" s="307"/>
      <c r="Z17" s="307"/>
    </row>
    <row r="18" spans="1:26" ht="15.75" customHeight="1" x14ac:dyDescent="0.2">
      <c r="A18" s="327" t="s">
        <v>73</v>
      </c>
      <c r="B18" s="327"/>
      <c r="C18" s="325" t="s">
        <v>40</v>
      </c>
      <c r="D18" s="325" t="s">
        <v>41</v>
      </c>
      <c r="E18" s="325" t="s">
        <v>42</v>
      </c>
      <c r="F18" s="325" t="s">
        <v>43</v>
      </c>
      <c r="G18" s="326" t="s">
        <v>38</v>
      </c>
      <c r="H18" s="49" t="s">
        <v>78</v>
      </c>
      <c r="I18" s="10"/>
      <c r="J18" s="286" t="s">
        <v>29</v>
      </c>
      <c r="K18" s="268"/>
      <c r="L18" s="285" t="s">
        <v>29</v>
      </c>
      <c r="M18" s="268"/>
      <c r="N18" s="296" t="s">
        <v>29</v>
      </c>
      <c r="O18" s="272"/>
      <c r="P18" s="297" t="s">
        <v>29</v>
      </c>
      <c r="Q18" s="261"/>
      <c r="R18" s="307"/>
      <c r="S18" s="307"/>
      <c r="T18" s="307"/>
      <c r="U18" s="307"/>
      <c r="V18" s="307"/>
      <c r="W18" s="307"/>
      <c r="X18" s="307"/>
      <c r="Y18" s="307"/>
      <c r="Z18" s="307"/>
    </row>
    <row r="19" spans="1:26" ht="15" customHeight="1" x14ac:dyDescent="0.2">
      <c r="A19" s="328"/>
      <c r="B19" s="328"/>
      <c r="C19" s="261"/>
      <c r="D19" s="261"/>
      <c r="E19" s="261"/>
      <c r="F19" s="261"/>
      <c r="G19" s="261"/>
      <c r="H19" s="49" t="s">
        <v>67</v>
      </c>
      <c r="I19" s="10"/>
      <c r="J19" s="286" t="s">
        <v>29</v>
      </c>
      <c r="K19" s="268"/>
      <c r="L19" s="285" t="s">
        <v>29</v>
      </c>
      <c r="M19" s="268"/>
      <c r="N19" s="296" t="s">
        <v>29</v>
      </c>
      <c r="O19" s="272"/>
      <c r="P19" s="297" t="s">
        <v>29</v>
      </c>
      <c r="Q19" s="261"/>
      <c r="R19" s="307"/>
      <c r="S19" s="307"/>
      <c r="T19" s="307"/>
      <c r="U19" s="307"/>
      <c r="V19" s="307"/>
      <c r="W19" s="307"/>
      <c r="X19" s="307"/>
      <c r="Y19" s="307"/>
      <c r="Z19" s="307"/>
    </row>
    <row r="20" spans="1:26" ht="15.75" customHeight="1" x14ac:dyDescent="0.2">
      <c r="A20" s="312" t="s">
        <v>79</v>
      </c>
      <c r="B20" s="313"/>
      <c r="C20" s="122" t="s">
        <v>449</v>
      </c>
      <c r="D20" s="122" t="s">
        <v>450</v>
      </c>
      <c r="E20" s="52" t="s">
        <v>29</v>
      </c>
      <c r="F20" s="52" t="s">
        <v>29</v>
      </c>
      <c r="G20" s="52" t="s">
        <v>29</v>
      </c>
      <c r="H20" s="6" t="s">
        <v>68</v>
      </c>
      <c r="I20" s="10"/>
      <c r="J20" s="286" t="s">
        <v>29</v>
      </c>
      <c r="K20" s="268"/>
      <c r="L20" s="285" t="s">
        <v>29</v>
      </c>
      <c r="M20" s="268"/>
      <c r="N20" s="296" t="s">
        <v>29</v>
      </c>
      <c r="O20" s="272"/>
      <c r="P20" s="297" t="s">
        <v>29</v>
      </c>
      <c r="Q20" s="261"/>
      <c r="R20" s="307"/>
      <c r="S20" s="307"/>
      <c r="T20" s="307"/>
      <c r="U20" s="307"/>
      <c r="V20" s="307"/>
      <c r="W20" s="307"/>
      <c r="X20" s="307"/>
      <c r="Y20" s="307"/>
      <c r="Z20" s="307"/>
    </row>
    <row r="21" spans="1:26" ht="15.75" customHeight="1" x14ac:dyDescent="0.2">
      <c r="A21" s="312" t="s">
        <v>46</v>
      </c>
      <c r="B21" s="313"/>
      <c r="C21" s="18" t="s">
        <v>354</v>
      </c>
      <c r="D21" s="18" t="s">
        <v>355</v>
      </c>
      <c r="E21" s="18" t="s">
        <v>356</v>
      </c>
      <c r="F21" s="18" t="s">
        <v>407</v>
      </c>
      <c r="G21" s="18" t="s">
        <v>29</v>
      </c>
      <c r="H21" s="47" t="s">
        <v>80</v>
      </c>
      <c r="I21" s="17">
        <v>41846</v>
      </c>
      <c r="J21" s="294">
        <f>I21-C16</f>
        <v>17</v>
      </c>
      <c r="K21" s="268"/>
      <c r="L21" s="294">
        <v>16</v>
      </c>
      <c r="M21" s="268"/>
      <c r="N21" s="294">
        <v>16</v>
      </c>
      <c r="O21" s="272"/>
      <c r="P21" s="295">
        <v>16</v>
      </c>
      <c r="Q21" s="261"/>
      <c r="R21" s="307"/>
      <c r="S21" s="307"/>
      <c r="T21" s="307"/>
      <c r="U21" s="307"/>
      <c r="V21" s="307"/>
      <c r="W21" s="307"/>
      <c r="X21" s="307"/>
      <c r="Y21" s="307"/>
      <c r="Z21" s="307"/>
    </row>
    <row r="22" spans="1:26" ht="15.75" customHeight="1" x14ac:dyDescent="0.2">
      <c r="A22" s="312" t="s">
        <v>81</v>
      </c>
      <c r="B22" s="313"/>
      <c r="C22" s="17">
        <v>41856</v>
      </c>
      <c r="D22" s="17">
        <v>41856</v>
      </c>
      <c r="E22" s="18" t="s">
        <v>410</v>
      </c>
      <c r="F22" s="18" t="s">
        <v>410</v>
      </c>
      <c r="G22" s="43" t="s">
        <v>29</v>
      </c>
      <c r="H22" s="48" t="s">
        <v>82</v>
      </c>
      <c r="I22" s="17">
        <v>41846</v>
      </c>
      <c r="J22" s="291">
        <v>369</v>
      </c>
      <c r="K22" s="268"/>
      <c r="L22" s="290">
        <v>381</v>
      </c>
      <c r="M22" s="268"/>
      <c r="N22" s="320">
        <v>375</v>
      </c>
      <c r="O22" s="272"/>
      <c r="P22" s="309">
        <v>371</v>
      </c>
      <c r="Q22" s="261"/>
      <c r="R22" s="307"/>
      <c r="S22" s="307"/>
      <c r="T22" s="307"/>
      <c r="U22" s="307"/>
      <c r="V22" s="307"/>
      <c r="W22" s="307"/>
      <c r="X22" s="307"/>
      <c r="Y22" s="307"/>
      <c r="Z22" s="307"/>
    </row>
    <row r="23" spans="1:26" ht="15.75" customHeight="1" x14ac:dyDescent="0.2">
      <c r="A23" s="312" t="s">
        <v>12</v>
      </c>
      <c r="B23" s="313"/>
      <c r="C23" s="18">
        <v>220612781</v>
      </c>
      <c r="D23" s="18">
        <v>220609888</v>
      </c>
      <c r="E23" s="18" t="s">
        <v>410</v>
      </c>
      <c r="F23" s="18" t="s">
        <v>410</v>
      </c>
      <c r="G23" s="43" t="s">
        <v>29</v>
      </c>
      <c r="H23" s="48" t="s">
        <v>83</v>
      </c>
      <c r="I23" s="17">
        <v>41846</v>
      </c>
      <c r="J23" s="429" t="s">
        <v>369</v>
      </c>
      <c r="K23" s="268"/>
      <c r="L23" s="430" t="s">
        <v>369</v>
      </c>
      <c r="M23" s="268"/>
      <c r="N23" s="431" t="s">
        <v>369</v>
      </c>
      <c r="O23" s="272"/>
      <c r="P23" s="367" t="s">
        <v>369</v>
      </c>
      <c r="Q23" s="261"/>
      <c r="R23" s="307"/>
      <c r="S23" s="307"/>
      <c r="T23" s="307"/>
      <c r="U23" s="307"/>
      <c r="V23" s="307"/>
      <c r="W23" s="307"/>
      <c r="X23" s="307"/>
      <c r="Y23" s="307"/>
      <c r="Z23" s="307"/>
    </row>
    <row r="24" spans="1:26" ht="15.75" customHeight="1" x14ac:dyDescent="0.2">
      <c r="A24" s="312" t="s">
        <v>84</v>
      </c>
      <c r="B24" s="313"/>
      <c r="C24" s="18" t="s">
        <v>410</v>
      </c>
      <c r="D24" s="18" t="s">
        <v>410</v>
      </c>
      <c r="E24" s="18" t="s">
        <v>410</v>
      </c>
      <c r="F24" s="18" t="s">
        <v>410</v>
      </c>
      <c r="G24" s="43" t="s">
        <v>29</v>
      </c>
      <c r="H24" s="48" t="s">
        <v>67</v>
      </c>
      <c r="I24" s="10"/>
      <c r="J24" s="286" t="s">
        <v>29</v>
      </c>
      <c r="K24" s="268"/>
      <c r="L24" s="321" t="s">
        <v>29</v>
      </c>
      <c r="M24" s="268"/>
      <c r="N24" s="322" t="s">
        <v>29</v>
      </c>
      <c r="O24" s="272"/>
      <c r="P24" s="297" t="s">
        <v>29</v>
      </c>
      <c r="Q24" s="261"/>
      <c r="R24" s="307"/>
      <c r="S24" s="307"/>
      <c r="T24" s="307"/>
      <c r="U24" s="307"/>
      <c r="V24" s="307"/>
      <c r="W24" s="307"/>
      <c r="X24" s="307"/>
      <c r="Y24" s="307"/>
      <c r="Z24" s="307"/>
    </row>
    <row r="25" spans="1:26" ht="15.75" customHeight="1" x14ac:dyDescent="0.2">
      <c r="A25" s="312" t="s">
        <v>11</v>
      </c>
      <c r="B25" s="313"/>
      <c r="C25" s="18" t="s">
        <v>398</v>
      </c>
      <c r="D25" s="18" t="s">
        <v>398</v>
      </c>
      <c r="E25" s="18" t="s">
        <v>410</v>
      </c>
      <c r="F25" s="18" t="s">
        <v>410</v>
      </c>
      <c r="G25" s="43" t="s">
        <v>29</v>
      </c>
      <c r="H25" s="48" t="s">
        <v>68</v>
      </c>
      <c r="I25" s="10"/>
      <c r="J25" s="286" t="s">
        <v>29</v>
      </c>
      <c r="K25" s="268"/>
      <c r="L25" s="321" t="s">
        <v>29</v>
      </c>
      <c r="M25" s="268"/>
      <c r="N25" s="322" t="s">
        <v>29</v>
      </c>
      <c r="O25" s="272"/>
      <c r="P25" s="297" t="s">
        <v>29</v>
      </c>
      <c r="Q25" s="261"/>
      <c r="R25" s="307"/>
      <c r="S25" s="307"/>
      <c r="T25" s="307"/>
      <c r="U25" s="307"/>
      <c r="V25" s="307"/>
      <c r="W25" s="307"/>
      <c r="X25" s="307"/>
      <c r="Y25" s="307"/>
      <c r="Z25" s="307"/>
    </row>
    <row r="26" spans="1:26" ht="15.75" customHeight="1" x14ac:dyDescent="0.2">
      <c r="A26" s="314" t="s">
        <v>85</v>
      </c>
      <c r="B26" s="315"/>
      <c r="C26" s="18" t="s">
        <v>410</v>
      </c>
      <c r="D26" s="28" t="s">
        <v>408</v>
      </c>
      <c r="E26" s="121">
        <v>41854</v>
      </c>
      <c r="F26" s="121">
        <v>41855</v>
      </c>
      <c r="G26" s="43" t="s">
        <v>29</v>
      </c>
      <c r="H26" s="48" t="s">
        <v>86</v>
      </c>
      <c r="I26" s="10"/>
      <c r="J26" s="286" t="s">
        <v>29</v>
      </c>
      <c r="K26" s="268"/>
      <c r="L26" s="321" t="s">
        <v>29</v>
      </c>
      <c r="M26" s="268"/>
      <c r="N26" s="322" t="s">
        <v>29</v>
      </c>
      <c r="O26" s="272"/>
      <c r="P26" s="297" t="s">
        <v>29</v>
      </c>
      <c r="Q26" s="261"/>
      <c r="R26" s="307"/>
      <c r="S26" s="307"/>
      <c r="T26" s="307"/>
      <c r="U26" s="307"/>
      <c r="V26" s="307"/>
      <c r="W26" s="307"/>
      <c r="X26" s="307"/>
      <c r="Y26" s="307"/>
      <c r="Z26" s="307"/>
    </row>
    <row r="27" spans="1:26" ht="15.75" customHeight="1" x14ac:dyDescent="0.2">
      <c r="A27" s="316" t="s">
        <v>87</v>
      </c>
      <c r="B27" s="317"/>
      <c r="C27" s="18" t="s">
        <v>410</v>
      </c>
      <c r="D27" s="28" t="s">
        <v>408</v>
      </c>
      <c r="E27" s="70">
        <f>E26-E16</f>
        <v>24</v>
      </c>
      <c r="F27" s="18">
        <v>25</v>
      </c>
      <c r="G27" s="43" t="s">
        <v>29</v>
      </c>
      <c r="H27" s="48" t="s">
        <v>88</v>
      </c>
      <c r="I27" s="10"/>
      <c r="J27" s="286" t="s">
        <v>29</v>
      </c>
      <c r="K27" s="268"/>
      <c r="L27" s="321" t="s">
        <v>29</v>
      </c>
      <c r="M27" s="268"/>
      <c r="N27" s="322" t="s">
        <v>29</v>
      </c>
      <c r="O27" s="272"/>
      <c r="P27" s="297" t="s">
        <v>29</v>
      </c>
      <c r="Q27" s="261"/>
      <c r="R27" s="506"/>
      <c r="S27" s="506"/>
      <c r="T27" s="506"/>
      <c r="U27" s="506"/>
      <c r="V27" s="506"/>
      <c r="W27" s="506"/>
      <c r="X27" s="506"/>
      <c r="Y27" s="506"/>
      <c r="Z27" s="506"/>
    </row>
    <row r="28" spans="1:26" ht="15.75" customHeight="1" x14ac:dyDescent="0.2">
      <c r="A28" s="61"/>
      <c r="B28" s="7"/>
      <c r="C28" s="4"/>
      <c r="D28" s="4"/>
      <c r="E28" s="4"/>
      <c r="F28" s="4"/>
      <c r="G28" s="4"/>
      <c r="H28" s="104" t="s">
        <v>372</v>
      </c>
      <c r="I28" s="17">
        <v>41851</v>
      </c>
      <c r="J28" s="294">
        <f>I28-C16</f>
        <v>22</v>
      </c>
      <c r="K28" s="268"/>
      <c r="L28" s="294">
        <v>21</v>
      </c>
      <c r="M28" s="268"/>
      <c r="N28" s="294">
        <v>21</v>
      </c>
      <c r="O28" s="272"/>
      <c r="P28" s="295">
        <v>21</v>
      </c>
      <c r="Q28" s="261"/>
      <c r="R28" s="53"/>
      <c r="S28" s="30"/>
      <c r="T28" s="4"/>
      <c r="U28" s="4"/>
      <c r="V28" s="4"/>
      <c r="W28" s="26"/>
      <c r="X28" s="4"/>
      <c r="Y28" s="4"/>
      <c r="Z28" s="4"/>
    </row>
    <row r="29" spans="1:26" ht="18" customHeight="1" x14ac:dyDescent="0.2">
      <c r="H29" s="103" t="s">
        <v>373</v>
      </c>
      <c r="I29" s="17">
        <v>41851</v>
      </c>
      <c r="J29" s="291">
        <v>400</v>
      </c>
      <c r="K29" s="268"/>
      <c r="L29" s="290">
        <v>410</v>
      </c>
      <c r="M29" s="268"/>
      <c r="N29" s="320">
        <v>251</v>
      </c>
      <c r="O29" s="272"/>
      <c r="P29" s="309">
        <v>380</v>
      </c>
      <c r="Q29" s="261"/>
    </row>
    <row r="30" spans="1:26" ht="18" customHeight="1" x14ac:dyDescent="0.2">
      <c r="H30" s="48" t="s">
        <v>83</v>
      </c>
      <c r="I30" s="10"/>
      <c r="J30" s="286" t="s">
        <v>29</v>
      </c>
      <c r="K30" s="268"/>
      <c r="L30" s="321" t="s">
        <v>29</v>
      </c>
      <c r="M30" s="268"/>
      <c r="N30" s="322" t="s">
        <v>29</v>
      </c>
      <c r="O30" s="272"/>
      <c r="P30" s="297" t="s">
        <v>29</v>
      </c>
      <c r="Q30" s="261"/>
    </row>
    <row r="31" spans="1:26" ht="18" customHeight="1" x14ac:dyDescent="0.2">
      <c r="H31" s="48" t="s">
        <v>67</v>
      </c>
      <c r="I31" s="10"/>
      <c r="J31" s="286" t="s">
        <v>29</v>
      </c>
      <c r="K31" s="268"/>
      <c r="L31" s="321" t="s">
        <v>29</v>
      </c>
      <c r="M31" s="268"/>
      <c r="N31" s="322" t="s">
        <v>29</v>
      </c>
      <c r="O31" s="272"/>
      <c r="P31" s="297" t="s">
        <v>29</v>
      </c>
      <c r="Q31" s="261"/>
    </row>
    <row r="32" spans="1:26" ht="18" customHeight="1" x14ac:dyDescent="0.2">
      <c r="H32" s="48" t="s">
        <v>68</v>
      </c>
      <c r="I32" s="10"/>
      <c r="J32" s="286" t="s">
        <v>29</v>
      </c>
      <c r="K32" s="268"/>
      <c r="L32" s="321" t="s">
        <v>29</v>
      </c>
      <c r="M32" s="268"/>
      <c r="N32" s="322" t="s">
        <v>29</v>
      </c>
      <c r="O32" s="272"/>
      <c r="P32" s="297" t="s">
        <v>29</v>
      </c>
      <c r="Q32" s="261"/>
    </row>
    <row r="33" spans="8:17" ht="18" customHeight="1" x14ac:dyDescent="0.2">
      <c r="H33" s="48" t="s">
        <v>86</v>
      </c>
      <c r="I33" s="10"/>
      <c r="J33" s="286" t="s">
        <v>29</v>
      </c>
      <c r="K33" s="268"/>
      <c r="L33" s="321" t="s">
        <v>29</v>
      </c>
      <c r="M33" s="268"/>
      <c r="N33" s="322" t="s">
        <v>29</v>
      </c>
      <c r="O33" s="272"/>
      <c r="P33" s="297" t="s">
        <v>29</v>
      </c>
      <c r="Q33" s="261"/>
    </row>
    <row r="34" spans="8:17" ht="18" customHeight="1" x14ac:dyDescent="0.2">
      <c r="H34" s="48" t="s">
        <v>88</v>
      </c>
      <c r="I34" s="10"/>
      <c r="J34" s="286" t="s">
        <v>29</v>
      </c>
      <c r="K34" s="268"/>
      <c r="L34" s="321" t="s">
        <v>29</v>
      </c>
      <c r="M34" s="268"/>
      <c r="N34" s="322" t="s">
        <v>29</v>
      </c>
      <c r="O34" s="272"/>
      <c r="P34" s="297" t="s">
        <v>29</v>
      </c>
      <c r="Q34" s="261"/>
    </row>
    <row r="35" spans="8:17" ht="18" customHeight="1" x14ac:dyDescent="0.2">
      <c r="H35" s="104" t="s">
        <v>372</v>
      </c>
      <c r="I35" s="17">
        <v>41856</v>
      </c>
      <c r="J35" s="294">
        <f>I35-C16</f>
        <v>27</v>
      </c>
      <c r="K35" s="268"/>
      <c r="L35" s="294">
        <v>26</v>
      </c>
      <c r="M35" s="268"/>
      <c r="N35" s="294" t="s">
        <v>410</v>
      </c>
      <c r="O35" s="272"/>
      <c r="P35" s="365" t="s">
        <v>410</v>
      </c>
      <c r="Q35" s="261"/>
    </row>
    <row r="36" spans="8:17" ht="18" customHeight="1" x14ac:dyDescent="0.2">
      <c r="H36" s="103" t="s">
        <v>373</v>
      </c>
      <c r="I36" s="17">
        <v>41856</v>
      </c>
      <c r="J36" s="291">
        <v>378</v>
      </c>
      <c r="K36" s="268"/>
      <c r="L36" s="290">
        <v>358</v>
      </c>
      <c r="M36" s="268"/>
      <c r="N36" s="431" t="s">
        <v>410</v>
      </c>
      <c r="O36" s="272"/>
      <c r="P36" s="367" t="s">
        <v>410</v>
      </c>
      <c r="Q36" s="261"/>
    </row>
    <row r="37" spans="8:17" ht="18" customHeight="1" x14ac:dyDescent="0.2">
      <c r="H37" s="48" t="s">
        <v>83</v>
      </c>
      <c r="I37" s="17">
        <v>41856</v>
      </c>
      <c r="J37" s="429" t="s">
        <v>369</v>
      </c>
      <c r="K37" s="268"/>
      <c r="L37" s="430" t="s">
        <v>369</v>
      </c>
      <c r="M37" s="268"/>
      <c r="N37" s="322" t="s">
        <v>29</v>
      </c>
      <c r="O37" s="272"/>
      <c r="P37" s="297" t="s">
        <v>29</v>
      </c>
      <c r="Q37" s="261"/>
    </row>
    <row r="38" spans="8:17" ht="18" customHeight="1" x14ac:dyDescent="0.2">
      <c r="H38" s="48" t="s">
        <v>67</v>
      </c>
      <c r="I38" s="10"/>
      <c r="J38" s="286" t="s">
        <v>29</v>
      </c>
      <c r="K38" s="268"/>
      <c r="L38" s="321" t="s">
        <v>29</v>
      </c>
      <c r="M38" s="268"/>
      <c r="N38" s="322" t="s">
        <v>29</v>
      </c>
      <c r="O38" s="272"/>
      <c r="P38" s="297" t="s">
        <v>29</v>
      </c>
      <c r="Q38" s="261"/>
    </row>
    <row r="39" spans="8:17" ht="18" customHeight="1" x14ac:dyDescent="0.2">
      <c r="H39" s="48" t="s">
        <v>68</v>
      </c>
      <c r="I39" s="10"/>
      <c r="J39" s="286" t="s">
        <v>29</v>
      </c>
      <c r="K39" s="268"/>
      <c r="L39" s="321" t="s">
        <v>29</v>
      </c>
      <c r="M39" s="268"/>
      <c r="N39" s="322" t="s">
        <v>29</v>
      </c>
      <c r="O39" s="272"/>
      <c r="P39" s="297" t="s">
        <v>29</v>
      </c>
      <c r="Q39" s="261"/>
    </row>
    <row r="40" spans="8:17" ht="18" customHeight="1" x14ac:dyDescent="0.2">
      <c r="H40" s="48" t="s">
        <v>86</v>
      </c>
      <c r="I40" s="10"/>
      <c r="J40" s="286" t="s">
        <v>29</v>
      </c>
      <c r="K40" s="268"/>
      <c r="L40" s="321" t="s">
        <v>29</v>
      </c>
      <c r="M40" s="268"/>
      <c r="N40" s="322" t="s">
        <v>29</v>
      </c>
      <c r="O40" s="272"/>
      <c r="P40" s="297" t="s">
        <v>29</v>
      </c>
      <c r="Q40" s="261"/>
    </row>
    <row r="41" spans="8:17" ht="18" customHeight="1" x14ac:dyDescent="0.2">
      <c r="H41" s="48" t="s">
        <v>88</v>
      </c>
      <c r="I41" s="10"/>
      <c r="J41" s="286" t="s">
        <v>29</v>
      </c>
      <c r="K41" s="268"/>
      <c r="L41" s="321" t="s">
        <v>29</v>
      </c>
      <c r="M41" s="268"/>
      <c r="N41" s="322" t="s">
        <v>29</v>
      </c>
      <c r="O41" s="272"/>
      <c r="P41" s="297" t="s">
        <v>29</v>
      </c>
      <c r="Q41" s="261"/>
    </row>
    <row r="42" spans="8:17" ht="18" customHeight="1" x14ac:dyDescent="0.2">
      <c r="H42" s="104" t="s">
        <v>372</v>
      </c>
      <c r="I42" s="17">
        <v>41860</v>
      </c>
      <c r="J42" s="294">
        <f>I42-C16</f>
        <v>31</v>
      </c>
      <c r="K42" s="268"/>
      <c r="L42" s="294" t="s">
        <v>410</v>
      </c>
      <c r="M42" s="268"/>
      <c r="N42" s="294" t="s">
        <v>410</v>
      </c>
      <c r="O42" s="272"/>
      <c r="P42" s="365" t="s">
        <v>410</v>
      </c>
      <c r="Q42" s="261"/>
    </row>
    <row r="43" spans="8:17" ht="18" customHeight="1" x14ac:dyDescent="0.2">
      <c r="H43" s="103" t="s">
        <v>373</v>
      </c>
      <c r="I43" s="17">
        <v>41860</v>
      </c>
      <c r="J43" s="291">
        <v>403</v>
      </c>
      <c r="K43" s="268"/>
      <c r="L43" s="430" t="s">
        <v>410</v>
      </c>
      <c r="M43" s="268"/>
      <c r="N43" s="431" t="s">
        <v>410</v>
      </c>
      <c r="O43" s="272"/>
      <c r="P43" s="367" t="s">
        <v>410</v>
      </c>
      <c r="Q43" s="261"/>
    </row>
    <row r="44" spans="8:17" ht="18" customHeight="1" x14ac:dyDescent="0.2">
      <c r="H44" s="48" t="s">
        <v>83</v>
      </c>
      <c r="I44" s="10"/>
      <c r="J44" s="286" t="s">
        <v>29</v>
      </c>
      <c r="K44" s="268"/>
      <c r="L44" s="321" t="s">
        <v>29</v>
      </c>
      <c r="M44" s="268"/>
      <c r="N44" s="322" t="s">
        <v>29</v>
      </c>
      <c r="O44" s="272"/>
      <c r="P44" s="297" t="s">
        <v>29</v>
      </c>
      <c r="Q44" s="261"/>
    </row>
    <row r="45" spans="8:17" ht="18" customHeight="1" x14ac:dyDescent="0.2">
      <c r="H45" s="48" t="s">
        <v>67</v>
      </c>
      <c r="I45" s="10"/>
      <c r="J45" s="286" t="s">
        <v>29</v>
      </c>
      <c r="K45" s="268"/>
      <c r="L45" s="321" t="s">
        <v>29</v>
      </c>
      <c r="M45" s="268"/>
      <c r="N45" s="322" t="s">
        <v>29</v>
      </c>
      <c r="O45" s="272"/>
      <c r="P45" s="297" t="s">
        <v>29</v>
      </c>
      <c r="Q45" s="261"/>
    </row>
    <row r="46" spans="8:17" ht="18" customHeight="1" x14ac:dyDescent="0.2">
      <c r="H46" s="48" t="s">
        <v>68</v>
      </c>
      <c r="I46" s="10"/>
      <c r="J46" s="286" t="s">
        <v>29</v>
      </c>
      <c r="K46" s="268"/>
      <c r="L46" s="321" t="s">
        <v>29</v>
      </c>
      <c r="M46" s="268"/>
      <c r="N46" s="322" t="s">
        <v>29</v>
      </c>
      <c r="O46" s="272"/>
      <c r="P46" s="297" t="s">
        <v>29</v>
      </c>
      <c r="Q46" s="261"/>
    </row>
    <row r="47" spans="8:17" ht="18" customHeight="1" x14ac:dyDescent="0.2">
      <c r="H47" s="48" t="s">
        <v>86</v>
      </c>
      <c r="I47" s="10"/>
      <c r="J47" s="286" t="s">
        <v>29</v>
      </c>
      <c r="K47" s="268"/>
      <c r="L47" s="321" t="s">
        <v>29</v>
      </c>
      <c r="M47" s="268"/>
      <c r="N47" s="322" t="s">
        <v>29</v>
      </c>
      <c r="O47" s="272"/>
      <c r="P47" s="297" t="s">
        <v>29</v>
      </c>
      <c r="Q47" s="261"/>
    </row>
    <row r="48" spans="8:17" ht="18" customHeight="1" x14ac:dyDescent="0.2">
      <c r="H48" s="48" t="s">
        <v>88</v>
      </c>
      <c r="I48" s="10"/>
      <c r="J48" s="286" t="s">
        <v>29</v>
      </c>
      <c r="K48" s="268"/>
      <c r="L48" s="321" t="s">
        <v>29</v>
      </c>
      <c r="M48" s="268"/>
      <c r="N48" s="322" t="s">
        <v>29</v>
      </c>
      <c r="O48" s="272"/>
      <c r="P48" s="297" t="s">
        <v>29</v>
      </c>
      <c r="Q48" s="261"/>
    </row>
  </sheetData>
  <mergeCells count="212">
    <mergeCell ref="R15:Z27"/>
    <mergeCell ref="J16:K16"/>
    <mergeCell ref="L16:M16"/>
    <mergeCell ref="N16:O16"/>
    <mergeCell ref="P16:Q16"/>
    <mergeCell ref="J28:K28"/>
    <mergeCell ref="L28:M28"/>
    <mergeCell ref="N28:O28"/>
    <mergeCell ref="P28:Q28"/>
    <mergeCell ref="J47:K47"/>
    <mergeCell ref="L47:M47"/>
    <mergeCell ref="N47:O47"/>
    <mergeCell ref="P47:Q47"/>
    <mergeCell ref="J48:K48"/>
    <mergeCell ref="L48:M48"/>
    <mergeCell ref="N48:O48"/>
    <mergeCell ref="P48:Q48"/>
    <mergeCell ref="J15:K15"/>
    <mergeCell ref="L15:M15"/>
    <mergeCell ref="N15:O15"/>
    <mergeCell ref="P15:Q15"/>
    <mergeCell ref="J29:K29"/>
    <mergeCell ref="L29:M29"/>
    <mergeCell ref="N29:O29"/>
    <mergeCell ref="P29:Q29"/>
    <mergeCell ref="J30:K30"/>
    <mergeCell ref="L30:M30"/>
    <mergeCell ref="N30:O30"/>
    <mergeCell ref="P30:Q30"/>
    <mergeCell ref="J34:K34"/>
    <mergeCell ref="L34:M34"/>
    <mergeCell ref="N34:O34"/>
    <mergeCell ref="P34:Q34"/>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3:K13"/>
    <mergeCell ref="L13:M13"/>
    <mergeCell ref="N13:O13"/>
    <mergeCell ref="P13:Q13"/>
    <mergeCell ref="R13:Z14"/>
    <mergeCell ref="J14:K14"/>
    <mergeCell ref="L14:M14"/>
    <mergeCell ref="N14:O14"/>
    <mergeCell ref="P14:Q14"/>
    <mergeCell ref="U9:W9"/>
    <mergeCell ref="X9:Z9"/>
    <mergeCell ref="J9:K9"/>
    <mergeCell ref="L9:M9"/>
    <mergeCell ref="N9:O9"/>
    <mergeCell ref="P9:Q9"/>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12:K12"/>
    <mergeCell ref="L12:M12"/>
    <mergeCell ref="N12:O12"/>
    <mergeCell ref="P12:Q12"/>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 ref="J31:K31"/>
    <mergeCell ref="L31:M31"/>
    <mergeCell ref="N31:O31"/>
    <mergeCell ref="P31:Q31"/>
    <mergeCell ref="J32:K32"/>
    <mergeCell ref="L32:M32"/>
    <mergeCell ref="N32:O32"/>
    <mergeCell ref="P32:Q32"/>
    <mergeCell ref="J33:K33"/>
    <mergeCell ref="L33:M33"/>
    <mergeCell ref="N33:O33"/>
    <mergeCell ref="P33:Q33"/>
    <mergeCell ref="J35:K35"/>
    <mergeCell ref="L35:M35"/>
    <mergeCell ref="N35:O35"/>
    <mergeCell ref="P35:Q35"/>
    <mergeCell ref="J36:K36"/>
    <mergeCell ref="L36:M36"/>
    <mergeCell ref="N36:O36"/>
    <mergeCell ref="P36:Q36"/>
    <mergeCell ref="J37:K37"/>
    <mergeCell ref="L37:M37"/>
    <mergeCell ref="N37:O37"/>
    <mergeCell ref="P37:Q37"/>
    <mergeCell ref="J41:K41"/>
    <mergeCell ref="L41:M41"/>
    <mergeCell ref="N41:O41"/>
    <mergeCell ref="P41:Q41"/>
    <mergeCell ref="J38:K38"/>
    <mergeCell ref="L38:M38"/>
    <mergeCell ref="N38:O38"/>
    <mergeCell ref="P38:Q38"/>
    <mergeCell ref="J39:K39"/>
    <mergeCell ref="L39:M39"/>
    <mergeCell ref="N39:O39"/>
    <mergeCell ref="P39:Q39"/>
    <mergeCell ref="J40:K40"/>
    <mergeCell ref="L40:M40"/>
    <mergeCell ref="N40:O40"/>
    <mergeCell ref="P40:Q40"/>
    <mergeCell ref="J45:K45"/>
    <mergeCell ref="L45:M45"/>
    <mergeCell ref="N45:O45"/>
    <mergeCell ref="P45:Q45"/>
    <mergeCell ref="J46:K46"/>
    <mergeCell ref="L46:M46"/>
    <mergeCell ref="N46:O46"/>
    <mergeCell ref="P46:Q46"/>
    <mergeCell ref="J42:K42"/>
    <mergeCell ref="L42:M42"/>
    <mergeCell ref="N42:O42"/>
    <mergeCell ref="P42:Q42"/>
    <mergeCell ref="J43:K43"/>
    <mergeCell ref="L43:M43"/>
    <mergeCell ref="N43:O43"/>
    <mergeCell ref="P43:Q43"/>
    <mergeCell ref="J44:K44"/>
    <mergeCell ref="L44:M44"/>
    <mergeCell ref="N44:O44"/>
    <mergeCell ref="P44:Q44"/>
  </mergeCells>
  <pageMargins left="0.7" right="0.7" top="0.75" bottom="0.75" header="0.3" footer="0.3"/>
  <pageSetup orientation="portrait" r:id="rId1"/>
  <legacy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0"/>
  <sheetViews>
    <sheetView topLeftCell="A10"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7.7109375" style="25" customWidth="1"/>
    <col min="28" max="29" width="11.85546875" style="25"/>
    <col min="30" max="30" width="12.5703125" style="25" customWidth="1"/>
    <col min="31" max="16384" width="11.85546875" style="25"/>
  </cols>
  <sheetData>
    <row r="1" spans="1:30" ht="12.75" x14ac:dyDescent="0.2">
      <c r="A1" s="58" t="s">
        <v>0</v>
      </c>
      <c r="B1" s="59">
        <v>2014</v>
      </c>
      <c r="C1" s="58" t="s">
        <v>1</v>
      </c>
      <c r="D1" s="59"/>
      <c r="E1" s="58" t="s">
        <v>2</v>
      </c>
      <c r="F1" s="55">
        <v>79</v>
      </c>
      <c r="G1" s="56" t="s">
        <v>3</v>
      </c>
      <c r="H1" s="55" t="s">
        <v>4</v>
      </c>
      <c r="I1" s="260" t="s">
        <v>5</v>
      </c>
      <c r="J1" s="261"/>
      <c r="K1" s="262" t="s">
        <v>333</v>
      </c>
      <c r="L1" s="261"/>
      <c r="M1" s="261"/>
      <c r="N1" s="261"/>
      <c r="O1" s="261"/>
      <c r="P1" s="263" t="s">
        <v>6</v>
      </c>
      <c r="Q1" s="261"/>
      <c r="R1" s="264"/>
      <c r="S1" s="265"/>
      <c r="T1" s="16"/>
      <c r="U1" s="16"/>
      <c r="V1" s="16"/>
      <c r="W1" s="16"/>
      <c r="X1" s="16"/>
      <c r="Y1" s="16"/>
      <c r="Z1" s="34"/>
    </row>
    <row r="2" spans="1:30" ht="27.75" customHeight="1" x14ac:dyDescent="0.2">
      <c r="A2" s="57" t="s">
        <v>8</v>
      </c>
      <c r="B2" s="54" t="s">
        <v>9</v>
      </c>
      <c r="C2" s="54" t="s">
        <v>10</v>
      </c>
      <c r="D2" s="54" t="s">
        <v>11</v>
      </c>
      <c r="E2" s="54" t="s">
        <v>12</v>
      </c>
      <c r="F2" s="54" t="s">
        <v>13</v>
      </c>
      <c r="G2" s="54" t="s">
        <v>14</v>
      </c>
      <c r="H2" s="54" t="s">
        <v>15</v>
      </c>
      <c r="I2" s="13" t="s">
        <v>16</v>
      </c>
      <c r="J2" s="54" t="s">
        <v>17</v>
      </c>
      <c r="K2" s="54" t="s">
        <v>18</v>
      </c>
      <c r="L2" s="266"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32" t="s">
        <v>90</v>
      </c>
      <c r="AD2" s="31" t="s">
        <v>95</v>
      </c>
    </row>
    <row r="3" spans="1:30" ht="15.75" customHeight="1" x14ac:dyDescent="0.2">
      <c r="A3" s="18" t="s">
        <v>29</v>
      </c>
      <c r="B3" s="64">
        <v>41789</v>
      </c>
      <c r="C3" s="28" t="s">
        <v>29</v>
      </c>
      <c r="D3" s="18" t="s">
        <v>29</v>
      </c>
      <c r="E3" s="28" t="s">
        <v>235</v>
      </c>
      <c r="F3" s="28" t="s">
        <v>235</v>
      </c>
      <c r="G3" s="28" t="s">
        <v>227</v>
      </c>
      <c r="H3" s="28" t="s">
        <v>212</v>
      </c>
      <c r="I3" s="18" t="s">
        <v>29</v>
      </c>
      <c r="J3" s="18" t="s">
        <v>29</v>
      </c>
      <c r="K3" s="18" t="s">
        <v>29</v>
      </c>
      <c r="L3" s="41" t="s">
        <v>29</v>
      </c>
      <c r="M3" s="41" t="s">
        <v>29</v>
      </c>
      <c r="N3" s="18" t="s">
        <v>29</v>
      </c>
      <c r="O3" s="18" t="s">
        <v>29</v>
      </c>
      <c r="P3" s="20" t="s">
        <v>29</v>
      </c>
      <c r="Q3" s="20" t="s">
        <v>29</v>
      </c>
      <c r="R3" s="20" t="s">
        <v>29</v>
      </c>
      <c r="S3" s="20" t="s">
        <v>29</v>
      </c>
      <c r="T3" s="20" t="s">
        <v>29</v>
      </c>
      <c r="U3" s="18" t="s">
        <v>29</v>
      </c>
      <c r="V3" s="18" t="s">
        <v>29</v>
      </c>
      <c r="W3" s="18" t="s">
        <v>29</v>
      </c>
      <c r="X3" s="20" t="s">
        <v>29</v>
      </c>
      <c r="Y3" s="33" t="s">
        <v>29</v>
      </c>
      <c r="Z3" s="33" t="s">
        <v>29</v>
      </c>
      <c r="AB3" s="96"/>
      <c r="AC3" s="96"/>
      <c r="AD3" s="69" t="s">
        <v>205</v>
      </c>
    </row>
    <row r="4" spans="1:30"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5" t="s">
        <v>26</v>
      </c>
      <c r="V4" s="27" t="s">
        <v>92</v>
      </c>
      <c r="W4" s="27" t="s">
        <v>93</v>
      </c>
      <c r="X4" s="5" t="s">
        <v>27</v>
      </c>
      <c r="Y4" s="271" t="s">
        <v>28</v>
      </c>
      <c r="Z4" s="272"/>
      <c r="AA4" s="31" t="s">
        <v>89</v>
      </c>
      <c r="AB4" s="31" t="s">
        <v>91</v>
      </c>
      <c r="AC4" s="99" t="s">
        <v>90</v>
      </c>
      <c r="AD4" s="31" t="s">
        <v>95</v>
      </c>
    </row>
    <row r="5" spans="1:30" ht="15.75" customHeight="1" x14ac:dyDescent="0.2">
      <c r="A5" s="28" t="s">
        <v>103</v>
      </c>
      <c r="B5" s="64">
        <v>41803</v>
      </c>
      <c r="C5" s="28" t="s">
        <v>108</v>
      </c>
      <c r="D5" s="18" t="s">
        <v>29</v>
      </c>
      <c r="E5" s="28" t="s">
        <v>217</v>
      </c>
      <c r="F5" s="28" t="s">
        <v>218</v>
      </c>
      <c r="G5" s="28" t="s">
        <v>219</v>
      </c>
      <c r="H5" s="18" t="s">
        <v>29</v>
      </c>
      <c r="I5" s="37" t="s">
        <v>29</v>
      </c>
      <c r="J5" s="37">
        <v>1026</v>
      </c>
      <c r="K5" s="37">
        <v>3</v>
      </c>
      <c r="L5" s="42" t="s">
        <v>29</v>
      </c>
      <c r="M5" s="42" t="s">
        <v>29</v>
      </c>
      <c r="N5" s="37">
        <v>370</v>
      </c>
      <c r="O5" s="37">
        <v>171</v>
      </c>
      <c r="P5" s="38" t="s">
        <v>29</v>
      </c>
      <c r="Q5" s="38" t="s">
        <v>29</v>
      </c>
      <c r="R5" s="20" t="s">
        <v>29</v>
      </c>
      <c r="S5" s="20" t="s">
        <v>29</v>
      </c>
      <c r="T5" s="20" t="s">
        <v>29</v>
      </c>
      <c r="U5" s="28" t="s">
        <v>216</v>
      </c>
      <c r="V5" s="28" t="s">
        <v>205</v>
      </c>
      <c r="W5" s="28" t="s">
        <v>205</v>
      </c>
      <c r="X5" s="20" t="s">
        <v>29</v>
      </c>
      <c r="Y5" s="20" t="s">
        <v>29</v>
      </c>
      <c r="Z5" s="20" t="s">
        <v>29</v>
      </c>
      <c r="AA5" s="69" t="s">
        <v>112</v>
      </c>
      <c r="AB5" s="69" t="s">
        <v>205</v>
      </c>
      <c r="AC5" s="69" t="s">
        <v>220</v>
      </c>
      <c r="AD5" s="96"/>
    </row>
    <row r="6" spans="1:30" ht="16.5" customHeight="1" x14ac:dyDescent="0.2">
      <c r="A6" s="12" t="s">
        <v>33</v>
      </c>
      <c r="B6" s="5" t="s">
        <v>9</v>
      </c>
      <c r="C6" s="60" t="s">
        <v>34</v>
      </c>
      <c r="D6" s="60" t="s">
        <v>35</v>
      </c>
      <c r="E6" s="60" t="s">
        <v>36</v>
      </c>
      <c r="F6" s="60" t="s">
        <v>37</v>
      </c>
      <c r="G6" s="60" t="s">
        <v>38</v>
      </c>
      <c r="H6" s="36" t="s">
        <v>39</v>
      </c>
      <c r="I6" s="62" t="s">
        <v>9</v>
      </c>
      <c r="J6" s="280" t="s">
        <v>40</v>
      </c>
      <c r="K6" s="280"/>
      <c r="L6" s="280" t="s">
        <v>41</v>
      </c>
      <c r="M6" s="280"/>
      <c r="N6" s="280" t="s">
        <v>42</v>
      </c>
      <c r="O6" s="280"/>
      <c r="P6" s="280" t="s">
        <v>43</v>
      </c>
      <c r="Q6" s="280"/>
      <c r="R6" s="35"/>
      <c r="S6" s="273" t="s">
        <v>44</v>
      </c>
      <c r="T6" s="274"/>
      <c r="U6" s="274"/>
      <c r="V6" s="274"/>
      <c r="W6" s="275"/>
      <c r="X6" s="274"/>
      <c r="Y6" s="274"/>
      <c r="Z6" s="268"/>
    </row>
    <row r="7" spans="1:30" ht="15.75" customHeight="1" x14ac:dyDescent="0.2">
      <c r="A7" s="1" t="s">
        <v>45</v>
      </c>
      <c r="B7" s="20"/>
      <c r="C7" s="93" t="s">
        <v>260</v>
      </c>
      <c r="D7" s="93" t="s">
        <v>260</v>
      </c>
      <c r="E7" s="93" t="s">
        <v>260</v>
      </c>
      <c r="F7" s="93" t="s">
        <v>260</v>
      </c>
      <c r="G7" s="15" t="e">
        <f>AVERAGE(C7:F7)</f>
        <v>#DIV/0!</v>
      </c>
      <c r="H7" s="6" t="s">
        <v>46</v>
      </c>
      <c r="I7" s="39"/>
      <c r="J7" s="276" t="s">
        <v>360</v>
      </c>
      <c r="K7" s="267"/>
      <c r="L7" s="346" t="s">
        <v>361</v>
      </c>
      <c r="M7" s="267"/>
      <c r="N7" s="346" t="s">
        <v>364</v>
      </c>
      <c r="O7" s="267"/>
      <c r="P7" s="278" t="s">
        <v>29</v>
      </c>
      <c r="Q7" s="267"/>
      <c r="R7" s="23" t="s">
        <v>47</v>
      </c>
      <c r="S7" s="24"/>
      <c r="T7" s="43">
        <v>4</v>
      </c>
      <c r="U7" s="279" t="s">
        <v>48</v>
      </c>
      <c r="V7" s="279"/>
      <c r="W7" s="279"/>
      <c r="X7" s="349" t="s">
        <v>205</v>
      </c>
      <c r="Y7" s="282"/>
      <c r="Z7" s="283"/>
    </row>
    <row r="8" spans="1:30" ht="15.75" customHeight="1" x14ac:dyDescent="0.2">
      <c r="A8" s="3" t="s">
        <v>49</v>
      </c>
      <c r="B8" s="20" t="s">
        <v>29</v>
      </c>
      <c r="C8" s="20" t="s">
        <v>29</v>
      </c>
      <c r="D8" s="20" t="s">
        <v>29</v>
      </c>
      <c r="E8" s="20" t="s">
        <v>29</v>
      </c>
      <c r="F8" s="20" t="s">
        <v>29</v>
      </c>
      <c r="G8" s="60"/>
      <c r="H8" s="6" t="s">
        <v>50</v>
      </c>
      <c r="I8" s="17">
        <v>41834</v>
      </c>
      <c r="J8" s="287">
        <f>IF(((I8-C16)&gt;0),(I8-C16),"/")</f>
        <v>4</v>
      </c>
      <c r="K8" s="268"/>
      <c r="L8" s="287">
        <f>IF(((I8-D16)&gt;0),(I8-D16),"/")</f>
        <v>2</v>
      </c>
      <c r="M8" s="268"/>
      <c r="N8" s="287">
        <f>IF(((I8-E16)&gt;0),(I8-E16),"/")</f>
        <v>1</v>
      </c>
      <c r="O8" s="268"/>
      <c r="P8" s="278" t="s">
        <v>29</v>
      </c>
      <c r="Q8" s="267"/>
      <c r="R8" s="22" t="s">
        <v>51</v>
      </c>
      <c r="S8" s="11"/>
      <c r="T8" s="43">
        <v>1</v>
      </c>
      <c r="U8" s="310" t="s">
        <v>52</v>
      </c>
      <c r="V8" s="310"/>
      <c r="W8" s="310"/>
      <c r="X8" s="298" t="s">
        <v>29</v>
      </c>
      <c r="Y8" s="299"/>
      <c r="Z8" s="300"/>
    </row>
    <row r="9" spans="1:30" ht="15.75" customHeight="1" x14ac:dyDescent="0.2">
      <c r="A9" s="3" t="s">
        <v>49</v>
      </c>
      <c r="B9" s="20" t="s">
        <v>29</v>
      </c>
      <c r="C9" s="20" t="s">
        <v>29</v>
      </c>
      <c r="D9" s="20" t="s">
        <v>29</v>
      </c>
      <c r="E9" s="20" t="s">
        <v>29</v>
      </c>
      <c r="F9" s="20" t="s">
        <v>29</v>
      </c>
      <c r="G9" s="60"/>
      <c r="H9" s="6" t="s">
        <v>53</v>
      </c>
      <c r="I9" s="102">
        <v>41834</v>
      </c>
      <c r="J9" s="289">
        <v>91</v>
      </c>
      <c r="K9" s="268"/>
      <c r="L9" s="290">
        <v>52</v>
      </c>
      <c r="M9" s="268"/>
      <c r="N9" s="290">
        <v>42</v>
      </c>
      <c r="O9" s="268"/>
      <c r="P9" s="278" t="s">
        <v>29</v>
      </c>
      <c r="Q9" s="267"/>
      <c r="R9" s="22" t="s">
        <v>54</v>
      </c>
      <c r="S9" s="11"/>
      <c r="T9" s="43">
        <v>3</v>
      </c>
      <c r="U9" s="310" t="s">
        <v>55</v>
      </c>
      <c r="V9" s="310"/>
      <c r="W9" s="310"/>
      <c r="X9" s="298" t="s">
        <v>29</v>
      </c>
      <c r="Y9" s="299"/>
      <c r="Z9" s="300"/>
    </row>
    <row r="10" spans="1:30" ht="15" customHeight="1" x14ac:dyDescent="0.2">
      <c r="A10" s="3" t="s">
        <v>49</v>
      </c>
      <c r="B10" s="20" t="s">
        <v>29</v>
      </c>
      <c r="C10" s="20" t="s">
        <v>29</v>
      </c>
      <c r="D10" s="20" t="s">
        <v>29</v>
      </c>
      <c r="E10" s="20" t="s">
        <v>29</v>
      </c>
      <c r="F10" s="20" t="s">
        <v>29</v>
      </c>
      <c r="G10" s="60"/>
      <c r="H10" s="6" t="s">
        <v>56</v>
      </c>
      <c r="I10" s="10"/>
      <c r="J10" s="284" t="s">
        <v>29</v>
      </c>
      <c r="K10" s="268"/>
      <c r="L10" s="285" t="s">
        <v>29</v>
      </c>
      <c r="M10" s="268"/>
      <c r="N10" s="285" t="s">
        <v>29</v>
      </c>
      <c r="O10" s="268"/>
      <c r="P10" s="286" t="s">
        <v>29</v>
      </c>
      <c r="Q10" s="268"/>
      <c r="R10" s="22" t="s">
        <v>57</v>
      </c>
      <c r="S10" s="11"/>
      <c r="T10" s="43">
        <v>3</v>
      </c>
      <c r="U10" s="310" t="s">
        <v>58</v>
      </c>
      <c r="V10" s="310"/>
      <c r="W10" s="310"/>
      <c r="X10" s="298" t="s">
        <v>29</v>
      </c>
      <c r="Y10" s="299"/>
      <c r="Z10" s="300"/>
    </row>
    <row r="11" spans="1:30" ht="15" customHeight="1" x14ac:dyDescent="0.2">
      <c r="A11" s="3" t="s">
        <v>49</v>
      </c>
      <c r="B11" s="20" t="s">
        <v>29</v>
      </c>
      <c r="C11" s="20" t="s">
        <v>29</v>
      </c>
      <c r="D11" s="20" t="s">
        <v>29</v>
      </c>
      <c r="E11" s="20" t="s">
        <v>29</v>
      </c>
      <c r="F11" s="20" t="s">
        <v>29</v>
      </c>
      <c r="G11" s="60"/>
      <c r="H11" s="6" t="s">
        <v>59</v>
      </c>
      <c r="I11" s="17">
        <v>41836</v>
      </c>
      <c r="J11" s="287">
        <f>I11-C16</f>
        <v>6</v>
      </c>
      <c r="K11" s="268"/>
      <c r="L11" s="287">
        <f>I11-D16</f>
        <v>4</v>
      </c>
      <c r="M11" s="268"/>
      <c r="N11" s="287">
        <f>I11-E16</f>
        <v>3</v>
      </c>
      <c r="O11" s="268"/>
      <c r="P11" s="278" t="s">
        <v>29</v>
      </c>
      <c r="Q11" s="267"/>
      <c r="R11" s="22" t="s">
        <v>60</v>
      </c>
      <c r="S11" s="11"/>
      <c r="T11" s="43">
        <v>2</v>
      </c>
      <c r="U11" s="310" t="s">
        <v>61</v>
      </c>
      <c r="V11" s="310"/>
      <c r="W11" s="310"/>
      <c r="X11" s="298" t="s">
        <v>29</v>
      </c>
      <c r="Y11" s="299"/>
      <c r="Z11" s="300"/>
    </row>
    <row r="12" spans="1:30" ht="15.75" customHeight="1" x14ac:dyDescent="0.2">
      <c r="A12" s="3" t="s">
        <v>49</v>
      </c>
      <c r="B12" s="20" t="s">
        <v>29</v>
      </c>
      <c r="C12" s="20" t="s">
        <v>29</v>
      </c>
      <c r="D12" s="20" t="s">
        <v>29</v>
      </c>
      <c r="E12" s="20" t="s">
        <v>29</v>
      </c>
      <c r="F12" s="20" t="s">
        <v>29</v>
      </c>
      <c r="G12" s="60"/>
      <c r="H12" s="6" t="s">
        <v>62</v>
      </c>
      <c r="I12" s="102">
        <v>41836</v>
      </c>
      <c r="J12" s="289">
        <v>127</v>
      </c>
      <c r="K12" s="268"/>
      <c r="L12" s="290">
        <v>69</v>
      </c>
      <c r="M12" s="268"/>
      <c r="N12" s="290">
        <v>50</v>
      </c>
      <c r="O12" s="268"/>
      <c r="P12" s="278" t="s">
        <v>29</v>
      </c>
      <c r="Q12" s="267"/>
      <c r="R12" s="22" t="s">
        <v>63</v>
      </c>
      <c r="S12" s="11"/>
      <c r="T12" s="45">
        <v>1</v>
      </c>
      <c r="U12" s="311" t="s">
        <v>64</v>
      </c>
      <c r="V12" s="311"/>
      <c r="W12" s="311"/>
      <c r="X12" s="301" t="s">
        <v>29</v>
      </c>
      <c r="Y12" s="302"/>
      <c r="Z12" s="303"/>
    </row>
    <row r="13" spans="1:30" ht="15.75" customHeight="1" x14ac:dyDescent="0.2">
      <c r="A13" s="3" t="s">
        <v>49</v>
      </c>
      <c r="B13" s="20" t="s">
        <v>29</v>
      </c>
      <c r="C13" s="20" t="s">
        <v>29</v>
      </c>
      <c r="D13" s="20" t="s">
        <v>29</v>
      </c>
      <c r="E13" s="20" t="s">
        <v>29</v>
      </c>
      <c r="F13" s="20" t="s">
        <v>29</v>
      </c>
      <c r="G13" s="60"/>
      <c r="H13" s="6" t="s">
        <v>65</v>
      </c>
      <c r="I13" s="10"/>
      <c r="J13" s="284" t="s">
        <v>29</v>
      </c>
      <c r="K13" s="268"/>
      <c r="L13" s="285" t="s">
        <v>29</v>
      </c>
      <c r="M13" s="268"/>
      <c r="N13" s="285" t="s">
        <v>29</v>
      </c>
      <c r="O13" s="268"/>
      <c r="P13" s="286" t="s">
        <v>29</v>
      </c>
      <c r="Q13" s="272"/>
      <c r="R13" s="304" t="s">
        <v>66</v>
      </c>
      <c r="S13" s="304"/>
      <c r="T13" s="304"/>
      <c r="U13" s="304"/>
      <c r="V13" s="304"/>
      <c r="W13" s="304"/>
      <c r="X13" s="304"/>
      <c r="Y13" s="304"/>
      <c r="Z13" s="304"/>
    </row>
    <row r="14" spans="1:30" ht="15.75" customHeight="1" x14ac:dyDescent="0.2">
      <c r="A14" s="3" t="s">
        <v>49</v>
      </c>
      <c r="B14" s="20" t="s">
        <v>29</v>
      </c>
      <c r="C14" s="20" t="s">
        <v>29</v>
      </c>
      <c r="D14" s="20" t="s">
        <v>29</v>
      </c>
      <c r="E14" s="20" t="s">
        <v>29</v>
      </c>
      <c r="F14" s="20" t="s">
        <v>29</v>
      </c>
      <c r="G14" s="60"/>
      <c r="H14" s="6" t="s">
        <v>67</v>
      </c>
      <c r="I14" s="10"/>
      <c r="J14" s="284" t="s">
        <v>29</v>
      </c>
      <c r="K14" s="268"/>
      <c r="L14" s="285" t="s">
        <v>29</v>
      </c>
      <c r="M14" s="268"/>
      <c r="N14" s="285" t="s">
        <v>29</v>
      </c>
      <c r="O14" s="268"/>
      <c r="P14" s="286" t="s">
        <v>29</v>
      </c>
      <c r="Q14" s="272"/>
      <c r="R14" s="304"/>
      <c r="S14" s="304"/>
      <c r="T14" s="304"/>
      <c r="U14" s="304"/>
      <c r="V14" s="304"/>
      <c r="W14" s="304"/>
      <c r="X14" s="304"/>
      <c r="Y14" s="304"/>
      <c r="Z14" s="511"/>
    </row>
    <row r="15" spans="1:30" ht="15.75" customHeight="1" x14ac:dyDescent="0.2">
      <c r="A15" s="3" t="s">
        <v>49</v>
      </c>
      <c r="B15" s="20" t="s">
        <v>29</v>
      </c>
      <c r="C15" s="20" t="s">
        <v>29</v>
      </c>
      <c r="D15" s="20" t="s">
        <v>29</v>
      </c>
      <c r="E15" s="20" t="s">
        <v>29</v>
      </c>
      <c r="F15" s="20" t="s">
        <v>29</v>
      </c>
      <c r="G15" s="60"/>
      <c r="H15" s="6" t="s">
        <v>68</v>
      </c>
      <c r="I15" s="10"/>
      <c r="J15" s="284" t="s">
        <v>29</v>
      </c>
      <c r="K15" s="268"/>
      <c r="L15" s="285" t="s">
        <v>29</v>
      </c>
      <c r="M15" s="268"/>
      <c r="N15" s="285" t="s">
        <v>29</v>
      </c>
      <c r="O15" s="268"/>
      <c r="P15" s="292" t="s">
        <v>29</v>
      </c>
      <c r="Q15" s="293"/>
      <c r="R15" s="305" t="s">
        <v>476</v>
      </c>
      <c r="S15" s="305"/>
      <c r="T15" s="305"/>
      <c r="U15" s="305"/>
      <c r="V15" s="305"/>
      <c r="W15" s="305"/>
      <c r="X15" s="305"/>
      <c r="Y15" s="305"/>
      <c r="Z15" s="305"/>
    </row>
    <row r="16" spans="1:30" ht="15.75" customHeight="1" x14ac:dyDescent="0.2">
      <c r="A16" s="14" t="s">
        <v>69</v>
      </c>
      <c r="B16" s="20"/>
      <c r="C16" s="19">
        <v>41830</v>
      </c>
      <c r="D16" s="19">
        <v>41832</v>
      </c>
      <c r="E16" s="19">
        <v>41833</v>
      </c>
      <c r="F16" s="19"/>
      <c r="G16" s="15">
        <f>AVERAGE(C16:F16)</f>
        <v>41831.666666666664</v>
      </c>
      <c r="H16" s="6" t="s">
        <v>70</v>
      </c>
      <c r="I16" s="17">
        <v>41841</v>
      </c>
      <c r="J16" s="294">
        <f>I16-C16</f>
        <v>11</v>
      </c>
      <c r="K16" s="268"/>
      <c r="L16" s="294">
        <f>I16-D16</f>
        <v>9</v>
      </c>
      <c r="M16" s="268"/>
      <c r="N16" s="294">
        <f>I16-E16</f>
        <v>8</v>
      </c>
      <c r="O16" s="272"/>
      <c r="P16" s="278" t="s">
        <v>29</v>
      </c>
      <c r="Q16" s="267"/>
      <c r="R16" s="307"/>
      <c r="S16" s="307"/>
      <c r="T16" s="307"/>
      <c r="U16" s="307"/>
      <c r="V16" s="307"/>
      <c r="W16" s="307"/>
      <c r="X16" s="307"/>
      <c r="Y16" s="307"/>
      <c r="Z16" s="307"/>
    </row>
    <row r="17" spans="1:26" ht="15.75" customHeight="1" x14ac:dyDescent="0.2">
      <c r="A17" s="323" t="s">
        <v>71</v>
      </c>
      <c r="B17" s="324"/>
      <c r="C17" s="50">
        <v>41836</v>
      </c>
      <c r="D17" s="50">
        <v>41836</v>
      </c>
      <c r="E17" s="50">
        <v>41837</v>
      </c>
      <c r="F17" s="50">
        <v>41838</v>
      </c>
      <c r="G17" s="51">
        <f>AVERAGE(C17:E17)</f>
        <v>41836.333333333336</v>
      </c>
      <c r="H17" s="6" t="s">
        <v>72</v>
      </c>
      <c r="I17" s="102">
        <v>41841</v>
      </c>
      <c r="J17" s="291">
        <v>342</v>
      </c>
      <c r="K17" s="268"/>
      <c r="L17" s="290">
        <v>186</v>
      </c>
      <c r="M17" s="268"/>
      <c r="N17" s="320">
        <v>174</v>
      </c>
      <c r="O17" s="272"/>
      <c r="P17" s="278" t="s">
        <v>29</v>
      </c>
      <c r="Q17" s="267"/>
      <c r="R17" s="307"/>
      <c r="S17" s="307"/>
      <c r="T17" s="307"/>
      <c r="U17" s="307"/>
      <c r="V17" s="307"/>
      <c r="W17" s="307"/>
      <c r="X17" s="307"/>
      <c r="Y17" s="307"/>
      <c r="Z17" s="307"/>
    </row>
    <row r="18" spans="1:26" ht="15.75" customHeight="1" x14ac:dyDescent="0.2">
      <c r="A18" s="327" t="s">
        <v>73</v>
      </c>
      <c r="B18" s="327"/>
      <c r="C18" s="325" t="s">
        <v>40</v>
      </c>
      <c r="D18" s="325" t="s">
        <v>41</v>
      </c>
      <c r="E18" s="325" t="s">
        <v>42</v>
      </c>
      <c r="F18" s="325" t="s">
        <v>43</v>
      </c>
      <c r="G18" s="326" t="s">
        <v>38</v>
      </c>
      <c r="H18" s="49" t="s">
        <v>78</v>
      </c>
      <c r="I18" s="10"/>
      <c r="J18" s="286" t="s">
        <v>29</v>
      </c>
      <c r="K18" s="268"/>
      <c r="L18" s="285" t="s">
        <v>29</v>
      </c>
      <c r="M18" s="268"/>
      <c r="N18" s="296" t="s">
        <v>29</v>
      </c>
      <c r="O18" s="272"/>
      <c r="P18" s="297" t="s">
        <v>29</v>
      </c>
      <c r="Q18" s="261"/>
      <c r="R18" s="307"/>
      <c r="S18" s="307"/>
      <c r="T18" s="307"/>
      <c r="U18" s="307"/>
      <c r="V18" s="307"/>
      <c r="W18" s="307"/>
      <c r="X18" s="307"/>
      <c r="Y18" s="307"/>
      <c r="Z18" s="307"/>
    </row>
    <row r="19" spans="1:26" ht="15" customHeight="1" x14ac:dyDescent="0.2">
      <c r="A19" s="328"/>
      <c r="B19" s="328"/>
      <c r="C19" s="261"/>
      <c r="D19" s="261"/>
      <c r="E19" s="261"/>
      <c r="F19" s="261"/>
      <c r="G19" s="261"/>
      <c r="H19" s="49" t="s">
        <v>67</v>
      </c>
      <c r="I19" s="10"/>
      <c r="J19" s="286" t="s">
        <v>29</v>
      </c>
      <c r="K19" s="268"/>
      <c r="L19" s="285" t="s">
        <v>29</v>
      </c>
      <c r="M19" s="268"/>
      <c r="N19" s="296" t="s">
        <v>29</v>
      </c>
      <c r="O19" s="272"/>
      <c r="P19" s="297" t="s">
        <v>29</v>
      </c>
      <c r="Q19" s="261"/>
      <c r="R19" s="307"/>
      <c r="S19" s="307"/>
      <c r="T19" s="307"/>
      <c r="U19" s="307"/>
      <c r="V19" s="307"/>
      <c r="W19" s="307"/>
      <c r="X19" s="307"/>
      <c r="Y19" s="307"/>
      <c r="Z19" s="307"/>
    </row>
    <row r="20" spans="1:26" ht="15.75" customHeight="1" x14ac:dyDescent="0.2">
      <c r="A20" s="312" t="s">
        <v>79</v>
      </c>
      <c r="B20" s="313"/>
      <c r="C20" s="122" t="s">
        <v>432</v>
      </c>
      <c r="D20" s="122" t="s">
        <v>429</v>
      </c>
      <c r="E20" s="122" t="s">
        <v>438</v>
      </c>
      <c r="F20" s="52" t="s">
        <v>29</v>
      </c>
      <c r="G20" s="52" t="s">
        <v>29</v>
      </c>
      <c r="H20" s="6" t="s">
        <v>68</v>
      </c>
      <c r="I20" s="10"/>
      <c r="J20" s="286" t="s">
        <v>29</v>
      </c>
      <c r="K20" s="268"/>
      <c r="L20" s="285" t="s">
        <v>29</v>
      </c>
      <c r="M20" s="268"/>
      <c r="N20" s="296" t="s">
        <v>29</v>
      </c>
      <c r="O20" s="272"/>
      <c r="P20" s="278" t="s">
        <v>29</v>
      </c>
      <c r="Q20" s="267"/>
      <c r="R20" s="307"/>
      <c r="S20" s="307"/>
      <c r="T20" s="307"/>
      <c r="U20" s="307"/>
      <c r="V20" s="307"/>
      <c r="W20" s="307"/>
      <c r="X20" s="307"/>
      <c r="Y20" s="307"/>
      <c r="Z20" s="307"/>
    </row>
    <row r="21" spans="1:26" ht="15.75" customHeight="1" x14ac:dyDescent="0.2">
      <c r="A21" s="312" t="s">
        <v>46</v>
      </c>
      <c r="B21" s="313"/>
      <c r="C21" s="28" t="s">
        <v>354</v>
      </c>
      <c r="D21" s="28" t="s">
        <v>355</v>
      </c>
      <c r="E21" s="28" t="s">
        <v>356</v>
      </c>
      <c r="F21" s="18" t="s">
        <v>407</v>
      </c>
      <c r="G21" s="18" t="s">
        <v>29</v>
      </c>
      <c r="H21" s="47" t="s">
        <v>80</v>
      </c>
      <c r="I21" s="17">
        <v>41846</v>
      </c>
      <c r="J21" s="294">
        <f>I21-C16</f>
        <v>16</v>
      </c>
      <c r="K21" s="268"/>
      <c r="L21" s="294">
        <f>I21-D16</f>
        <v>14</v>
      </c>
      <c r="M21" s="268"/>
      <c r="N21" s="294">
        <f>I21-E16</f>
        <v>13</v>
      </c>
      <c r="O21" s="272"/>
      <c r="P21" s="278" t="s">
        <v>29</v>
      </c>
      <c r="Q21" s="267"/>
      <c r="R21" s="307"/>
      <c r="S21" s="307"/>
      <c r="T21" s="307"/>
      <c r="U21" s="307"/>
      <c r="V21" s="307"/>
      <c r="W21" s="307"/>
      <c r="X21" s="307"/>
      <c r="Y21" s="307"/>
      <c r="Z21" s="307"/>
    </row>
    <row r="22" spans="1:26" ht="15.75" customHeight="1" x14ac:dyDescent="0.2">
      <c r="A22" s="312" t="s">
        <v>81</v>
      </c>
      <c r="B22" s="313"/>
      <c r="C22" s="17">
        <v>41856</v>
      </c>
      <c r="D22" s="17">
        <v>41856</v>
      </c>
      <c r="E22" s="17">
        <v>41856</v>
      </c>
      <c r="F22" s="18" t="s">
        <v>410</v>
      </c>
      <c r="G22" s="43" t="s">
        <v>29</v>
      </c>
      <c r="H22" s="48" t="s">
        <v>82</v>
      </c>
      <c r="I22" s="102">
        <v>41846</v>
      </c>
      <c r="J22" s="291">
        <v>623</v>
      </c>
      <c r="K22" s="268"/>
      <c r="L22" s="290">
        <v>377</v>
      </c>
      <c r="M22" s="268"/>
      <c r="N22" s="320">
        <v>370</v>
      </c>
      <c r="O22" s="272"/>
      <c r="P22" s="278" t="s">
        <v>29</v>
      </c>
      <c r="Q22" s="267"/>
      <c r="R22" s="307"/>
      <c r="S22" s="307"/>
      <c r="T22" s="307"/>
      <c r="U22" s="307"/>
      <c r="V22" s="307"/>
      <c r="W22" s="307"/>
      <c r="X22" s="307"/>
      <c r="Y22" s="307"/>
      <c r="Z22" s="307"/>
    </row>
    <row r="23" spans="1:26" ht="15.75" customHeight="1" x14ac:dyDescent="0.2">
      <c r="A23" s="312" t="s">
        <v>12</v>
      </c>
      <c r="B23" s="313"/>
      <c r="C23" s="28">
        <v>194719215</v>
      </c>
      <c r="D23" s="18">
        <v>220612992</v>
      </c>
      <c r="E23" s="18">
        <v>220612991</v>
      </c>
      <c r="F23" s="18" t="s">
        <v>410</v>
      </c>
      <c r="G23" s="43" t="s">
        <v>29</v>
      </c>
      <c r="H23" s="103" t="s">
        <v>370</v>
      </c>
      <c r="I23" s="102">
        <v>41846</v>
      </c>
      <c r="J23" s="429" t="s">
        <v>369</v>
      </c>
      <c r="K23" s="268"/>
      <c r="L23" s="430" t="s">
        <v>369</v>
      </c>
      <c r="M23" s="268"/>
      <c r="N23" s="322" t="s">
        <v>29</v>
      </c>
      <c r="O23" s="272"/>
      <c r="P23" s="309" t="s">
        <v>29</v>
      </c>
      <c r="Q23" s="261"/>
      <c r="R23" s="307"/>
      <c r="S23" s="307"/>
      <c r="T23" s="307"/>
      <c r="U23" s="307"/>
      <c r="V23" s="307"/>
      <c r="W23" s="307"/>
      <c r="X23" s="307"/>
      <c r="Y23" s="307"/>
      <c r="Z23" s="307"/>
    </row>
    <row r="24" spans="1:26" ht="15.75" customHeight="1" x14ac:dyDescent="0.2">
      <c r="A24" s="312" t="s">
        <v>84</v>
      </c>
      <c r="B24" s="313"/>
      <c r="C24" s="28" t="s">
        <v>410</v>
      </c>
      <c r="D24" s="28" t="s">
        <v>410</v>
      </c>
      <c r="E24" s="28" t="s">
        <v>410</v>
      </c>
      <c r="F24" s="18" t="s">
        <v>410</v>
      </c>
      <c r="G24" s="43" t="s">
        <v>29</v>
      </c>
      <c r="H24" s="48" t="s">
        <v>67</v>
      </c>
      <c r="I24" s="10"/>
      <c r="J24" s="286" t="s">
        <v>29</v>
      </c>
      <c r="K24" s="268"/>
      <c r="L24" s="321" t="s">
        <v>29</v>
      </c>
      <c r="M24" s="268"/>
      <c r="N24" s="322" t="s">
        <v>29</v>
      </c>
      <c r="O24" s="272"/>
      <c r="P24" s="297" t="s">
        <v>29</v>
      </c>
      <c r="Q24" s="261"/>
      <c r="R24" s="307"/>
      <c r="S24" s="307"/>
      <c r="T24" s="307"/>
      <c r="U24" s="307"/>
      <c r="V24" s="307"/>
      <c r="W24" s="307"/>
      <c r="X24" s="307"/>
      <c r="Y24" s="307"/>
      <c r="Z24" s="307"/>
    </row>
    <row r="25" spans="1:26" ht="15.75" customHeight="1" x14ac:dyDescent="0.2">
      <c r="A25" s="312" t="s">
        <v>11</v>
      </c>
      <c r="B25" s="313"/>
      <c r="C25" s="28" t="s">
        <v>413</v>
      </c>
      <c r="D25" s="28" t="s">
        <v>398</v>
      </c>
      <c r="E25" s="28" t="s">
        <v>413</v>
      </c>
      <c r="F25" s="18" t="s">
        <v>410</v>
      </c>
      <c r="G25" s="43" t="s">
        <v>29</v>
      </c>
      <c r="H25" s="48" t="s">
        <v>68</v>
      </c>
      <c r="I25" s="10"/>
      <c r="J25" s="286" t="s">
        <v>29</v>
      </c>
      <c r="K25" s="268"/>
      <c r="L25" s="321" t="s">
        <v>29</v>
      </c>
      <c r="M25" s="268"/>
      <c r="N25" s="322" t="s">
        <v>29</v>
      </c>
      <c r="O25" s="272"/>
      <c r="P25" s="297" t="s">
        <v>29</v>
      </c>
      <c r="Q25" s="261"/>
      <c r="R25" s="307"/>
      <c r="S25" s="307"/>
      <c r="T25" s="307"/>
      <c r="U25" s="307"/>
      <c r="V25" s="307"/>
      <c r="W25" s="307"/>
      <c r="X25" s="307"/>
      <c r="Y25" s="307"/>
      <c r="Z25" s="307"/>
    </row>
    <row r="26" spans="1:26" ht="15.75" customHeight="1" x14ac:dyDescent="0.2">
      <c r="A26" s="314" t="s">
        <v>85</v>
      </c>
      <c r="B26" s="315"/>
      <c r="C26" s="28" t="s">
        <v>410</v>
      </c>
      <c r="D26" s="29">
        <v>41858</v>
      </c>
      <c r="E26" s="28" t="s">
        <v>410</v>
      </c>
      <c r="F26" s="18" t="s">
        <v>410</v>
      </c>
      <c r="G26" s="43" t="s">
        <v>29</v>
      </c>
      <c r="H26" s="104" t="s">
        <v>372</v>
      </c>
      <c r="I26" s="17">
        <v>41851</v>
      </c>
      <c r="J26" s="294">
        <f>I26-C16</f>
        <v>21</v>
      </c>
      <c r="K26" s="268"/>
      <c r="L26" s="294">
        <f>I26-D16</f>
        <v>19</v>
      </c>
      <c r="M26" s="268"/>
      <c r="N26" s="294">
        <f>I26-E16</f>
        <v>18</v>
      </c>
      <c r="O26" s="272"/>
      <c r="P26" s="278" t="s">
        <v>29</v>
      </c>
      <c r="Q26" s="267"/>
      <c r="R26" s="307"/>
      <c r="S26" s="307"/>
      <c r="T26" s="307"/>
      <c r="U26" s="307"/>
      <c r="V26" s="307"/>
      <c r="W26" s="307"/>
      <c r="X26" s="307"/>
      <c r="Y26" s="307"/>
      <c r="Z26" s="307"/>
    </row>
    <row r="27" spans="1:26" ht="15.75" customHeight="1" x14ac:dyDescent="0.2">
      <c r="A27" s="316" t="s">
        <v>87</v>
      </c>
      <c r="B27" s="317"/>
      <c r="C27" s="28" t="s">
        <v>410</v>
      </c>
      <c r="D27" s="28">
        <f>D26-D16</f>
        <v>26</v>
      </c>
      <c r="E27" s="28" t="s">
        <v>410</v>
      </c>
      <c r="F27" s="18" t="s">
        <v>29</v>
      </c>
      <c r="G27" s="43" t="s">
        <v>29</v>
      </c>
      <c r="H27" s="103" t="s">
        <v>373</v>
      </c>
      <c r="I27" s="102">
        <v>41851</v>
      </c>
      <c r="J27" s="291">
        <v>754</v>
      </c>
      <c r="K27" s="268"/>
      <c r="L27" s="290">
        <v>451</v>
      </c>
      <c r="M27" s="268"/>
      <c r="N27" s="320">
        <v>475</v>
      </c>
      <c r="O27" s="272"/>
      <c r="P27" s="278" t="s">
        <v>29</v>
      </c>
      <c r="Q27" s="267"/>
      <c r="R27" s="506"/>
      <c r="S27" s="506"/>
      <c r="T27" s="506"/>
      <c r="U27" s="506"/>
      <c r="V27" s="506"/>
      <c r="W27" s="506"/>
      <c r="X27" s="506"/>
      <c r="Y27" s="506"/>
      <c r="Z27" s="506"/>
    </row>
    <row r="28" spans="1:26" ht="15.75" customHeight="1" x14ac:dyDescent="0.2">
      <c r="A28" s="61"/>
      <c r="B28" s="7"/>
      <c r="C28" s="4"/>
      <c r="D28" s="4"/>
      <c r="E28" s="4"/>
      <c r="F28" s="4"/>
      <c r="G28" s="4"/>
      <c r="H28" s="103" t="s">
        <v>374</v>
      </c>
      <c r="I28" s="102">
        <v>41851</v>
      </c>
      <c r="J28" s="322" t="s">
        <v>29</v>
      </c>
      <c r="K28" s="272"/>
      <c r="L28" s="322" t="s">
        <v>29</v>
      </c>
      <c r="M28" s="272"/>
      <c r="N28" s="431" t="s">
        <v>369</v>
      </c>
      <c r="O28" s="272"/>
      <c r="P28" s="309" t="s">
        <v>29</v>
      </c>
      <c r="Q28" s="261"/>
      <c r="R28" s="53"/>
      <c r="S28" s="30"/>
      <c r="T28" s="4"/>
      <c r="U28" s="4"/>
      <c r="V28" s="4"/>
      <c r="W28" s="26"/>
      <c r="X28" s="4"/>
      <c r="Y28" s="4"/>
      <c r="Z28" s="4"/>
    </row>
    <row r="29" spans="1:26" ht="18" customHeight="1" x14ac:dyDescent="0.2">
      <c r="H29" s="48" t="s">
        <v>67</v>
      </c>
      <c r="I29" s="10"/>
      <c r="J29" s="322" t="s">
        <v>29</v>
      </c>
      <c r="K29" s="272"/>
      <c r="L29" s="322" t="s">
        <v>29</v>
      </c>
      <c r="M29" s="272"/>
      <c r="N29" s="322" t="s">
        <v>29</v>
      </c>
      <c r="O29" s="272"/>
      <c r="P29" s="297" t="s">
        <v>29</v>
      </c>
      <c r="Q29" s="261"/>
    </row>
    <row r="30" spans="1:26" ht="18" customHeight="1" x14ac:dyDescent="0.2">
      <c r="H30" s="48" t="s">
        <v>68</v>
      </c>
      <c r="I30" s="10"/>
      <c r="J30" s="286" t="s">
        <v>29</v>
      </c>
      <c r="K30" s="268"/>
      <c r="L30" s="321" t="s">
        <v>29</v>
      </c>
      <c r="M30" s="268"/>
      <c r="N30" s="322" t="s">
        <v>29</v>
      </c>
      <c r="O30" s="272"/>
      <c r="P30" s="297" t="s">
        <v>29</v>
      </c>
      <c r="Q30" s="261"/>
    </row>
    <row r="31" spans="1:26" ht="18" customHeight="1" x14ac:dyDescent="0.2">
      <c r="H31" s="104" t="s">
        <v>414</v>
      </c>
      <c r="I31" s="17">
        <v>41856</v>
      </c>
      <c r="J31" s="294">
        <f>I31-C16</f>
        <v>26</v>
      </c>
      <c r="K31" s="268"/>
      <c r="L31" s="294">
        <f>I31-D16</f>
        <v>24</v>
      </c>
      <c r="M31" s="268"/>
      <c r="N31" s="294">
        <f>I31-E16</f>
        <v>23</v>
      </c>
      <c r="O31" s="272"/>
      <c r="P31" s="278" t="s">
        <v>29</v>
      </c>
      <c r="Q31" s="267"/>
    </row>
    <row r="32" spans="1:26" ht="18" customHeight="1" x14ac:dyDescent="0.2">
      <c r="H32" s="103" t="s">
        <v>415</v>
      </c>
      <c r="I32" s="102">
        <v>41856</v>
      </c>
      <c r="J32" s="291">
        <v>849</v>
      </c>
      <c r="K32" s="268"/>
      <c r="L32" s="290">
        <v>474</v>
      </c>
      <c r="M32" s="268"/>
      <c r="N32" s="320">
        <v>579</v>
      </c>
      <c r="O32" s="272"/>
      <c r="P32" s="309" t="s">
        <v>29</v>
      </c>
      <c r="Q32" s="261"/>
    </row>
    <row r="33" spans="8:17" ht="18" customHeight="1" x14ac:dyDescent="0.2">
      <c r="H33" s="103" t="s">
        <v>451</v>
      </c>
      <c r="I33" s="102">
        <v>41856</v>
      </c>
      <c r="J33" s="429" t="s">
        <v>369</v>
      </c>
      <c r="K33" s="268"/>
      <c r="L33" s="429" t="s">
        <v>369</v>
      </c>
      <c r="M33" s="268"/>
      <c r="N33" s="429" t="s">
        <v>369</v>
      </c>
      <c r="O33" s="268"/>
      <c r="P33" s="297" t="s">
        <v>29</v>
      </c>
      <c r="Q33" s="261"/>
    </row>
    <row r="34" spans="8:17" ht="18" customHeight="1" x14ac:dyDescent="0.2">
      <c r="H34" s="48" t="s">
        <v>67</v>
      </c>
      <c r="I34" s="10"/>
      <c r="J34" s="286" t="s">
        <v>29</v>
      </c>
      <c r="K34" s="268"/>
      <c r="L34" s="321" t="s">
        <v>29</v>
      </c>
      <c r="M34" s="268"/>
      <c r="N34" s="322" t="s">
        <v>29</v>
      </c>
      <c r="O34" s="272"/>
      <c r="P34" s="297" t="s">
        <v>29</v>
      </c>
      <c r="Q34" s="261"/>
    </row>
    <row r="35" spans="8:17" ht="18" customHeight="1" x14ac:dyDescent="0.2">
      <c r="H35" s="48" t="s">
        <v>68</v>
      </c>
      <c r="I35" s="10"/>
      <c r="J35" s="286" t="s">
        <v>29</v>
      </c>
      <c r="K35" s="268"/>
      <c r="L35" s="321" t="s">
        <v>29</v>
      </c>
      <c r="M35" s="268"/>
      <c r="N35" s="322" t="s">
        <v>29</v>
      </c>
      <c r="O35" s="272"/>
      <c r="P35" s="297" t="s">
        <v>29</v>
      </c>
      <c r="Q35" s="261"/>
    </row>
    <row r="36" spans="8:17" ht="18" customHeight="1" x14ac:dyDescent="0.2">
      <c r="H36" s="104" t="s">
        <v>414</v>
      </c>
      <c r="I36" s="17">
        <v>41861</v>
      </c>
      <c r="J36" s="294">
        <f>I36-C16</f>
        <v>31</v>
      </c>
      <c r="K36" s="268"/>
      <c r="L36" s="294" t="s">
        <v>410</v>
      </c>
      <c r="M36" s="268"/>
      <c r="N36" s="294">
        <f>I36-E16</f>
        <v>28</v>
      </c>
      <c r="O36" s="272"/>
      <c r="P36" s="278" t="s">
        <v>29</v>
      </c>
      <c r="Q36" s="267"/>
    </row>
    <row r="37" spans="8:17" ht="18" customHeight="1" x14ac:dyDescent="0.2">
      <c r="H37" s="103" t="s">
        <v>415</v>
      </c>
      <c r="I37" s="17">
        <v>41861</v>
      </c>
      <c r="J37" s="291">
        <v>942</v>
      </c>
      <c r="K37" s="268"/>
      <c r="L37" s="430" t="s">
        <v>410</v>
      </c>
      <c r="M37" s="268"/>
      <c r="N37" s="320">
        <v>614</v>
      </c>
      <c r="O37" s="272"/>
      <c r="P37" s="309" t="s">
        <v>29</v>
      </c>
      <c r="Q37" s="261"/>
    </row>
    <row r="38" spans="8:17" ht="18" customHeight="1" x14ac:dyDescent="0.2">
      <c r="H38" s="103" t="s">
        <v>451</v>
      </c>
      <c r="I38" s="10"/>
      <c r="J38" s="286" t="s">
        <v>29</v>
      </c>
      <c r="K38" s="268"/>
      <c r="L38" s="321" t="s">
        <v>29</v>
      </c>
      <c r="M38" s="268"/>
      <c r="N38" s="322" t="s">
        <v>29</v>
      </c>
      <c r="O38" s="272"/>
      <c r="P38" s="297" t="s">
        <v>29</v>
      </c>
      <c r="Q38" s="261"/>
    </row>
    <row r="39" spans="8:17" ht="18" customHeight="1" x14ac:dyDescent="0.2">
      <c r="H39" s="48" t="s">
        <v>67</v>
      </c>
      <c r="I39" s="10"/>
      <c r="J39" s="286" t="s">
        <v>29</v>
      </c>
      <c r="K39" s="268"/>
      <c r="L39" s="321" t="s">
        <v>29</v>
      </c>
      <c r="M39" s="268"/>
      <c r="N39" s="322" t="s">
        <v>29</v>
      </c>
      <c r="O39" s="272"/>
      <c r="P39" s="297" t="s">
        <v>29</v>
      </c>
      <c r="Q39" s="261"/>
    </row>
    <row r="40" spans="8:17" ht="18" customHeight="1" x14ac:dyDescent="0.2">
      <c r="H40" s="48" t="s">
        <v>68</v>
      </c>
      <c r="I40" s="10"/>
      <c r="J40" s="286" t="s">
        <v>29</v>
      </c>
      <c r="K40" s="268"/>
      <c r="L40" s="321" t="s">
        <v>29</v>
      </c>
      <c r="M40" s="268"/>
      <c r="N40" s="322" t="s">
        <v>29</v>
      </c>
      <c r="O40" s="272"/>
      <c r="P40" s="297" t="s">
        <v>29</v>
      </c>
      <c r="Q40" s="261"/>
    </row>
  </sheetData>
  <mergeCells count="180">
    <mergeCell ref="J40:K40"/>
    <mergeCell ref="L40:M40"/>
    <mergeCell ref="N40:O40"/>
    <mergeCell ref="P40:Q40"/>
    <mergeCell ref="J15:K15"/>
    <mergeCell ref="L15:M15"/>
    <mergeCell ref="N15:O15"/>
    <mergeCell ref="P15:Q15"/>
    <mergeCell ref="R15:Z27"/>
    <mergeCell ref="J16:K16"/>
    <mergeCell ref="L16:M16"/>
    <mergeCell ref="N16:O16"/>
    <mergeCell ref="P16:Q16"/>
    <mergeCell ref="J28:K28"/>
    <mergeCell ref="L28:M28"/>
    <mergeCell ref="N28:O28"/>
    <mergeCell ref="P28:Q28"/>
    <mergeCell ref="J29:K29"/>
    <mergeCell ref="L29:M29"/>
    <mergeCell ref="N29:O29"/>
    <mergeCell ref="P29:Q29"/>
    <mergeCell ref="J30:K30"/>
    <mergeCell ref="L30:M30"/>
    <mergeCell ref="N30:O30"/>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 ref="P30:Q30"/>
    <mergeCell ref="J34:K34"/>
    <mergeCell ref="L34:M34"/>
    <mergeCell ref="N34:O34"/>
    <mergeCell ref="P34:Q34"/>
    <mergeCell ref="J35:K35"/>
    <mergeCell ref="L35:M35"/>
    <mergeCell ref="N35:O35"/>
    <mergeCell ref="P35:Q35"/>
    <mergeCell ref="J31:K31"/>
    <mergeCell ref="L31:M31"/>
    <mergeCell ref="N31:O31"/>
    <mergeCell ref="P31:Q31"/>
    <mergeCell ref="J32:K32"/>
    <mergeCell ref="L32:M32"/>
    <mergeCell ref="N32:O32"/>
    <mergeCell ref="P32:Q32"/>
    <mergeCell ref="J33:K33"/>
    <mergeCell ref="L33:M33"/>
    <mergeCell ref="N33:O33"/>
    <mergeCell ref="P33:Q33"/>
    <mergeCell ref="J39:K39"/>
    <mergeCell ref="L39:M39"/>
    <mergeCell ref="N39:O39"/>
    <mergeCell ref="P39:Q39"/>
    <mergeCell ref="J36:K36"/>
    <mergeCell ref="L36:M36"/>
    <mergeCell ref="N36:O36"/>
    <mergeCell ref="P36:Q36"/>
    <mergeCell ref="J37:K37"/>
    <mergeCell ref="L37:M37"/>
    <mergeCell ref="N37:O37"/>
    <mergeCell ref="P37:Q37"/>
    <mergeCell ref="J38:K38"/>
    <mergeCell ref="L38:M38"/>
    <mergeCell ref="N38:O38"/>
    <mergeCell ref="P38:Q38"/>
  </mergeCells>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80</v>
      </c>
      <c r="G1" s="241" t="s">
        <v>3</v>
      </c>
      <c r="H1" s="235" t="s">
        <v>4</v>
      </c>
      <c r="I1" s="329" t="s">
        <v>5</v>
      </c>
      <c r="J1" s="261"/>
      <c r="K1" s="262" t="s">
        <v>334</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144">
        <v>41804</v>
      </c>
      <c r="C3" s="71" t="s">
        <v>29</v>
      </c>
      <c r="D3" s="71" t="s">
        <v>29</v>
      </c>
      <c r="E3" s="71" t="s">
        <v>260</v>
      </c>
      <c r="F3" s="71" t="s">
        <v>260</v>
      </c>
      <c r="G3" s="71" t="s">
        <v>227</v>
      </c>
      <c r="H3" s="71" t="s">
        <v>212</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D3" s="69" t="s">
        <v>205</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144">
        <v>41804</v>
      </c>
      <c r="C5" s="71" t="s">
        <v>29</v>
      </c>
      <c r="D5" s="71" t="s">
        <v>29</v>
      </c>
      <c r="E5" s="71" t="s">
        <v>235</v>
      </c>
      <c r="F5" s="71" t="s">
        <v>235</v>
      </c>
      <c r="G5" s="71" t="s">
        <v>227</v>
      </c>
      <c r="H5" s="71" t="s">
        <v>212</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c r="AD5" s="69" t="s">
        <v>205</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t="s">
        <v>260</v>
      </c>
      <c r="D7" s="155" t="s">
        <v>260</v>
      </c>
      <c r="E7" s="155" t="s">
        <v>260</v>
      </c>
      <c r="F7" s="155" t="s">
        <v>260</v>
      </c>
      <c r="G7" s="156" t="e">
        <f>AVERAGE(C7:F7)</f>
        <v>#DIV/0!</v>
      </c>
      <c r="H7" s="157" t="s">
        <v>46</v>
      </c>
      <c r="I7" s="158"/>
      <c r="J7" s="276" t="s">
        <v>354</v>
      </c>
      <c r="K7" s="267"/>
      <c r="L7" s="346" t="s">
        <v>355</v>
      </c>
      <c r="M7" s="267"/>
      <c r="N7" s="346" t="s">
        <v>356</v>
      </c>
      <c r="O7" s="267"/>
      <c r="P7" s="347" t="s">
        <v>357</v>
      </c>
      <c r="Q7" s="267"/>
      <c r="R7" s="159" t="s">
        <v>47</v>
      </c>
      <c r="S7" s="160"/>
      <c r="T7" s="237">
        <v>4</v>
      </c>
      <c r="U7" s="348" t="s">
        <v>48</v>
      </c>
      <c r="V7" s="348"/>
      <c r="W7" s="348"/>
      <c r="X7" s="349" t="s">
        <v>195</v>
      </c>
      <c r="Y7" s="350"/>
      <c r="Z7" s="351"/>
    </row>
    <row r="8" spans="1:30" ht="15.75" customHeight="1" x14ac:dyDescent="0.2">
      <c r="A8" s="161" t="s">
        <v>49</v>
      </c>
      <c r="B8" s="142" t="s">
        <v>29</v>
      </c>
      <c r="C8" s="142" t="s">
        <v>29</v>
      </c>
      <c r="D8" s="142" t="s">
        <v>29</v>
      </c>
      <c r="E8" s="142" t="s">
        <v>29</v>
      </c>
      <c r="F8" s="142" t="s">
        <v>29</v>
      </c>
      <c r="G8" s="239"/>
      <c r="H8" s="157" t="s">
        <v>50</v>
      </c>
      <c r="I8" s="163">
        <v>41842</v>
      </c>
      <c r="J8" s="341">
        <f>IF(((I8-C16)&gt;0),(I8-C16),"/")</f>
        <v>41842</v>
      </c>
      <c r="K8" s="336"/>
      <c r="L8" s="341">
        <f>IF(((I8-D16)&gt;0),(I8-D16),"/")</f>
        <v>41842</v>
      </c>
      <c r="M8" s="336"/>
      <c r="N8" s="341">
        <f>IF(((I8-E16)&gt;0),(I8-E16),"/")</f>
        <v>41842</v>
      </c>
      <c r="O8" s="336"/>
      <c r="P8" s="341">
        <f>IF(((I8-F16)&gt;0),(I8-F16),"/")</f>
        <v>41842</v>
      </c>
      <c r="Q8" s="336"/>
      <c r="R8" s="164" t="s">
        <v>51</v>
      </c>
      <c r="S8" s="165"/>
      <c r="T8" s="237">
        <v>0</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66">
        <v>41842</v>
      </c>
      <c r="J9" s="355">
        <v>325</v>
      </c>
      <c r="K9" s="336"/>
      <c r="L9" s="356">
        <v>295</v>
      </c>
      <c r="M9" s="336"/>
      <c r="N9" s="356">
        <v>277</v>
      </c>
      <c r="O9" s="336"/>
      <c r="P9" s="357">
        <v>235</v>
      </c>
      <c r="Q9" s="336"/>
      <c r="R9" s="164" t="s">
        <v>54</v>
      </c>
      <c r="S9" s="165"/>
      <c r="T9" s="237">
        <v>4</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v>1</v>
      </c>
      <c r="U10" s="342" t="s">
        <v>58</v>
      </c>
      <c r="V10" s="342"/>
      <c r="W10" s="342"/>
      <c r="X10" s="343">
        <v>25</v>
      </c>
      <c r="Y10" s="344"/>
      <c r="Z10" s="345"/>
    </row>
    <row r="11" spans="1:30" ht="15" customHeight="1" x14ac:dyDescent="0.2">
      <c r="A11" s="161" t="s">
        <v>49</v>
      </c>
      <c r="B11" s="142" t="s">
        <v>29</v>
      </c>
      <c r="C11" s="142" t="s">
        <v>29</v>
      </c>
      <c r="D11" s="142" t="s">
        <v>29</v>
      </c>
      <c r="E11" s="142" t="s">
        <v>29</v>
      </c>
      <c r="F11" s="142" t="s">
        <v>29</v>
      </c>
      <c r="G11" s="239"/>
      <c r="H11" s="157" t="s">
        <v>59</v>
      </c>
      <c r="I11" s="163">
        <v>42227</v>
      </c>
      <c r="J11" s="341">
        <f>I11-C16</f>
        <v>42227</v>
      </c>
      <c r="K11" s="336"/>
      <c r="L11" s="341">
        <f>I11-D16</f>
        <v>42227</v>
      </c>
      <c r="M11" s="336"/>
      <c r="N11" s="341">
        <f>I11-E16</f>
        <v>42227</v>
      </c>
      <c r="O11" s="336"/>
      <c r="P11" s="362">
        <f>I11-F16</f>
        <v>42227</v>
      </c>
      <c r="Q11" s="336"/>
      <c r="R11" s="164" t="s">
        <v>60</v>
      </c>
      <c r="S11" s="165"/>
      <c r="T11" s="237">
        <v>3</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v>481</v>
      </c>
      <c r="M12" s="336"/>
      <c r="N12" s="356" t="s">
        <v>29</v>
      </c>
      <c r="O12" s="336"/>
      <c r="P12" s="357" t="s">
        <v>29</v>
      </c>
      <c r="Q12" s="336"/>
      <c r="R12" s="164" t="s">
        <v>63</v>
      </c>
      <c r="S12" s="165"/>
      <c r="T12" s="168">
        <v>1</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487</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t="e">
        <f>C16-C7</f>
        <v>#VALUE!</v>
      </c>
      <c r="D17" s="172" t="e">
        <f>D16-D7</f>
        <v>#VALUE!</v>
      </c>
      <c r="E17" s="172" t="e">
        <f>E16-E7</f>
        <v>#VALUE!</v>
      </c>
      <c r="F17" s="172" t="e">
        <f>F16-F7</f>
        <v>#VALUE!</v>
      </c>
      <c r="G17" s="173" t="e">
        <f>AVERAGE(C17:E17)</f>
        <v>#VALUE!</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431</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355</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177">
        <v>42227</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v>220612788</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447</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81</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187</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82</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83</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232</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84</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401</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1"/>
  <sheetViews>
    <sheetView topLeftCell="A3"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130">
        <v>2014</v>
      </c>
      <c r="C1" s="132" t="s">
        <v>1</v>
      </c>
      <c r="D1" s="130"/>
      <c r="E1" s="132" t="s">
        <v>2</v>
      </c>
      <c r="F1" s="130">
        <v>85</v>
      </c>
      <c r="G1" s="134" t="s">
        <v>3</v>
      </c>
      <c r="H1" s="130" t="s">
        <v>4</v>
      </c>
      <c r="I1" s="329" t="s">
        <v>5</v>
      </c>
      <c r="J1" s="261"/>
      <c r="K1" s="330" t="s">
        <v>335</v>
      </c>
      <c r="L1" s="382"/>
      <c r="M1" s="382"/>
      <c r="N1" s="382"/>
      <c r="O1" s="383"/>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103</v>
      </c>
      <c r="B3" s="144">
        <v>41802</v>
      </c>
      <c r="C3" s="71" t="s">
        <v>29</v>
      </c>
      <c r="D3" s="71" t="s">
        <v>29</v>
      </c>
      <c r="E3" s="71" t="s">
        <v>235</v>
      </c>
      <c r="F3" s="71" t="s">
        <v>235</v>
      </c>
      <c r="G3" s="71" t="s">
        <v>227</v>
      </c>
      <c r="H3" s="71" t="s">
        <v>228</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D3" s="69" t="s">
        <v>205</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103</v>
      </c>
      <c r="B5" s="144">
        <v>41802</v>
      </c>
      <c r="C5" s="71" t="s">
        <v>29</v>
      </c>
      <c r="D5" s="71" t="s">
        <v>29</v>
      </c>
      <c r="E5" s="71" t="s">
        <v>235</v>
      </c>
      <c r="F5" s="71" t="s">
        <v>235</v>
      </c>
      <c r="G5" s="71" t="s">
        <v>227</v>
      </c>
      <c r="H5" s="71" t="s">
        <v>228</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c r="AD5" s="69" t="s">
        <v>205</v>
      </c>
    </row>
    <row r="6" spans="1:30" ht="16.5" customHeight="1" x14ac:dyDescent="0.2">
      <c r="A6" s="149" t="s">
        <v>33</v>
      </c>
      <c r="B6" s="139" t="s">
        <v>9</v>
      </c>
      <c r="C6" s="170" t="s">
        <v>34</v>
      </c>
      <c r="D6" s="170" t="s">
        <v>35</v>
      </c>
      <c r="E6" s="170" t="s">
        <v>36</v>
      </c>
      <c r="F6" s="170" t="s">
        <v>37</v>
      </c>
      <c r="G6" s="170" t="s">
        <v>38</v>
      </c>
      <c r="H6" s="190" t="s">
        <v>39</v>
      </c>
      <c r="I6" s="184"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v>41798</v>
      </c>
      <c r="D7" s="155">
        <v>41800</v>
      </c>
      <c r="E7" s="155">
        <v>41802</v>
      </c>
      <c r="F7" s="155">
        <v>41804</v>
      </c>
      <c r="G7" s="156">
        <f>AVERAGE(C7:F7)</f>
        <v>41801</v>
      </c>
      <c r="H7" s="157" t="s">
        <v>46</v>
      </c>
      <c r="I7" s="158"/>
      <c r="J7" s="276" t="s">
        <v>360</v>
      </c>
      <c r="K7" s="267"/>
      <c r="L7" s="346" t="s">
        <v>361</v>
      </c>
      <c r="M7" s="267"/>
      <c r="N7" s="346" t="s">
        <v>364</v>
      </c>
      <c r="O7" s="267"/>
      <c r="P7" s="347" t="s">
        <v>389</v>
      </c>
      <c r="Q7" s="267"/>
      <c r="R7" s="159" t="s">
        <v>47</v>
      </c>
      <c r="S7" s="160"/>
      <c r="T7" s="174">
        <v>4</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170"/>
      <c r="H8" s="157" t="s">
        <v>50</v>
      </c>
      <c r="I8" s="163">
        <v>41833</v>
      </c>
      <c r="J8" s="341">
        <v>0</v>
      </c>
      <c r="K8" s="336"/>
      <c r="L8" s="341">
        <v>0</v>
      </c>
      <c r="M8" s="336"/>
      <c r="N8" s="341">
        <v>0</v>
      </c>
      <c r="O8" s="336"/>
      <c r="P8" s="341" t="str">
        <f>IF(((I8-F16)&gt;0),(I8-F16),"/")</f>
        <v>/</v>
      </c>
      <c r="Q8" s="336"/>
      <c r="R8" s="164" t="s">
        <v>51</v>
      </c>
      <c r="S8" s="165"/>
      <c r="T8" s="174">
        <v>0</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170"/>
      <c r="H9" s="157" t="s">
        <v>53</v>
      </c>
      <c r="I9" s="166">
        <v>41833</v>
      </c>
      <c r="J9" s="355">
        <v>35</v>
      </c>
      <c r="K9" s="336"/>
      <c r="L9" s="356">
        <v>33</v>
      </c>
      <c r="M9" s="336"/>
      <c r="N9" s="356">
        <v>32</v>
      </c>
      <c r="O9" s="336"/>
      <c r="P9" s="357">
        <v>0</v>
      </c>
      <c r="Q9" s="336"/>
      <c r="R9" s="164" t="s">
        <v>54</v>
      </c>
      <c r="S9" s="165"/>
      <c r="T9" s="174">
        <v>4</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170"/>
      <c r="H10" s="157" t="s">
        <v>56</v>
      </c>
      <c r="I10" s="167"/>
      <c r="J10" s="352" t="s">
        <v>29</v>
      </c>
      <c r="K10" s="336"/>
      <c r="L10" s="353" t="s">
        <v>29</v>
      </c>
      <c r="M10" s="336"/>
      <c r="N10" s="353" t="s">
        <v>29</v>
      </c>
      <c r="O10" s="336"/>
      <c r="P10" s="354" t="s">
        <v>29</v>
      </c>
      <c r="Q10" s="336"/>
      <c r="R10" s="164" t="s">
        <v>57</v>
      </c>
      <c r="S10" s="165"/>
      <c r="T10" s="174">
        <v>3</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170"/>
      <c r="H11" s="157" t="s">
        <v>59</v>
      </c>
      <c r="I11" s="166">
        <v>41838</v>
      </c>
      <c r="J11" s="341">
        <f>I11-C16</f>
        <v>5</v>
      </c>
      <c r="K11" s="336"/>
      <c r="L11" s="341">
        <v>5</v>
      </c>
      <c r="M11" s="336"/>
      <c r="N11" s="341">
        <v>5</v>
      </c>
      <c r="O11" s="336"/>
      <c r="P11" s="362">
        <v>2</v>
      </c>
      <c r="Q11" s="336"/>
      <c r="R11" s="164" t="s">
        <v>60</v>
      </c>
      <c r="S11" s="165"/>
      <c r="T11" s="174">
        <v>3</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170"/>
      <c r="H12" s="157" t="s">
        <v>62</v>
      </c>
      <c r="I12" s="166">
        <v>41838</v>
      </c>
      <c r="J12" s="355">
        <v>97</v>
      </c>
      <c r="K12" s="336"/>
      <c r="L12" s="356">
        <v>108</v>
      </c>
      <c r="M12" s="336"/>
      <c r="N12" s="356">
        <v>89</v>
      </c>
      <c r="O12" s="336"/>
      <c r="P12" s="357">
        <v>37</v>
      </c>
      <c r="Q12" s="336"/>
      <c r="R12" s="164" t="s">
        <v>63</v>
      </c>
      <c r="S12" s="165"/>
      <c r="T12" s="168">
        <v>1</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170"/>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170"/>
      <c r="H14" s="157" t="s">
        <v>67</v>
      </c>
      <c r="I14" s="167"/>
      <c r="J14" s="352" t="s">
        <v>29</v>
      </c>
      <c r="K14" s="336"/>
      <c r="L14" s="353" t="s">
        <v>29</v>
      </c>
      <c r="M14" s="336"/>
      <c r="N14" s="353" t="s">
        <v>29</v>
      </c>
      <c r="O14" s="336"/>
      <c r="P14" s="354" t="s">
        <v>29</v>
      </c>
      <c r="Q14" s="272"/>
      <c r="R14" s="329"/>
      <c r="S14" s="329"/>
      <c r="T14" s="329"/>
      <c r="U14" s="329"/>
      <c r="V14" s="329"/>
      <c r="W14" s="329"/>
      <c r="X14" s="329"/>
      <c r="Y14" s="329"/>
      <c r="Z14" s="381"/>
    </row>
    <row r="15" spans="1:30" ht="15.75" customHeight="1" x14ac:dyDescent="0.2">
      <c r="A15" s="161" t="s">
        <v>49</v>
      </c>
      <c r="B15" s="142" t="s">
        <v>29</v>
      </c>
      <c r="C15" s="142" t="s">
        <v>29</v>
      </c>
      <c r="D15" s="142" t="s">
        <v>29</v>
      </c>
      <c r="E15" s="142" t="s">
        <v>29</v>
      </c>
      <c r="F15" s="142" t="s">
        <v>29</v>
      </c>
      <c r="G15" s="170"/>
      <c r="H15" s="157" t="s">
        <v>68</v>
      </c>
      <c r="I15" s="167"/>
      <c r="J15" s="352" t="s">
        <v>29</v>
      </c>
      <c r="K15" s="336"/>
      <c r="L15" s="353" t="s">
        <v>29</v>
      </c>
      <c r="M15" s="336"/>
      <c r="N15" s="353" t="s">
        <v>29</v>
      </c>
      <c r="O15" s="336"/>
      <c r="P15" s="363" t="s">
        <v>29</v>
      </c>
      <c r="Q15" s="293"/>
      <c r="R15" s="305" t="s">
        <v>453</v>
      </c>
      <c r="S15" s="305"/>
      <c r="T15" s="305"/>
      <c r="U15" s="305"/>
      <c r="V15" s="305"/>
      <c r="W15" s="305"/>
      <c r="X15" s="305"/>
      <c r="Y15" s="305"/>
      <c r="Z15" s="305"/>
    </row>
    <row r="16" spans="1:30" ht="15.75" customHeight="1" x14ac:dyDescent="0.2">
      <c r="A16" s="171" t="s">
        <v>69</v>
      </c>
      <c r="B16" s="142"/>
      <c r="C16" s="155">
        <v>41833</v>
      </c>
      <c r="D16" s="155">
        <v>41833</v>
      </c>
      <c r="E16" s="155">
        <v>41833</v>
      </c>
      <c r="F16" s="155">
        <v>41836</v>
      </c>
      <c r="G16" s="156">
        <f>AVERAGE(C16:F16)</f>
        <v>41833.75</v>
      </c>
      <c r="H16" s="157" t="s">
        <v>70</v>
      </c>
      <c r="I16" s="166">
        <v>41843</v>
      </c>
      <c r="J16" s="364">
        <v>10</v>
      </c>
      <c r="K16" s="336"/>
      <c r="L16" s="364">
        <v>10</v>
      </c>
      <c r="M16" s="336"/>
      <c r="N16" s="364">
        <v>10</v>
      </c>
      <c r="O16" s="272"/>
      <c r="P16" s="365">
        <v>7</v>
      </c>
      <c r="Q16" s="261"/>
      <c r="R16" s="307"/>
      <c r="S16" s="307"/>
      <c r="T16" s="307"/>
      <c r="U16" s="307"/>
      <c r="V16" s="307"/>
      <c r="W16" s="307"/>
      <c r="X16" s="307"/>
      <c r="Y16" s="307"/>
      <c r="Z16" s="307"/>
    </row>
    <row r="17" spans="1:26" ht="15.75" customHeight="1" x14ac:dyDescent="0.2">
      <c r="A17" s="338" t="s">
        <v>71</v>
      </c>
      <c r="B17" s="368"/>
      <c r="C17" s="172">
        <f>C16-C7</f>
        <v>35</v>
      </c>
      <c r="D17" s="172">
        <f>D16-D7</f>
        <v>33</v>
      </c>
      <c r="E17" s="172">
        <f>E16-E7</f>
        <v>31</v>
      </c>
      <c r="F17" s="172">
        <f>F16-F7</f>
        <v>32</v>
      </c>
      <c r="G17" s="173">
        <f>AVERAGE(C17:E17)</f>
        <v>33</v>
      </c>
      <c r="H17" s="157" t="s">
        <v>72</v>
      </c>
      <c r="I17" s="166">
        <v>41843</v>
      </c>
      <c r="J17" s="357">
        <v>274</v>
      </c>
      <c r="K17" s="336"/>
      <c r="L17" s="356">
        <v>263</v>
      </c>
      <c r="M17" s="336"/>
      <c r="N17" s="366">
        <v>234</v>
      </c>
      <c r="O17" s="272"/>
      <c r="P17" s="367">
        <v>52</v>
      </c>
      <c r="Q17" s="261"/>
      <c r="R17" s="307"/>
      <c r="S17" s="307"/>
      <c r="T17" s="307"/>
      <c r="U17" s="307"/>
      <c r="V17" s="307"/>
      <c r="W17" s="307"/>
      <c r="X17" s="307"/>
      <c r="Y17" s="307"/>
      <c r="Z17" s="307"/>
    </row>
    <row r="18" spans="1:26"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7"/>
    </row>
    <row r="19" spans="1:26"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7"/>
    </row>
    <row r="20" spans="1:26" ht="15.75" customHeight="1" x14ac:dyDescent="0.2">
      <c r="A20" s="372" t="s">
        <v>79</v>
      </c>
      <c r="B20" s="373"/>
      <c r="C20" s="122" t="s">
        <v>432</v>
      </c>
      <c r="D20" s="122" t="s">
        <v>452</v>
      </c>
      <c r="E20" s="122" t="s">
        <v>452</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7"/>
    </row>
    <row r="21" spans="1:26" ht="15.75" customHeight="1" x14ac:dyDescent="0.2">
      <c r="A21" s="372" t="s">
        <v>46</v>
      </c>
      <c r="B21" s="373"/>
      <c r="C21" s="71" t="s">
        <v>354</v>
      </c>
      <c r="D21" s="71" t="s">
        <v>355</v>
      </c>
      <c r="E21" s="71" t="s">
        <v>356</v>
      </c>
      <c r="F21" s="71" t="s">
        <v>407</v>
      </c>
      <c r="G21" s="71" t="s">
        <v>29</v>
      </c>
      <c r="H21" s="176" t="s">
        <v>80</v>
      </c>
      <c r="I21" s="166">
        <v>41848</v>
      </c>
      <c r="J21" s="364">
        <v>15</v>
      </c>
      <c r="K21" s="336"/>
      <c r="L21" s="364">
        <v>15</v>
      </c>
      <c r="M21" s="336"/>
      <c r="N21" s="364">
        <v>15</v>
      </c>
      <c r="O21" s="272"/>
      <c r="P21" s="365" t="s">
        <v>410</v>
      </c>
      <c r="Q21" s="261"/>
      <c r="R21" s="307"/>
      <c r="S21" s="307"/>
      <c r="T21" s="307"/>
      <c r="U21" s="307"/>
      <c r="V21" s="307"/>
      <c r="W21" s="307"/>
      <c r="X21" s="307"/>
      <c r="Y21" s="307"/>
      <c r="Z21" s="307"/>
    </row>
    <row r="22" spans="1:26" ht="15.75" customHeight="1" x14ac:dyDescent="0.2">
      <c r="A22" s="372" t="s">
        <v>81</v>
      </c>
      <c r="B22" s="373"/>
      <c r="C22" s="177">
        <v>41859</v>
      </c>
      <c r="D22" s="177">
        <v>41859</v>
      </c>
      <c r="E22" s="177">
        <v>41859</v>
      </c>
      <c r="F22" s="71" t="s">
        <v>407</v>
      </c>
      <c r="G22" s="174" t="s">
        <v>29</v>
      </c>
      <c r="H22" s="178" t="s">
        <v>82</v>
      </c>
      <c r="I22" s="166">
        <v>41848</v>
      </c>
      <c r="J22" s="357">
        <v>476</v>
      </c>
      <c r="K22" s="336"/>
      <c r="L22" s="356">
        <v>421</v>
      </c>
      <c r="M22" s="336"/>
      <c r="N22" s="366">
        <v>407</v>
      </c>
      <c r="O22" s="272"/>
      <c r="P22" s="367" t="s">
        <v>410</v>
      </c>
      <c r="Q22" s="261"/>
      <c r="R22" s="307"/>
      <c r="S22" s="307"/>
      <c r="T22" s="307"/>
      <c r="U22" s="307"/>
      <c r="V22" s="307"/>
      <c r="W22" s="307"/>
      <c r="X22" s="307"/>
      <c r="Y22" s="307"/>
      <c r="Z22" s="307"/>
    </row>
    <row r="23" spans="1:26" ht="15.75" customHeight="1" x14ac:dyDescent="0.2">
      <c r="A23" s="372" t="s">
        <v>12</v>
      </c>
      <c r="B23" s="373"/>
      <c r="C23" s="71">
        <v>194719218</v>
      </c>
      <c r="D23" s="71">
        <v>220612997</v>
      </c>
      <c r="E23" s="71">
        <v>220612998</v>
      </c>
      <c r="F23" s="71" t="s">
        <v>410</v>
      </c>
      <c r="G23" s="174" t="s">
        <v>29</v>
      </c>
      <c r="H23" s="178" t="s">
        <v>83</v>
      </c>
      <c r="I23" s="166">
        <v>41848</v>
      </c>
      <c r="J23" s="357" t="s">
        <v>369</v>
      </c>
      <c r="K23" s="336"/>
      <c r="L23" s="356" t="s">
        <v>369</v>
      </c>
      <c r="M23" s="336"/>
      <c r="N23" s="366" t="s">
        <v>369</v>
      </c>
      <c r="O23" s="272"/>
      <c r="P23" s="371" t="s">
        <v>29</v>
      </c>
      <c r="Q23" s="261"/>
      <c r="R23" s="307"/>
      <c r="S23" s="307"/>
      <c r="T23" s="307"/>
      <c r="U23" s="307"/>
      <c r="V23" s="307"/>
      <c r="W23" s="307"/>
      <c r="X23" s="307"/>
      <c r="Y23" s="307"/>
      <c r="Z23" s="307"/>
    </row>
    <row r="24" spans="1:26" ht="15.75" customHeight="1" x14ac:dyDescent="0.2">
      <c r="A24" s="372" t="s">
        <v>84</v>
      </c>
      <c r="B24" s="373"/>
      <c r="C24" s="71" t="s">
        <v>410</v>
      </c>
      <c r="D24" s="71" t="s">
        <v>410</v>
      </c>
      <c r="E24" s="71" t="s">
        <v>410</v>
      </c>
      <c r="F24" s="71" t="s">
        <v>410</v>
      </c>
      <c r="G24" s="174"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7"/>
    </row>
    <row r="25" spans="1:26" ht="15.75" customHeight="1" x14ac:dyDescent="0.2">
      <c r="A25" s="372" t="s">
        <v>11</v>
      </c>
      <c r="B25" s="373"/>
      <c r="C25" s="71" t="s">
        <v>398</v>
      </c>
      <c r="D25" s="71" t="s">
        <v>398</v>
      </c>
      <c r="E25" s="71" t="s">
        <v>413</v>
      </c>
      <c r="F25" s="71" t="s">
        <v>410</v>
      </c>
      <c r="G25" s="174"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7"/>
    </row>
    <row r="26" spans="1:26" ht="15.75" customHeight="1" x14ac:dyDescent="0.2">
      <c r="A26" s="374" t="s">
        <v>85</v>
      </c>
      <c r="B26" s="375"/>
      <c r="C26" s="71" t="s">
        <v>410</v>
      </c>
      <c r="D26" s="71" t="s">
        <v>410</v>
      </c>
      <c r="E26" s="71" t="s">
        <v>410</v>
      </c>
      <c r="F26" s="177">
        <v>41846</v>
      </c>
      <c r="G26" s="174" t="s">
        <v>29</v>
      </c>
      <c r="H26" s="178" t="s">
        <v>86</v>
      </c>
      <c r="I26" s="167"/>
      <c r="J26" s="354" t="s">
        <v>29</v>
      </c>
      <c r="K26" s="336"/>
      <c r="L26" s="372" t="s">
        <v>29</v>
      </c>
      <c r="M26" s="336"/>
      <c r="N26" s="380" t="s">
        <v>29</v>
      </c>
      <c r="O26" s="272"/>
      <c r="P26" s="371" t="s">
        <v>29</v>
      </c>
      <c r="Q26" s="261"/>
      <c r="R26" s="307"/>
      <c r="S26" s="307"/>
      <c r="T26" s="307"/>
      <c r="U26" s="307"/>
      <c r="V26" s="307"/>
      <c r="W26" s="307"/>
      <c r="X26" s="307"/>
      <c r="Y26" s="307"/>
      <c r="Z26" s="307"/>
    </row>
    <row r="27" spans="1:26" ht="15.75" customHeight="1" x14ac:dyDescent="0.2">
      <c r="A27" s="378" t="s">
        <v>87</v>
      </c>
      <c r="B27" s="379"/>
      <c r="C27" s="71" t="s">
        <v>410</v>
      </c>
      <c r="D27" s="71" t="s">
        <v>410</v>
      </c>
      <c r="E27" s="71" t="s">
        <v>410</v>
      </c>
      <c r="F27" s="71">
        <f>F26-F16</f>
        <v>10</v>
      </c>
      <c r="G27" s="174" t="s">
        <v>29</v>
      </c>
      <c r="H27" s="178" t="s">
        <v>88</v>
      </c>
      <c r="I27" s="167"/>
      <c r="J27" s="354" t="s">
        <v>29</v>
      </c>
      <c r="K27" s="336"/>
      <c r="L27" s="372" t="s">
        <v>29</v>
      </c>
      <c r="M27" s="336"/>
      <c r="N27" s="380" t="s">
        <v>29</v>
      </c>
      <c r="O27" s="272"/>
      <c r="P27" s="371" t="s">
        <v>29</v>
      </c>
      <c r="Q27" s="261"/>
      <c r="R27" s="506"/>
      <c r="S27" s="506"/>
      <c r="T27" s="506"/>
      <c r="U27" s="506"/>
      <c r="V27" s="506"/>
      <c r="W27" s="506"/>
      <c r="X27" s="506"/>
      <c r="Y27" s="506"/>
      <c r="Z27" s="506"/>
    </row>
    <row r="28" spans="1:26" ht="15.75" customHeight="1" x14ac:dyDescent="0.2">
      <c r="A28" s="129"/>
      <c r="B28" s="180"/>
      <c r="C28" s="181"/>
      <c r="D28" s="181"/>
      <c r="E28" s="181"/>
      <c r="F28" s="181"/>
      <c r="G28" s="181"/>
      <c r="H28" s="176" t="s">
        <v>80</v>
      </c>
      <c r="I28" s="166">
        <v>41853</v>
      </c>
      <c r="J28" s="364">
        <v>20</v>
      </c>
      <c r="K28" s="336"/>
      <c r="L28" s="364">
        <v>20</v>
      </c>
      <c r="M28" s="336"/>
      <c r="N28" s="364">
        <v>20</v>
      </c>
      <c r="O28" s="336"/>
      <c r="P28" s="365" t="s">
        <v>410</v>
      </c>
      <c r="Q28" s="261"/>
      <c r="R28" s="182"/>
      <c r="S28" s="181"/>
      <c r="T28" s="181"/>
      <c r="U28" s="181"/>
      <c r="V28" s="181"/>
      <c r="W28" s="181"/>
      <c r="X28" s="181"/>
      <c r="Y28" s="181"/>
      <c r="Z28" s="181"/>
    </row>
    <row r="29" spans="1:26" ht="18" customHeight="1" x14ac:dyDescent="0.2">
      <c r="H29" s="178" t="s">
        <v>82</v>
      </c>
      <c r="I29" s="166">
        <v>41853</v>
      </c>
      <c r="J29" s="357">
        <v>519</v>
      </c>
      <c r="K29" s="336"/>
      <c r="L29" s="356">
        <v>478</v>
      </c>
      <c r="M29" s="336"/>
      <c r="N29" s="366">
        <v>417</v>
      </c>
      <c r="O29" s="272"/>
      <c r="P29" s="367" t="s">
        <v>410</v>
      </c>
      <c r="Q29" s="261"/>
    </row>
    <row r="30" spans="1:26" ht="18" customHeight="1" x14ac:dyDescent="0.2">
      <c r="H30" s="178" t="s">
        <v>83</v>
      </c>
      <c r="I30" s="167"/>
      <c r="J30" s="354" t="s">
        <v>29</v>
      </c>
      <c r="K30" s="336"/>
      <c r="L30" s="372" t="s">
        <v>29</v>
      </c>
      <c r="M30" s="336"/>
      <c r="N30" s="380" t="s">
        <v>29</v>
      </c>
      <c r="O30" s="272"/>
      <c r="P30" s="371" t="s">
        <v>29</v>
      </c>
      <c r="Q30" s="261"/>
    </row>
    <row r="31" spans="1:26" ht="18" customHeight="1" x14ac:dyDescent="0.2">
      <c r="H31" s="178" t="s">
        <v>67</v>
      </c>
      <c r="I31" s="167"/>
      <c r="J31" s="354" t="s">
        <v>29</v>
      </c>
      <c r="K31" s="336"/>
      <c r="L31" s="372" t="s">
        <v>29</v>
      </c>
      <c r="M31" s="336"/>
      <c r="N31" s="380" t="s">
        <v>29</v>
      </c>
      <c r="O31" s="272"/>
      <c r="P31" s="371" t="s">
        <v>29</v>
      </c>
      <c r="Q31" s="261"/>
    </row>
    <row r="32" spans="1:26" ht="18" customHeight="1" x14ac:dyDescent="0.2">
      <c r="H32" s="178" t="s">
        <v>68</v>
      </c>
      <c r="I32" s="167"/>
      <c r="J32" s="354" t="s">
        <v>29</v>
      </c>
      <c r="K32" s="336"/>
      <c r="L32" s="372" t="s">
        <v>29</v>
      </c>
      <c r="M32" s="336"/>
      <c r="N32" s="380" t="s">
        <v>29</v>
      </c>
      <c r="O32" s="272"/>
      <c r="P32" s="371" t="s">
        <v>29</v>
      </c>
      <c r="Q32" s="261"/>
    </row>
    <row r="33" spans="8:17" ht="18" customHeight="1" x14ac:dyDescent="0.2">
      <c r="H33" s="178" t="s">
        <v>86</v>
      </c>
      <c r="I33" s="167"/>
      <c r="J33" s="354" t="s">
        <v>29</v>
      </c>
      <c r="K33" s="336"/>
      <c r="L33" s="372" t="s">
        <v>29</v>
      </c>
      <c r="M33" s="336"/>
      <c r="N33" s="380" t="s">
        <v>29</v>
      </c>
      <c r="O33" s="272"/>
      <c r="P33" s="371" t="s">
        <v>29</v>
      </c>
      <c r="Q33" s="261"/>
    </row>
    <row r="34" spans="8:17" ht="18" customHeight="1" x14ac:dyDescent="0.2">
      <c r="H34" s="178" t="s">
        <v>88</v>
      </c>
      <c r="I34" s="167"/>
      <c r="J34" s="354" t="s">
        <v>29</v>
      </c>
      <c r="K34" s="336"/>
      <c r="L34" s="372" t="s">
        <v>29</v>
      </c>
      <c r="M34" s="336"/>
      <c r="N34" s="380" t="s">
        <v>29</v>
      </c>
      <c r="O34" s="272"/>
      <c r="P34" s="371" t="s">
        <v>29</v>
      </c>
      <c r="Q34" s="261"/>
    </row>
    <row r="35" spans="8:17" ht="18" customHeight="1" x14ac:dyDescent="0.2">
      <c r="H35" s="176" t="s">
        <v>80</v>
      </c>
      <c r="I35" s="166">
        <v>41859</v>
      </c>
      <c r="J35" s="364">
        <f>I35-C16</f>
        <v>26</v>
      </c>
      <c r="K35" s="336"/>
      <c r="L35" s="364">
        <v>26</v>
      </c>
      <c r="M35" s="336"/>
      <c r="N35" s="364">
        <v>26</v>
      </c>
      <c r="O35" s="336"/>
      <c r="P35" s="365" t="s">
        <v>410</v>
      </c>
      <c r="Q35" s="261"/>
    </row>
    <row r="36" spans="8:17" ht="18" customHeight="1" x14ac:dyDescent="0.2">
      <c r="H36" s="178" t="s">
        <v>82</v>
      </c>
      <c r="I36" s="166">
        <v>41859</v>
      </c>
      <c r="J36" s="357">
        <v>646</v>
      </c>
      <c r="K36" s="336"/>
      <c r="L36" s="356">
        <v>556</v>
      </c>
      <c r="M36" s="336"/>
      <c r="N36" s="366">
        <v>497</v>
      </c>
      <c r="O36" s="272"/>
      <c r="P36" s="367" t="s">
        <v>410</v>
      </c>
      <c r="Q36" s="261"/>
    </row>
    <row r="37" spans="8:17" ht="18" customHeight="1" x14ac:dyDescent="0.2">
      <c r="H37" s="178" t="s">
        <v>83</v>
      </c>
      <c r="I37" s="166">
        <v>41859</v>
      </c>
      <c r="J37" s="357" t="s">
        <v>369</v>
      </c>
      <c r="K37" s="336"/>
      <c r="L37" s="356" t="s">
        <v>369</v>
      </c>
      <c r="M37" s="336"/>
      <c r="N37" s="366" t="s">
        <v>369</v>
      </c>
      <c r="O37" s="272"/>
      <c r="P37" s="371" t="s">
        <v>29</v>
      </c>
      <c r="Q37" s="261"/>
    </row>
    <row r="38" spans="8:17" ht="18" customHeight="1" x14ac:dyDescent="0.2">
      <c r="H38" s="178" t="s">
        <v>67</v>
      </c>
      <c r="I38" s="167"/>
      <c r="J38" s="354" t="s">
        <v>29</v>
      </c>
      <c r="K38" s="336"/>
      <c r="L38" s="372" t="s">
        <v>29</v>
      </c>
      <c r="M38" s="336"/>
      <c r="N38" s="380" t="s">
        <v>29</v>
      </c>
      <c r="O38" s="272"/>
      <c r="P38" s="371" t="s">
        <v>29</v>
      </c>
      <c r="Q38" s="261"/>
    </row>
    <row r="39" spans="8:17" ht="18" customHeight="1" x14ac:dyDescent="0.2">
      <c r="H39" s="178" t="s">
        <v>68</v>
      </c>
      <c r="I39" s="167"/>
      <c r="J39" s="354" t="s">
        <v>29</v>
      </c>
      <c r="K39" s="336"/>
      <c r="L39" s="372" t="s">
        <v>29</v>
      </c>
      <c r="M39" s="336"/>
      <c r="N39" s="380" t="s">
        <v>29</v>
      </c>
      <c r="O39" s="272"/>
      <c r="P39" s="371" t="s">
        <v>29</v>
      </c>
      <c r="Q39" s="261"/>
    </row>
    <row r="40" spans="8:17" ht="18" customHeight="1" x14ac:dyDescent="0.2">
      <c r="H40" s="178" t="s">
        <v>86</v>
      </c>
      <c r="I40" s="167"/>
      <c r="J40" s="354" t="s">
        <v>29</v>
      </c>
      <c r="K40" s="336"/>
      <c r="L40" s="372" t="s">
        <v>29</v>
      </c>
      <c r="M40" s="336"/>
      <c r="N40" s="380" t="s">
        <v>29</v>
      </c>
      <c r="O40" s="272"/>
      <c r="P40" s="371" t="s">
        <v>29</v>
      </c>
      <c r="Q40" s="261"/>
    </row>
    <row r="41" spans="8:17" ht="18" customHeight="1" x14ac:dyDescent="0.2">
      <c r="H41" s="178" t="s">
        <v>88</v>
      </c>
      <c r="I41" s="167"/>
      <c r="J41" s="354" t="s">
        <v>29</v>
      </c>
      <c r="K41" s="336"/>
      <c r="L41" s="372" t="s">
        <v>29</v>
      </c>
      <c r="M41" s="336"/>
      <c r="N41" s="380" t="s">
        <v>29</v>
      </c>
      <c r="O41" s="272"/>
      <c r="P41" s="371" t="s">
        <v>29</v>
      </c>
      <c r="Q41" s="261"/>
    </row>
  </sheetData>
  <mergeCells count="184">
    <mergeCell ref="J40:K40"/>
    <mergeCell ref="L40:M40"/>
    <mergeCell ref="N40:O40"/>
    <mergeCell ref="P40:Q40"/>
    <mergeCell ref="J41:K41"/>
    <mergeCell ref="L41:M41"/>
    <mergeCell ref="N41:O41"/>
    <mergeCell ref="P41:Q41"/>
    <mergeCell ref="J34:K34"/>
    <mergeCell ref="L34:M34"/>
    <mergeCell ref="N34:O34"/>
    <mergeCell ref="P34:Q34"/>
    <mergeCell ref="J38:K38"/>
    <mergeCell ref="L38:M38"/>
    <mergeCell ref="N38:O38"/>
    <mergeCell ref="P38:Q38"/>
    <mergeCell ref="J39:K39"/>
    <mergeCell ref="L39:M39"/>
    <mergeCell ref="N39:O39"/>
    <mergeCell ref="P39:Q39"/>
    <mergeCell ref="J35:K35"/>
    <mergeCell ref="L35:M35"/>
    <mergeCell ref="N35:O35"/>
    <mergeCell ref="P35:Q35"/>
    <mergeCell ref="J36:K36"/>
    <mergeCell ref="L36:M36"/>
    <mergeCell ref="N36:O36"/>
    <mergeCell ref="P36:Q36"/>
    <mergeCell ref="J37:K37"/>
    <mergeCell ref="L37:M37"/>
    <mergeCell ref="N37:O37"/>
    <mergeCell ref="P37:Q37"/>
    <mergeCell ref="J31:K31"/>
    <mergeCell ref="L31:M31"/>
    <mergeCell ref="N31:O31"/>
    <mergeCell ref="P31:Q31"/>
    <mergeCell ref="J32:K32"/>
    <mergeCell ref="L32:M32"/>
    <mergeCell ref="N32:O32"/>
    <mergeCell ref="P32:Q32"/>
    <mergeCell ref="J33:K33"/>
    <mergeCell ref="L33:M33"/>
    <mergeCell ref="N33:O33"/>
    <mergeCell ref="P33:Q33"/>
    <mergeCell ref="J28:K28"/>
    <mergeCell ref="L28:M28"/>
    <mergeCell ref="N28:O28"/>
    <mergeCell ref="P28:Q28"/>
    <mergeCell ref="J29:K29"/>
    <mergeCell ref="L29:M29"/>
    <mergeCell ref="N29:O29"/>
    <mergeCell ref="P29:Q29"/>
    <mergeCell ref="J30:K30"/>
    <mergeCell ref="L30:M30"/>
    <mergeCell ref="N30:O30"/>
    <mergeCell ref="P30:Q30"/>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D23" sqref="AD23"/>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86</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176</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XFD1048576"/>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87</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255</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6"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6"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6"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6"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6"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6"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6"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6"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6"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6"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6" ht="15.75" customHeight="1" x14ac:dyDescent="0.2">
      <c r="A28" s="234"/>
      <c r="B28" s="180"/>
      <c r="C28" s="181"/>
      <c r="D28" s="181"/>
      <c r="E28" s="181"/>
      <c r="F28" s="181"/>
      <c r="G28" s="181"/>
      <c r="H28" s="252"/>
      <c r="I28" s="181"/>
      <c r="J28" s="181"/>
      <c r="K28" s="181"/>
      <c r="L28" s="181"/>
      <c r="M28" s="181"/>
      <c r="N28" s="181"/>
      <c r="O28" s="181"/>
      <c r="P28" s="252"/>
      <c r="Q28" s="252"/>
      <c r="R28" s="182"/>
      <c r="S28" s="181"/>
      <c r="T28" s="181"/>
      <c r="U28" s="181"/>
      <c r="V28" s="181"/>
      <c r="W28" s="181"/>
      <c r="X28" s="181"/>
      <c r="Y28" s="181"/>
      <c r="Z28" s="181"/>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43"/>
  <sheetViews>
    <sheetView topLeftCell="A13"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9.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7.7109375" style="25" customWidth="1"/>
    <col min="28" max="29" width="11.85546875" style="25"/>
    <col min="30" max="30" width="12.5703125" style="25" customWidth="1"/>
    <col min="31" max="16384" width="11.85546875" style="25"/>
  </cols>
  <sheetData>
    <row r="1" spans="1:30" ht="12.75" x14ac:dyDescent="0.2">
      <c r="A1" s="58" t="s">
        <v>0</v>
      </c>
      <c r="B1" s="59">
        <v>2014</v>
      </c>
      <c r="C1" s="58" t="s">
        <v>1</v>
      </c>
      <c r="D1" s="59"/>
      <c r="E1" s="58" t="s">
        <v>2</v>
      </c>
      <c r="F1" s="55">
        <v>88</v>
      </c>
      <c r="G1" s="56" t="s">
        <v>3</v>
      </c>
      <c r="H1" s="55" t="s">
        <v>4</v>
      </c>
      <c r="I1" s="260" t="s">
        <v>5</v>
      </c>
      <c r="J1" s="261"/>
      <c r="K1" s="262"/>
      <c r="L1" s="261"/>
      <c r="M1" s="261"/>
      <c r="N1" s="261"/>
      <c r="O1" s="261"/>
      <c r="P1" s="263" t="s">
        <v>6</v>
      </c>
      <c r="Q1" s="261"/>
      <c r="R1" s="264"/>
      <c r="S1" s="265"/>
      <c r="T1" s="16"/>
      <c r="U1" s="16"/>
      <c r="V1" s="16"/>
      <c r="W1" s="16"/>
      <c r="X1" s="16"/>
      <c r="Y1" s="16"/>
      <c r="Z1" s="34"/>
    </row>
    <row r="2" spans="1:30" ht="27.75" customHeight="1" x14ac:dyDescent="0.2">
      <c r="A2" s="57" t="s">
        <v>8</v>
      </c>
      <c r="B2" s="54" t="s">
        <v>9</v>
      </c>
      <c r="C2" s="54" t="s">
        <v>10</v>
      </c>
      <c r="D2" s="54" t="s">
        <v>11</v>
      </c>
      <c r="E2" s="54" t="s">
        <v>12</v>
      </c>
      <c r="F2" s="54" t="s">
        <v>13</v>
      </c>
      <c r="G2" s="54" t="s">
        <v>14</v>
      </c>
      <c r="H2" s="54" t="s">
        <v>15</v>
      </c>
      <c r="I2" s="13" t="s">
        <v>16</v>
      </c>
      <c r="J2" s="54" t="s">
        <v>17</v>
      </c>
      <c r="K2" s="54" t="s">
        <v>18</v>
      </c>
      <c r="L2" s="266"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32" t="s">
        <v>90</v>
      </c>
      <c r="AD2" s="31" t="s">
        <v>95</v>
      </c>
    </row>
    <row r="3" spans="1:30" ht="15.75" customHeight="1" x14ac:dyDescent="0.2">
      <c r="A3" s="18" t="s">
        <v>29</v>
      </c>
      <c r="B3" s="18" t="s">
        <v>29</v>
      </c>
      <c r="C3" s="28" t="s">
        <v>29</v>
      </c>
      <c r="D3" s="18" t="s">
        <v>29</v>
      </c>
      <c r="E3" s="18" t="s">
        <v>29</v>
      </c>
      <c r="F3" s="18" t="s">
        <v>29</v>
      </c>
      <c r="G3" s="18" t="s">
        <v>29</v>
      </c>
      <c r="H3" s="18" t="s">
        <v>29</v>
      </c>
      <c r="I3" s="18" t="s">
        <v>29</v>
      </c>
      <c r="J3" s="18" t="s">
        <v>29</v>
      </c>
      <c r="K3" s="18" t="s">
        <v>29</v>
      </c>
      <c r="L3" s="41" t="s">
        <v>29</v>
      </c>
      <c r="M3" s="41" t="s">
        <v>29</v>
      </c>
      <c r="N3" s="18" t="s">
        <v>29</v>
      </c>
      <c r="O3" s="18" t="s">
        <v>29</v>
      </c>
      <c r="P3" s="20" t="s">
        <v>29</v>
      </c>
      <c r="Q3" s="20" t="s">
        <v>29</v>
      </c>
      <c r="R3" s="20" t="s">
        <v>29</v>
      </c>
      <c r="S3" s="20" t="s">
        <v>29</v>
      </c>
      <c r="T3" s="20" t="s">
        <v>29</v>
      </c>
      <c r="U3" s="18" t="s">
        <v>29</v>
      </c>
      <c r="V3" s="18" t="s">
        <v>29</v>
      </c>
      <c r="W3" s="18" t="s">
        <v>29</v>
      </c>
      <c r="X3" s="20" t="s">
        <v>29</v>
      </c>
      <c r="Y3" s="33" t="s">
        <v>29</v>
      </c>
      <c r="Z3" s="33" t="s">
        <v>29</v>
      </c>
    </row>
    <row r="4" spans="1:30"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5" t="s">
        <v>26</v>
      </c>
      <c r="V4" s="27" t="s">
        <v>92</v>
      </c>
      <c r="W4" s="27" t="s">
        <v>93</v>
      </c>
      <c r="X4" s="5" t="s">
        <v>27</v>
      </c>
      <c r="Y4" s="271" t="s">
        <v>28</v>
      </c>
      <c r="Z4" s="272"/>
      <c r="AA4" s="31" t="s">
        <v>89</v>
      </c>
      <c r="AB4" s="31" t="s">
        <v>91</v>
      </c>
      <c r="AC4" s="32" t="s">
        <v>90</v>
      </c>
      <c r="AD4" s="31" t="s">
        <v>95</v>
      </c>
    </row>
    <row r="5" spans="1:30" ht="15.75" customHeight="1" x14ac:dyDescent="0.2">
      <c r="A5" s="28" t="s">
        <v>103</v>
      </c>
      <c r="B5" s="64">
        <v>41801</v>
      </c>
      <c r="C5" s="18" t="s">
        <v>29</v>
      </c>
      <c r="D5" s="18" t="s">
        <v>29</v>
      </c>
      <c r="E5" s="28" t="s">
        <v>262</v>
      </c>
      <c r="F5" s="28" t="s">
        <v>263</v>
      </c>
      <c r="G5" s="28" t="s">
        <v>264</v>
      </c>
      <c r="H5" s="18" t="s">
        <v>29</v>
      </c>
      <c r="I5" s="37" t="s">
        <v>29</v>
      </c>
      <c r="J5" s="37">
        <v>1009</v>
      </c>
      <c r="K5" s="37">
        <v>3</v>
      </c>
      <c r="L5" s="42" t="s">
        <v>29</v>
      </c>
      <c r="M5" s="42" t="s">
        <v>29</v>
      </c>
      <c r="N5" s="37">
        <v>356</v>
      </c>
      <c r="O5" s="37">
        <v>173</v>
      </c>
      <c r="P5" s="38" t="s">
        <v>29</v>
      </c>
      <c r="Q5" s="38" t="s">
        <v>29</v>
      </c>
      <c r="R5" s="20" t="s">
        <v>29</v>
      </c>
      <c r="S5" s="20" t="s">
        <v>29</v>
      </c>
      <c r="T5" s="20" t="s">
        <v>29</v>
      </c>
      <c r="U5" s="28" t="s">
        <v>216</v>
      </c>
      <c r="V5" s="28" t="s">
        <v>205</v>
      </c>
      <c r="W5" s="28" t="s">
        <v>205</v>
      </c>
      <c r="X5" s="20" t="s">
        <v>29</v>
      </c>
      <c r="Y5" s="20" t="s">
        <v>29</v>
      </c>
      <c r="Z5" s="20" t="s">
        <v>29</v>
      </c>
      <c r="AA5" s="69" t="s">
        <v>112</v>
      </c>
      <c r="AB5" s="69" t="s">
        <v>205</v>
      </c>
      <c r="AC5" s="96" t="s">
        <v>266</v>
      </c>
      <c r="AD5" s="96"/>
    </row>
    <row r="6" spans="1:30" ht="16.5" customHeight="1" x14ac:dyDescent="0.2">
      <c r="A6" s="12" t="s">
        <v>33</v>
      </c>
      <c r="B6" s="5" t="s">
        <v>9</v>
      </c>
      <c r="C6" s="60" t="s">
        <v>34</v>
      </c>
      <c r="D6" s="60" t="s">
        <v>35</v>
      </c>
      <c r="E6" s="60" t="s">
        <v>36</v>
      </c>
      <c r="F6" s="60" t="s">
        <v>37</v>
      </c>
      <c r="G6" s="60" t="s">
        <v>38</v>
      </c>
      <c r="H6" s="36" t="s">
        <v>39</v>
      </c>
      <c r="I6" s="62" t="s">
        <v>9</v>
      </c>
      <c r="J6" s="280" t="s">
        <v>40</v>
      </c>
      <c r="K6" s="280"/>
      <c r="L6" s="280" t="s">
        <v>41</v>
      </c>
      <c r="M6" s="280"/>
      <c r="N6" s="280" t="s">
        <v>42</v>
      </c>
      <c r="O6" s="280"/>
      <c r="P6" s="280" t="s">
        <v>43</v>
      </c>
      <c r="Q6" s="280"/>
      <c r="R6" s="35"/>
      <c r="S6" s="273" t="s">
        <v>44</v>
      </c>
      <c r="T6" s="274"/>
      <c r="U6" s="274"/>
      <c r="V6" s="274"/>
      <c r="W6" s="275"/>
      <c r="X6" s="274"/>
      <c r="Y6" s="274"/>
      <c r="Z6" s="268"/>
    </row>
    <row r="7" spans="1:30" ht="15.75" customHeight="1" x14ac:dyDescent="0.2">
      <c r="A7" s="1" t="s">
        <v>45</v>
      </c>
      <c r="B7" s="20"/>
      <c r="C7" s="19">
        <v>41793</v>
      </c>
      <c r="D7" s="19">
        <v>41795</v>
      </c>
      <c r="E7" s="19">
        <v>41797</v>
      </c>
      <c r="F7" s="19">
        <v>41799</v>
      </c>
      <c r="G7" s="15">
        <f>AVERAGE(C7:F7)</f>
        <v>41796</v>
      </c>
      <c r="H7" s="116" t="s">
        <v>46</v>
      </c>
      <c r="I7" s="120"/>
      <c r="J7" s="520" t="s">
        <v>360</v>
      </c>
      <c r="K7" s="521"/>
      <c r="L7" s="522" t="s">
        <v>355</v>
      </c>
      <c r="M7" s="521"/>
      <c r="N7" s="523" t="s">
        <v>29</v>
      </c>
      <c r="O7" s="524"/>
      <c r="P7" s="453" t="s">
        <v>29</v>
      </c>
      <c r="Q7" s="525"/>
      <c r="R7" s="23" t="s">
        <v>47</v>
      </c>
      <c r="S7" s="24"/>
      <c r="T7" s="43">
        <v>4</v>
      </c>
      <c r="U7" s="279" t="s">
        <v>48</v>
      </c>
      <c r="V7" s="279"/>
      <c r="W7" s="279"/>
      <c r="X7" s="281" t="s">
        <v>29</v>
      </c>
      <c r="Y7" s="282"/>
      <c r="Z7" s="283"/>
    </row>
    <row r="8" spans="1:30" ht="15.75" customHeight="1" x14ac:dyDescent="0.2">
      <c r="A8" s="3" t="s">
        <v>49</v>
      </c>
      <c r="B8" s="20" t="s">
        <v>29</v>
      </c>
      <c r="C8" s="20" t="s">
        <v>29</v>
      </c>
      <c r="D8" s="20" t="s">
        <v>29</v>
      </c>
      <c r="E8" s="20" t="s">
        <v>29</v>
      </c>
      <c r="F8" s="20" t="s">
        <v>29</v>
      </c>
      <c r="G8" s="115"/>
      <c r="H8" s="118" t="s">
        <v>385</v>
      </c>
      <c r="I8" s="109">
        <v>41833</v>
      </c>
      <c r="J8" s="502">
        <f>I8-C16</f>
        <v>4</v>
      </c>
      <c r="K8" s="502"/>
      <c r="L8" s="518">
        <f>I8-D16</f>
        <v>1</v>
      </c>
      <c r="M8" s="518"/>
      <c r="N8" s="296" t="s">
        <v>29</v>
      </c>
      <c r="O8" s="272"/>
      <c r="P8" s="297" t="s">
        <v>29</v>
      </c>
      <c r="Q8" s="261"/>
      <c r="R8" s="110" t="s">
        <v>51</v>
      </c>
      <c r="S8" s="11"/>
      <c r="T8" s="43">
        <v>2</v>
      </c>
      <c r="U8" s="310" t="s">
        <v>52</v>
      </c>
      <c r="V8" s="310"/>
      <c r="W8" s="310"/>
      <c r="X8" s="298" t="s">
        <v>29</v>
      </c>
      <c r="Y8" s="299"/>
      <c r="Z8" s="300"/>
    </row>
    <row r="9" spans="1:30" ht="15.75" customHeight="1" x14ac:dyDescent="0.2">
      <c r="A9" s="3" t="s">
        <v>49</v>
      </c>
      <c r="B9" s="20" t="s">
        <v>29</v>
      </c>
      <c r="C9" s="20" t="s">
        <v>29</v>
      </c>
      <c r="D9" s="20" t="s">
        <v>29</v>
      </c>
      <c r="E9" s="20" t="s">
        <v>29</v>
      </c>
      <c r="F9" s="20" t="s">
        <v>29</v>
      </c>
      <c r="G9" s="115"/>
      <c r="H9" s="118" t="s">
        <v>386</v>
      </c>
      <c r="I9" s="109">
        <v>41833</v>
      </c>
      <c r="J9" s="502">
        <v>88</v>
      </c>
      <c r="K9" s="502"/>
      <c r="L9" s="502">
        <v>36</v>
      </c>
      <c r="M9" s="502"/>
      <c r="N9" s="296" t="s">
        <v>29</v>
      </c>
      <c r="O9" s="272"/>
      <c r="P9" s="296" t="s">
        <v>29</v>
      </c>
      <c r="Q9" s="272"/>
      <c r="R9" s="110" t="s">
        <v>54</v>
      </c>
      <c r="S9" s="11"/>
      <c r="T9" s="43">
        <v>2</v>
      </c>
      <c r="U9" s="310" t="s">
        <v>55</v>
      </c>
      <c r="V9" s="310"/>
      <c r="W9" s="310"/>
      <c r="X9" s="298" t="s">
        <v>29</v>
      </c>
      <c r="Y9" s="299"/>
      <c r="Z9" s="300"/>
    </row>
    <row r="10" spans="1:30" ht="15" customHeight="1" x14ac:dyDescent="0.2">
      <c r="A10" s="3" t="s">
        <v>49</v>
      </c>
      <c r="B10" s="20" t="s">
        <v>29</v>
      </c>
      <c r="C10" s="20" t="s">
        <v>29</v>
      </c>
      <c r="D10" s="20" t="s">
        <v>29</v>
      </c>
      <c r="E10" s="20" t="s">
        <v>29</v>
      </c>
      <c r="F10" s="20" t="s">
        <v>29</v>
      </c>
      <c r="G10" s="60"/>
      <c r="H10" s="117" t="s">
        <v>59</v>
      </c>
      <c r="I10" s="119">
        <v>41836</v>
      </c>
      <c r="J10" s="519">
        <f>IF(((I10-C16)&gt;0),(I10-C16),"/")</f>
        <v>7</v>
      </c>
      <c r="K10" s="267"/>
      <c r="L10" s="519">
        <f>IF(((I10-D16)&gt;0),(I10-D16),"/")</f>
        <v>4</v>
      </c>
      <c r="M10" s="267"/>
      <c r="N10" s="296" t="s">
        <v>29</v>
      </c>
      <c r="O10" s="272"/>
      <c r="P10" s="297" t="s">
        <v>29</v>
      </c>
      <c r="Q10" s="261"/>
      <c r="R10" s="22" t="s">
        <v>57</v>
      </c>
      <c r="S10" s="11"/>
      <c r="T10" s="43">
        <v>2</v>
      </c>
      <c r="U10" s="310" t="s">
        <v>58</v>
      </c>
      <c r="V10" s="310"/>
      <c r="W10" s="310"/>
      <c r="X10" s="298" t="s">
        <v>29</v>
      </c>
      <c r="Y10" s="299"/>
      <c r="Z10" s="300"/>
    </row>
    <row r="11" spans="1:30" ht="15" customHeight="1" x14ac:dyDescent="0.2">
      <c r="A11" s="3" t="s">
        <v>49</v>
      </c>
      <c r="B11" s="20" t="s">
        <v>29</v>
      </c>
      <c r="C11" s="20" t="s">
        <v>29</v>
      </c>
      <c r="D11" s="20" t="s">
        <v>29</v>
      </c>
      <c r="E11" s="20" t="s">
        <v>29</v>
      </c>
      <c r="F11" s="20" t="s">
        <v>29</v>
      </c>
      <c r="G11" s="60"/>
      <c r="H11" s="113" t="s">
        <v>62</v>
      </c>
      <c r="I11" s="102">
        <v>41836</v>
      </c>
      <c r="J11" s="289">
        <v>160</v>
      </c>
      <c r="K11" s="268"/>
      <c r="L11" s="290">
        <v>69</v>
      </c>
      <c r="M11" s="268"/>
      <c r="N11" s="296" t="s">
        <v>29</v>
      </c>
      <c r="O11" s="272"/>
      <c r="P11" s="297" t="s">
        <v>29</v>
      </c>
      <c r="Q11" s="261"/>
      <c r="R11" s="22" t="s">
        <v>60</v>
      </c>
      <c r="S11" s="11"/>
      <c r="T11" s="43">
        <v>2</v>
      </c>
      <c r="U11" s="310" t="s">
        <v>61</v>
      </c>
      <c r="V11" s="310"/>
      <c r="W11" s="310"/>
      <c r="X11" s="298" t="s">
        <v>29</v>
      </c>
      <c r="Y11" s="299"/>
      <c r="Z11" s="300"/>
    </row>
    <row r="12" spans="1:30" ht="15.75" customHeight="1" x14ac:dyDescent="0.2">
      <c r="A12" s="3" t="s">
        <v>49</v>
      </c>
      <c r="B12" s="20" t="s">
        <v>29</v>
      </c>
      <c r="C12" s="20" t="s">
        <v>29</v>
      </c>
      <c r="D12" s="20" t="s">
        <v>29</v>
      </c>
      <c r="E12" s="20" t="s">
        <v>29</v>
      </c>
      <c r="F12" s="20" t="s">
        <v>29</v>
      </c>
      <c r="G12" s="60"/>
      <c r="H12" s="6" t="s">
        <v>56</v>
      </c>
      <c r="I12" s="10"/>
      <c r="J12" s="296" t="s">
        <v>29</v>
      </c>
      <c r="K12" s="272"/>
      <c r="L12" s="296" t="s">
        <v>29</v>
      </c>
      <c r="M12" s="272"/>
      <c r="N12" s="296" t="s">
        <v>29</v>
      </c>
      <c r="O12" s="272"/>
      <c r="P12" s="296" t="s">
        <v>29</v>
      </c>
      <c r="Q12" s="272"/>
      <c r="R12" s="22" t="s">
        <v>63</v>
      </c>
      <c r="S12" s="11"/>
      <c r="T12" s="45">
        <v>2</v>
      </c>
      <c r="U12" s="311" t="s">
        <v>64</v>
      </c>
      <c r="V12" s="311"/>
      <c r="W12" s="311"/>
      <c r="X12" s="301" t="s">
        <v>29</v>
      </c>
      <c r="Y12" s="302"/>
      <c r="Z12" s="303"/>
    </row>
    <row r="13" spans="1:30" ht="15.75" customHeight="1" x14ac:dyDescent="0.2">
      <c r="A13" s="3" t="s">
        <v>49</v>
      </c>
      <c r="B13" s="20" t="s">
        <v>29</v>
      </c>
      <c r="C13" s="20" t="s">
        <v>29</v>
      </c>
      <c r="D13" s="20" t="s">
        <v>29</v>
      </c>
      <c r="E13" s="20" t="s">
        <v>29</v>
      </c>
      <c r="F13" s="20" t="s">
        <v>29</v>
      </c>
      <c r="G13" s="60"/>
      <c r="H13" s="113" t="s">
        <v>70</v>
      </c>
      <c r="I13" s="17">
        <v>41841</v>
      </c>
      <c r="J13" s="526">
        <f>I13-C16</f>
        <v>12</v>
      </c>
      <c r="K13" s="527"/>
      <c r="L13" s="526">
        <f>I13-D16</f>
        <v>9</v>
      </c>
      <c r="M13" s="527"/>
      <c r="N13" s="296" t="s">
        <v>29</v>
      </c>
      <c r="O13" s="272"/>
      <c r="P13" s="297" t="s">
        <v>29</v>
      </c>
      <c r="Q13" s="261"/>
      <c r="R13" s="304" t="s">
        <v>66</v>
      </c>
      <c r="S13" s="304"/>
      <c r="T13" s="304"/>
      <c r="U13" s="304"/>
      <c r="V13" s="304"/>
      <c r="W13" s="304"/>
      <c r="X13" s="304"/>
      <c r="Y13" s="304"/>
      <c r="Z13" s="304"/>
    </row>
    <row r="14" spans="1:30" ht="15.75" customHeight="1" x14ac:dyDescent="0.2">
      <c r="A14" s="3" t="s">
        <v>49</v>
      </c>
      <c r="B14" s="20" t="s">
        <v>29</v>
      </c>
      <c r="C14" s="20" t="s">
        <v>29</v>
      </c>
      <c r="D14" s="20" t="s">
        <v>29</v>
      </c>
      <c r="E14" s="20" t="s">
        <v>29</v>
      </c>
      <c r="F14" s="20" t="s">
        <v>29</v>
      </c>
      <c r="G14" s="60"/>
      <c r="H14" s="113" t="s">
        <v>72</v>
      </c>
      <c r="I14" s="102">
        <v>41841</v>
      </c>
      <c r="J14" s="355">
        <v>285</v>
      </c>
      <c r="K14" s="475"/>
      <c r="L14" s="441">
        <v>135</v>
      </c>
      <c r="M14" s="442"/>
      <c r="N14" s="296" t="s">
        <v>29</v>
      </c>
      <c r="O14" s="272"/>
      <c r="P14" s="297" t="s">
        <v>29</v>
      </c>
      <c r="Q14" s="261"/>
      <c r="R14" s="304"/>
      <c r="S14" s="304"/>
      <c r="T14" s="304"/>
      <c r="U14" s="304"/>
      <c r="V14" s="304"/>
      <c r="W14" s="304"/>
      <c r="X14" s="304"/>
      <c r="Y14" s="304"/>
      <c r="Z14" s="511"/>
    </row>
    <row r="15" spans="1:30" ht="15.75" customHeight="1" x14ac:dyDescent="0.2">
      <c r="A15" s="3" t="s">
        <v>49</v>
      </c>
      <c r="B15" s="20" t="s">
        <v>29</v>
      </c>
      <c r="C15" s="20" t="s">
        <v>29</v>
      </c>
      <c r="D15" s="20" t="s">
        <v>29</v>
      </c>
      <c r="E15" s="20" t="s">
        <v>29</v>
      </c>
      <c r="F15" s="20" t="s">
        <v>29</v>
      </c>
      <c r="G15" s="60"/>
      <c r="H15" s="6" t="s">
        <v>65</v>
      </c>
      <c r="I15" s="10"/>
      <c r="J15" s="286" t="s">
        <v>29</v>
      </c>
      <c r="K15" s="268"/>
      <c r="L15" s="285" t="s">
        <v>29</v>
      </c>
      <c r="M15" s="268"/>
      <c r="N15" s="296" t="s">
        <v>29</v>
      </c>
      <c r="O15" s="272"/>
      <c r="P15" s="297" t="s">
        <v>29</v>
      </c>
      <c r="Q15" s="261"/>
      <c r="R15" s="528" t="s">
        <v>466</v>
      </c>
      <c r="S15" s="305"/>
      <c r="T15" s="305"/>
      <c r="U15" s="305"/>
      <c r="V15" s="305"/>
      <c r="W15" s="305"/>
      <c r="X15" s="305"/>
      <c r="Y15" s="305"/>
      <c r="Z15" s="305"/>
    </row>
    <row r="16" spans="1:30" ht="15.75" customHeight="1" x14ac:dyDescent="0.2">
      <c r="A16" s="14" t="s">
        <v>69</v>
      </c>
      <c r="B16" s="20"/>
      <c r="C16" s="19">
        <v>41829</v>
      </c>
      <c r="D16" s="19">
        <v>41832</v>
      </c>
      <c r="E16" s="19"/>
      <c r="F16" s="19"/>
      <c r="G16" s="15">
        <f>AVERAGE(C16:F16)</f>
        <v>41830.5</v>
      </c>
      <c r="H16" s="6" t="s">
        <v>67</v>
      </c>
      <c r="I16" s="10"/>
      <c r="J16" s="286" t="s">
        <v>29</v>
      </c>
      <c r="K16" s="268"/>
      <c r="L16" s="285" t="s">
        <v>29</v>
      </c>
      <c r="M16" s="268"/>
      <c r="N16" s="296" t="s">
        <v>29</v>
      </c>
      <c r="O16" s="272"/>
      <c r="P16" s="297" t="s">
        <v>29</v>
      </c>
      <c r="Q16" s="261"/>
      <c r="R16" s="529"/>
      <c r="S16" s="307"/>
      <c r="T16" s="307"/>
      <c r="U16" s="307"/>
      <c r="V16" s="307"/>
      <c r="W16" s="307"/>
      <c r="X16" s="307"/>
      <c r="Y16" s="307"/>
      <c r="Z16" s="307"/>
    </row>
    <row r="17" spans="1:26" ht="15.75" customHeight="1" x14ac:dyDescent="0.2">
      <c r="A17" s="323" t="s">
        <v>71</v>
      </c>
      <c r="B17" s="324"/>
      <c r="C17" s="50">
        <f>C16-C7</f>
        <v>36</v>
      </c>
      <c r="D17" s="50">
        <f>D16-D7</f>
        <v>37</v>
      </c>
      <c r="E17" s="50">
        <v>41837</v>
      </c>
      <c r="F17" s="50">
        <v>41838</v>
      </c>
      <c r="G17" s="51">
        <f>AVERAGE(C17:E17)</f>
        <v>13970</v>
      </c>
      <c r="H17" s="6" t="s">
        <v>68</v>
      </c>
      <c r="I17" s="10"/>
      <c r="J17" s="286" t="s">
        <v>29</v>
      </c>
      <c r="K17" s="268"/>
      <c r="L17" s="285" t="s">
        <v>29</v>
      </c>
      <c r="M17" s="268"/>
      <c r="N17" s="296" t="s">
        <v>29</v>
      </c>
      <c r="O17" s="272"/>
      <c r="P17" s="297" t="s">
        <v>29</v>
      </c>
      <c r="Q17" s="261"/>
      <c r="R17" s="529"/>
      <c r="S17" s="307"/>
      <c r="T17" s="307"/>
      <c r="U17" s="307"/>
      <c r="V17" s="307"/>
      <c r="W17" s="307"/>
      <c r="X17" s="307"/>
      <c r="Y17" s="307"/>
      <c r="Z17" s="307"/>
    </row>
    <row r="18" spans="1:26" ht="15.75" customHeight="1" x14ac:dyDescent="0.2">
      <c r="A18" s="327" t="s">
        <v>73</v>
      </c>
      <c r="B18" s="327"/>
      <c r="C18" s="325" t="s">
        <v>40</v>
      </c>
      <c r="D18" s="325" t="s">
        <v>41</v>
      </c>
      <c r="E18" s="325" t="s">
        <v>42</v>
      </c>
      <c r="F18" s="325" t="s">
        <v>43</v>
      </c>
      <c r="G18" s="326" t="s">
        <v>38</v>
      </c>
      <c r="H18" s="113" t="s">
        <v>80</v>
      </c>
      <c r="I18" s="17">
        <v>41846</v>
      </c>
      <c r="J18" s="364">
        <f>I18-C16</f>
        <v>17</v>
      </c>
      <c r="K18" s="492"/>
      <c r="L18" s="364">
        <f>I18-D16</f>
        <v>14</v>
      </c>
      <c r="M18" s="492"/>
      <c r="N18" s="296" t="s">
        <v>29</v>
      </c>
      <c r="O18" s="272"/>
      <c r="P18" s="297" t="s">
        <v>29</v>
      </c>
      <c r="Q18" s="261"/>
      <c r="R18" s="529"/>
      <c r="S18" s="307"/>
      <c r="T18" s="307"/>
      <c r="U18" s="307"/>
      <c r="V18" s="307"/>
      <c r="W18" s="307"/>
      <c r="X18" s="307"/>
      <c r="Y18" s="307"/>
      <c r="Z18" s="307"/>
    </row>
    <row r="19" spans="1:26" ht="15" customHeight="1" x14ac:dyDescent="0.2">
      <c r="A19" s="328"/>
      <c r="B19" s="328"/>
      <c r="C19" s="261"/>
      <c r="D19" s="261"/>
      <c r="E19" s="261"/>
      <c r="F19" s="261"/>
      <c r="G19" s="261"/>
      <c r="H19" s="113" t="s">
        <v>82</v>
      </c>
      <c r="I19" s="102">
        <v>41846</v>
      </c>
      <c r="J19" s="111">
        <v>446</v>
      </c>
      <c r="K19" s="112"/>
      <c r="L19" s="441">
        <v>241</v>
      </c>
      <c r="M19" s="442"/>
      <c r="N19" s="296" t="s">
        <v>29</v>
      </c>
      <c r="O19" s="272"/>
      <c r="P19" s="297" t="s">
        <v>29</v>
      </c>
      <c r="Q19" s="261"/>
      <c r="R19" s="529"/>
      <c r="S19" s="307"/>
      <c r="T19" s="307"/>
      <c r="U19" s="307"/>
      <c r="V19" s="307"/>
      <c r="W19" s="307"/>
      <c r="X19" s="307"/>
      <c r="Y19" s="307"/>
      <c r="Z19" s="307"/>
    </row>
    <row r="20" spans="1:26" ht="15.75" customHeight="1" x14ac:dyDescent="0.2">
      <c r="A20" s="312" t="s">
        <v>79</v>
      </c>
      <c r="B20" s="313"/>
      <c r="C20" s="122" t="s">
        <v>423</v>
      </c>
      <c r="D20" s="122" t="s">
        <v>429</v>
      </c>
      <c r="E20" s="52" t="s">
        <v>29</v>
      </c>
      <c r="F20" s="52" t="s">
        <v>29</v>
      </c>
      <c r="G20" s="52" t="s">
        <v>29</v>
      </c>
      <c r="H20" s="49" t="s">
        <v>78</v>
      </c>
      <c r="I20" s="102">
        <v>41846</v>
      </c>
      <c r="J20" s="377" t="s">
        <v>369</v>
      </c>
      <c r="K20" s="439"/>
      <c r="L20" s="377" t="s">
        <v>369</v>
      </c>
      <c r="M20" s="439"/>
      <c r="N20" s="296" t="s">
        <v>29</v>
      </c>
      <c r="O20" s="272"/>
      <c r="P20" s="297" t="s">
        <v>29</v>
      </c>
      <c r="Q20" s="261"/>
      <c r="R20" s="529"/>
      <c r="S20" s="307"/>
      <c r="T20" s="307"/>
      <c r="U20" s="307"/>
      <c r="V20" s="307"/>
      <c r="W20" s="307"/>
      <c r="X20" s="307"/>
      <c r="Y20" s="307"/>
      <c r="Z20" s="307"/>
    </row>
    <row r="21" spans="1:26" ht="15.75" customHeight="1" x14ac:dyDescent="0.2">
      <c r="A21" s="312" t="s">
        <v>46</v>
      </c>
      <c r="B21" s="313"/>
      <c r="C21" s="28" t="s">
        <v>354</v>
      </c>
      <c r="D21" s="28" t="s">
        <v>355</v>
      </c>
      <c r="E21" s="52" t="s">
        <v>29</v>
      </c>
      <c r="F21" s="52" t="s">
        <v>29</v>
      </c>
      <c r="G21" s="18" t="s">
        <v>29</v>
      </c>
      <c r="H21" s="49" t="s">
        <v>67</v>
      </c>
      <c r="I21" s="10"/>
      <c r="J21" s="286" t="s">
        <v>29</v>
      </c>
      <c r="K21" s="268"/>
      <c r="L21" s="285" t="s">
        <v>29</v>
      </c>
      <c r="M21" s="268"/>
      <c r="N21" s="296" t="s">
        <v>29</v>
      </c>
      <c r="O21" s="272"/>
      <c r="P21" s="297" t="s">
        <v>29</v>
      </c>
      <c r="Q21" s="261"/>
      <c r="R21" s="529"/>
      <c r="S21" s="307"/>
      <c r="T21" s="307"/>
      <c r="U21" s="307"/>
      <c r="V21" s="307"/>
      <c r="W21" s="307"/>
      <c r="X21" s="307"/>
      <c r="Y21" s="307"/>
      <c r="Z21" s="307"/>
    </row>
    <row r="22" spans="1:26" ht="15.75" customHeight="1" x14ac:dyDescent="0.2">
      <c r="A22" s="312" t="s">
        <v>81</v>
      </c>
      <c r="B22" s="313"/>
      <c r="C22" s="109">
        <v>41856</v>
      </c>
      <c r="D22" s="109">
        <v>41856</v>
      </c>
      <c r="E22" s="52" t="s">
        <v>29</v>
      </c>
      <c r="F22" s="52" t="s">
        <v>29</v>
      </c>
      <c r="G22" s="43" t="s">
        <v>29</v>
      </c>
      <c r="H22" s="6" t="s">
        <v>68</v>
      </c>
      <c r="I22" s="10"/>
      <c r="J22" s="286" t="s">
        <v>29</v>
      </c>
      <c r="K22" s="268"/>
      <c r="L22" s="286" t="s">
        <v>29</v>
      </c>
      <c r="M22" s="268"/>
      <c r="N22" s="296" t="s">
        <v>29</v>
      </c>
      <c r="O22" s="272"/>
      <c r="P22" s="297" t="s">
        <v>29</v>
      </c>
      <c r="Q22" s="261"/>
      <c r="R22" s="529"/>
      <c r="S22" s="307"/>
      <c r="T22" s="307"/>
      <c r="U22" s="307"/>
      <c r="V22" s="307"/>
      <c r="W22" s="307"/>
      <c r="X22" s="307"/>
      <c r="Y22" s="307"/>
      <c r="Z22" s="307"/>
    </row>
    <row r="23" spans="1:26" ht="15.75" customHeight="1" x14ac:dyDescent="0.2">
      <c r="A23" s="312" t="s">
        <v>12</v>
      </c>
      <c r="B23" s="313"/>
      <c r="C23" s="28">
        <v>220609900</v>
      </c>
      <c r="D23" s="18">
        <v>220609899</v>
      </c>
      <c r="E23" s="52" t="s">
        <v>29</v>
      </c>
      <c r="F23" s="52" t="s">
        <v>29</v>
      </c>
      <c r="G23" s="43" t="s">
        <v>29</v>
      </c>
      <c r="H23" s="104" t="s">
        <v>372</v>
      </c>
      <c r="I23" s="109">
        <v>41851</v>
      </c>
      <c r="J23" s="512">
        <f>I23-C16</f>
        <v>22</v>
      </c>
      <c r="K23" s="513"/>
      <c r="L23" s="514">
        <f>I23-D16</f>
        <v>19</v>
      </c>
      <c r="M23" s="515"/>
      <c r="N23" s="296" t="s">
        <v>29</v>
      </c>
      <c r="O23" s="272"/>
      <c r="P23" s="297" t="s">
        <v>29</v>
      </c>
      <c r="Q23" s="261"/>
      <c r="R23" s="529"/>
      <c r="S23" s="307"/>
      <c r="T23" s="307"/>
      <c r="U23" s="307"/>
      <c r="V23" s="307"/>
      <c r="W23" s="307"/>
      <c r="X23" s="307"/>
      <c r="Y23" s="307"/>
      <c r="Z23" s="307"/>
    </row>
    <row r="24" spans="1:26" ht="15.75" customHeight="1" x14ac:dyDescent="0.2">
      <c r="A24" s="312" t="s">
        <v>84</v>
      </c>
      <c r="B24" s="313"/>
      <c r="C24" s="28" t="s">
        <v>410</v>
      </c>
      <c r="D24" s="28" t="s">
        <v>410</v>
      </c>
      <c r="E24" s="52" t="s">
        <v>29</v>
      </c>
      <c r="F24" s="52" t="s">
        <v>29</v>
      </c>
      <c r="G24" s="43" t="s">
        <v>29</v>
      </c>
      <c r="H24" s="114" t="s">
        <v>373</v>
      </c>
      <c r="I24" s="109">
        <v>41851</v>
      </c>
      <c r="J24" s="516">
        <v>560</v>
      </c>
      <c r="K24" s="517"/>
      <c r="L24" s="516">
        <v>399</v>
      </c>
      <c r="M24" s="517"/>
      <c r="N24" s="296" t="s">
        <v>29</v>
      </c>
      <c r="O24" s="272"/>
      <c r="P24" s="297" t="s">
        <v>29</v>
      </c>
      <c r="Q24" s="261"/>
      <c r="R24" s="529"/>
      <c r="S24" s="307"/>
      <c r="T24" s="307"/>
      <c r="U24" s="307"/>
      <c r="V24" s="307"/>
      <c r="W24" s="307"/>
      <c r="X24" s="307"/>
      <c r="Y24" s="307"/>
      <c r="Z24" s="307"/>
    </row>
    <row r="25" spans="1:26" ht="15.75" customHeight="1" x14ac:dyDescent="0.2">
      <c r="A25" s="312" t="s">
        <v>11</v>
      </c>
      <c r="B25" s="313"/>
      <c r="C25" s="28" t="s">
        <v>398</v>
      </c>
      <c r="D25" s="28" t="s">
        <v>447</v>
      </c>
      <c r="E25" s="52" t="s">
        <v>29</v>
      </c>
      <c r="F25" s="52" t="s">
        <v>29</v>
      </c>
      <c r="G25" s="43" t="s">
        <v>29</v>
      </c>
      <c r="H25" s="48" t="s">
        <v>83</v>
      </c>
      <c r="I25" s="10"/>
      <c r="J25" s="296" t="s">
        <v>29</v>
      </c>
      <c r="K25" s="272"/>
      <c r="L25" s="297" t="s">
        <v>29</v>
      </c>
      <c r="M25" s="261"/>
      <c r="N25" s="296" t="s">
        <v>29</v>
      </c>
      <c r="O25" s="272"/>
      <c r="P25" s="297" t="s">
        <v>29</v>
      </c>
      <c r="Q25" s="261"/>
      <c r="R25" s="529"/>
      <c r="S25" s="307"/>
      <c r="T25" s="307"/>
      <c r="U25" s="307"/>
      <c r="V25" s="307"/>
      <c r="W25" s="307"/>
      <c r="X25" s="307"/>
      <c r="Y25" s="307"/>
      <c r="Z25" s="307"/>
    </row>
    <row r="26" spans="1:26" ht="15.75" customHeight="1" x14ac:dyDescent="0.2">
      <c r="A26" s="314" t="s">
        <v>85</v>
      </c>
      <c r="B26" s="315"/>
      <c r="C26" s="28" t="s">
        <v>410</v>
      </c>
      <c r="D26" s="28" t="s">
        <v>410</v>
      </c>
      <c r="E26" s="52" t="s">
        <v>29</v>
      </c>
      <c r="F26" s="52" t="s">
        <v>29</v>
      </c>
      <c r="G26" s="43" t="s">
        <v>29</v>
      </c>
      <c r="H26" s="48" t="s">
        <v>67</v>
      </c>
      <c r="I26" s="10"/>
      <c r="J26" s="286" t="s">
        <v>29</v>
      </c>
      <c r="K26" s="268"/>
      <c r="L26" s="285" t="s">
        <v>29</v>
      </c>
      <c r="M26" s="268"/>
      <c r="N26" s="296" t="s">
        <v>29</v>
      </c>
      <c r="O26" s="272"/>
      <c r="P26" s="297" t="s">
        <v>29</v>
      </c>
      <c r="Q26" s="261"/>
      <c r="R26" s="529"/>
      <c r="S26" s="307"/>
      <c r="T26" s="307"/>
      <c r="U26" s="307"/>
      <c r="V26" s="307"/>
      <c r="W26" s="307"/>
      <c r="X26" s="307"/>
      <c r="Y26" s="307"/>
      <c r="Z26" s="307"/>
    </row>
    <row r="27" spans="1:26" ht="15.75" customHeight="1" x14ac:dyDescent="0.2">
      <c r="A27" s="316" t="s">
        <v>87</v>
      </c>
      <c r="B27" s="317"/>
      <c r="C27" s="28" t="s">
        <v>410</v>
      </c>
      <c r="D27" s="28" t="s">
        <v>410</v>
      </c>
      <c r="E27" s="18" t="s">
        <v>29</v>
      </c>
      <c r="F27" s="18" t="s">
        <v>29</v>
      </c>
      <c r="G27" s="43" t="s">
        <v>29</v>
      </c>
      <c r="H27" s="48" t="s">
        <v>68</v>
      </c>
      <c r="I27" s="10"/>
      <c r="J27" s="286" t="s">
        <v>29</v>
      </c>
      <c r="K27" s="268"/>
      <c r="L27" s="285" t="s">
        <v>29</v>
      </c>
      <c r="M27" s="268"/>
      <c r="N27" s="296" t="s">
        <v>29</v>
      </c>
      <c r="O27" s="272"/>
      <c r="P27" s="297" t="s">
        <v>29</v>
      </c>
      <c r="Q27" s="261"/>
      <c r="R27" s="530"/>
      <c r="S27" s="506"/>
      <c r="T27" s="506"/>
      <c r="U27" s="506"/>
      <c r="V27" s="506"/>
      <c r="W27" s="506"/>
      <c r="X27" s="506"/>
      <c r="Y27" s="506"/>
      <c r="Z27" s="506"/>
    </row>
    <row r="28" spans="1:26" ht="15.75" customHeight="1" x14ac:dyDescent="0.2">
      <c r="A28" s="61"/>
      <c r="B28" s="7"/>
      <c r="C28" s="4"/>
      <c r="D28" s="4"/>
      <c r="E28" s="4"/>
      <c r="F28" s="4"/>
      <c r="G28" s="4"/>
      <c r="H28" s="48" t="s">
        <v>86</v>
      </c>
      <c r="I28" s="10"/>
      <c r="J28" s="286" t="s">
        <v>29</v>
      </c>
      <c r="K28" s="268"/>
      <c r="L28" s="285" t="s">
        <v>29</v>
      </c>
      <c r="M28" s="268"/>
      <c r="N28" s="296" t="s">
        <v>29</v>
      </c>
      <c r="O28" s="272"/>
      <c r="P28" s="297" t="s">
        <v>29</v>
      </c>
      <c r="Q28" s="261"/>
      <c r="R28" s="53"/>
      <c r="S28" s="30"/>
      <c r="T28" s="4"/>
      <c r="U28" s="4"/>
      <c r="V28" s="4"/>
      <c r="W28" s="26"/>
      <c r="X28" s="4"/>
      <c r="Y28" s="4"/>
      <c r="Z28" s="4"/>
    </row>
    <row r="29" spans="1:26" ht="18" customHeight="1" x14ac:dyDescent="0.2">
      <c r="H29" s="48" t="s">
        <v>88</v>
      </c>
      <c r="I29" s="10"/>
      <c r="J29" s="286" t="s">
        <v>29</v>
      </c>
      <c r="K29" s="268"/>
      <c r="L29" s="285" t="s">
        <v>29</v>
      </c>
      <c r="M29" s="268"/>
      <c r="N29" s="296" t="s">
        <v>29</v>
      </c>
      <c r="O29" s="272"/>
      <c r="P29" s="297" t="s">
        <v>29</v>
      </c>
      <c r="Q29" s="261"/>
    </row>
    <row r="30" spans="1:26" ht="18" customHeight="1" x14ac:dyDescent="0.2">
      <c r="H30" s="104" t="s">
        <v>414</v>
      </c>
      <c r="I30" s="109">
        <v>41856</v>
      </c>
      <c r="J30" s="512">
        <f>I30-C16</f>
        <v>27</v>
      </c>
      <c r="K30" s="513"/>
      <c r="L30" s="514">
        <f>I30-D16</f>
        <v>24</v>
      </c>
      <c r="M30" s="515"/>
      <c r="N30" s="296" t="s">
        <v>29</v>
      </c>
      <c r="O30" s="272"/>
      <c r="P30" s="297" t="s">
        <v>29</v>
      </c>
      <c r="Q30" s="261"/>
    </row>
    <row r="31" spans="1:26" ht="18" customHeight="1" x14ac:dyDescent="0.2">
      <c r="H31" s="114" t="s">
        <v>415</v>
      </c>
      <c r="I31" s="109">
        <v>41856</v>
      </c>
      <c r="J31" s="516">
        <v>590</v>
      </c>
      <c r="K31" s="517"/>
      <c r="L31" s="516">
        <v>498</v>
      </c>
      <c r="M31" s="517"/>
      <c r="N31" s="296" t="s">
        <v>29</v>
      </c>
      <c r="O31" s="272"/>
      <c r="P31" s="297" t="s">
        <v>29</v>
      </c>
      <c r="Q31" s="261"/>
    </row>
    <row r="32" spans="1:26" ht="18" customHeight="1" x14ac:dyDescent="0.2">
      <c r="H32" s="48" t="s">
        <v>83</v>
      </c>
      <c r="I32" s="109">
        <v>41856</v>
      </c>
      <c r="J32" s="377" t="s">
        <v>369</v>
      </c>
      <c r="K32" s="439"/>
      <c r="L32" s="377" t="s">
        <v>369</v>
      </c>
      <c r="M32" s="439"/>
      <c r="N32" s="296" t="s">
        <v>29</v>
      </c>
      <c r="O32" s="272"/>
      <c r="P32" s="297" t="s">
        <v>29</v>
      </c>
      <c r="Q32" s="261"/>
    </row>
    <row r="33" spans="8:17" ht="18" customHeight="1" x14ac:dyDescent="0.2">
      <c r="H33" s="48" t="s">
        <v>67</v>
      </c>
      <c r="I33" s="10"/>
      <c r="J33" s="286" t="s">
        <v>29</v>
      </c>
      <c r="K33" s="268"/>
      <c r="L33" s="285" t="s">
        <v>29</v>
      </c>
      <c r="M33" s="268"/>
      <c r="N33" s="296" t="s">
        <v>29</v>
      </c>
      <c r="O33" s="272"/>
      <c r="P33" s="297" t="s">
        <v>29</v>
      </c>
      <c r="Q33" s="261"/>
    </row>
    <row r="34" spans="8:17" ht="18" customHeight="1" x14ac:dyDescent="0.2">
      <c r="H34" s="48" t="s">
        <v>68</v>
      </c>
      <c r="I34" s="10"/>
      <c r="J34" s="286" t="s">
        <v>29</v>
      </c>
      <c r="K34" s="268"/>
      <c r="L34" s="285" t="s">
        <v>29</v>
      </c>
      <c r="M34" s="268"/>
      <c r="N34" s="296" t="s">
        <v>29</v>
      </c>
      <c r="O34" s="272"/>
      <c r="P34" s="297" t="s">
        <v>29</v>
      </c>
      <c r="Q34" s="261"/>
    </row>
    <row r="35" spans="8:17" ht="18" customHeight="1" x14ac:dyDescent="0.2">
      <c r="H35" s="48" t="s">
        <v>86</v>
      </c>
      <c r="I35" s="10"/>
      <c r="J35" s="286" t="s">
        <v>29</v>
      </c>
      <c r="K35" s="268"/>
      <c r="L35" s="285" t="s">
        <v>29</v>
      </c>
      <c r="M35" s="268"/>
      <c r="N35" s="296" t="s">
        <v>29</v>
      </c>
      <c r="O35" s="272"/>
      <c r="P35" s="297" t="s">
        <v>29</v>
      </c>
      <c r="Q35" s="261"/>
    </row>
    <row r="36" spans="8:17" ht="18" customHeight="1" x14ac:dyDescent="0.2">
      <c r="H36" s="48" t="s">
        <v>88</v>
      </c>
      <c r="I36" s="10"/>
      <c r="J36" s="286" t="s">
        <v>29</v>
      </c>
      <c r="K36" s="268"/>
      <c r="L36" s="285" t="s">
        <v>29</v>
      </c>
      <c r="M36" s="268"/>
      <c r="N36" s="296" t="s">
        <v>29</v>
      </c>
      <c r="O36" s="272"/>
      <c r="P36" s="297" t="s">
        <v>29</v>
      </c>
      <c r="Q36" s="261"/>
    </row>
    <row r="37" spans="8:17" ht="18" customHeight="1" x14ac:dyDescent="0.2">
      <c r="H37" s="104" t="s">
        <v>414</v>
      </c>
      <c r="I37" s="109">
        <v>41860</v>
      </c>
      <c r="J37" s="512">
        <f>I37-C16</f>
        <v>31</v>
      </c>
      <c r="K37" s="513"/>
      <c r="L37" s="514">
        <f>I37-D16</f>
        <v>28</v>
      </c>
      <c r="M37" s="515"/>
      <c r="N37" s="296" t="s">
        <v>29</v>
      </c>
      <c r="O37" s="272"/>
      <c r="P37" s="297" t="s">
        <v>29</v>
      </c>
      <c r="Q37" s="261"/>
    </row>
    <row r="38" spans="8:17" ht="18" customHeight="1" x14ac:dyDescent="0.2">
      <c r="H38" s="114" t="s">
        <v>415</v>
      </c>
      <c r="I38" s="109">
        <v>41860</v>
      </c>
      <c r="J38" s="516">
        <v>568</v>
      </c>
      <c r="K38" s="517"/>
      <c r="L38" s="516">
        <v>463</v>
      </c>
      <c r="M38" s="517"/>
      <c r="N38" s="296" t="s">
        <v>29</v>
      </c>
      <c r="O38" s="272"/>
      <c r="P38" s="297" t="s">
        <v>29</v>
      </c>
      <c r="Q38" s="261"/>
    </row>
    <row r="39" spans="8:17" ht="18" customHeight="1" x14ac:dyDescent="0.2">
      <c r="H39" s="48" t="s">
        <v>83</v>
      </c>
      <c r="I39" s="10"/>
      <c r="J39" s="286" t="s">
        <v>29</v>
      </c>
      <c r="K39" s="268"/>
      <c r="L39" s="286" t="s">
        <v>29</v>
      </c>
      <c r="M39" s="268"/>
      <c r="N39" s="296" t="s">
        <v>29</v>
      </c>
      <c r="O39" s="272"/>
      <c r="P39" s="297" t="s">
        <v>29</v>
      </c>
      <c r="Q39" s="261"/>
    </row>
    <row r="40" spans="8:17" ht="18" customHeight="1" x14ac:dyDescent="0.2">
      <c r="H40" s="48" t="s">
        <v>67</v>
      </c>
      <c r="I40" s="10"/>
      <c r="J40" s="286" t="s">
        <v>29</v>
      </c>
      <c r="K40" s="268"/>
      <c r="L40" s="285" t="s">
        <v>29</v>
      </c>
      <c r="M40" s="268"/>
      <c r="N40" s="296" t="s">
        <v>29</v>
      </c>
      <c r="O40" s="272"/>
      <c r="P40" s="297" t="s">
        <v>29</v>
      </c>
      <c r="Q40" s="261"/>
    </row>
    <row r="41" spans="8:17" ht="18" customHeight="1" x14ac:dyDescent="0.2">
      <c r="H41" s="48" t="s">
        <v>68</v>
      </c>
      <c r="I41" s="10"/>
      <c r="J41" s="286" t="s">
        <v>29</v>
      </c>
      <c r="K41" s="268"/>
      <c r="L41" s="285" t="s">
        <v>29</v>
      </c>
      <c r="M41" s="268"/>
      <c r="N41" s="296" t="s">
        <v>29</v>
      </c>
      <c r="O41" s="272"/>
      <c r="P41" s="297" t="s">
        <v>29</v>
      </c>
      <c r="Q41" s="261"/>
    </row>
    <row r="42" spans="8:17" ht="18" customHeight="1" x14ac:dyDescent="0.2">
      <c r="H42" s="48" t="s">
        <v>86</v>
      </c>
      <c r="I42" s="10"/>
      <c r="J42" s="286" t="s">
        <v>29</v>
      </c>
      <c r="K42" s="268"/>
      <c r="L42" s="285" t="s">
        <v>29</v>
      </c>
      <c r="M42" s="268"/>
      <c r="N42" s="296" t="s">
        <v>29</v>
      </c>
      <c r="O42" s="272"/>
      <c r="P42" s="297" t="s">
        <v>29</v>
      </c>
      <c r="Q42" s="261"/>
    </row>
    <row r="43" spans="8:17" ht="18" customHeight="1" x14ac:dyDescent="0.2">
      <c r="H43" s="48" t="s">
        <v>88</v>
      </c>
      <c r="I43" s="10"/>
      <c r="J43" s="286" t="s">
        <v>29</v>
      </c>
      <c r="K43" s="268"/>
      <c r="L43" s="285" t="s">
        <v>29</v>
      </c>
      <c r="M43" s="268"/>
      <c r="N43" s="296" t="s">
        <v>29</v>
      </c>
      <c r="O43" s="272"/>
      <c r="P43" s="297" t="s">
        <v>29</v>
      </c>
      <c r="Q43" s="261"/>
    </row>
  </sheetData>
  <mergeCells count="191">
    <mergeCell ref="J42:K42"/>
    <mergeCell ref="L42:M42"/>
    <mergeCell ref="N42:O42"/>
    <mergeCell ref="P42:Q42"/>
    <mergeCell ref="J43:K43"/>
    <mergeCell ref="L43:M43"/>
    <mergeCell ref="N43:O43"/>
    <mergeCell ref="P43:Q43"/>
    <mergeCell ref="J37:K37"/>
    <mergeCell ref="L37:M37"/>
    <mergeCell ref="N37:O37"/>
    <mergeCell ref="P37:Q37"/>
    <mergeCell ref="J38:K38"/>
    <mergeCell ref="L38:M38"/>
    <mergeCell ref="N38:O38"/>
    <mergeCell ref="P38:Q38"/>
    <mergeCell ref="J39:K39"/>
    <mergeCell ref="L39:M39"/>
    <mergeCell ref="N39:O39"/>
    <mergeCell ref="P39:Q39"/>
    <mergeCell ref="J40:K40"/>
    <mergeCell ref="L40:M40"/>
    <mergeCell ref="N40:O40"/>
    <mergeCell ref="P40:Q40"/>
    <mergeCell ref="J41:K41"/>
    <mergeCell ref="L41:M41"/>
    <mergeCell ref="N41:O41"/>
    <mergeCell ref="P41:Q41"/>
    <mergeCell ref="R15:Z27"/>
    <mergeCell ref="N18:O18"/>
    <mergeCell ref="P18:Q18"/>
    <mergeCell ref="N19:O19"/>
    <mergeCell ref="J23:K23"/>
    <mergeCell ref="L23:M23"/>
    <mergeCell ref="J24:K24"/>
    <mergeCell ref="J26:K26"/>
    <mergeCell ref="L26:M26"/>
    <mergeCell ref="N26:O26"/>
    <mergeCell ref="P26:Q26"/>
    <mergeCell ref="J27:K27"/>
    <mergeCell ref="N20:O20"/>
    <mergeCell ref="P20:Q20"/>
    <mergeCell ref="N21:O21"/>
    <mergeCell ref="P21:Q21"/>
    <mergeCell ref="J22:K22"/>
    <mergeCell ref="P19:Q19"/>
    <mergeCell ref="N25:O25"/>
    <mergeCell ref="L25:M25"/>
    <mergeCell ref="A22:B22"/>
    <mergeCell ref="A23:B23"/>
    <mergeCell ref="A24:B24"/>
    <mergeCell ref="A25:B25"/>
    <mergeCell ref="A26:B26"/>
    <mergeCell ref="A27:B27"/>
    <mergeCell ref="A17:B17"/>
    <mergeCell ref="A18:B19"/>
    <mergeCell ref="C18:C19"/>
    <mergeCell ref="D18:D19"/>
    <mergeCell ref="E18:E19"/>
    <mergeCell ref="F18:F19"/>
    <mergeCell ref="G18:G19"/>
    <mergeCell ref="A20:B20"/>
    <mergeCell ref="A21:B21"/>
    <mergeCell ref="J14:K14"/>
    <mergeCell ref="L14:M14"/>
    <mergeCell ref="J13:K13"/>
    <mergeCell ref="L13:M13"/>
    <mergeCell ref="J18:K18"/>
    <mergeCell ref="L18:M18"/>
    <mergeCell ref="L19:M19"/>
    <mergeCell ref="J15:K15"/>
    <mergeCell ref="L15:M15"/>
    <mergeCell ref="J17:K17"/>
    <mergeCell ref="J16:K16"/>
    <mergeCell ref="L16:M16"/>
    <mergeCell ref="J20:K20"/>
    <mergeCell ref="L20:M20"/>
    <mergeCell ref="J21:K21"/>
    <mergeCell ref="L21:M21"/>
    <mergeCell ref="U12:W12"/>
    <mergeCell ref="X12:Z12"/>
    <mergeCell ref="U11:W11"/>
    <mergeCell ref="X11:Z11"/>
    <mergeCell ref="N9:O9"/>
    <mergeCell ref="N13:O13"/>
    <mergeCell ref="P13:Q13"/>
    <mergeCell ref="R13:Z14"/>
    <mergeCell ref="N11:O11"/>
    <mergeCell ref="P11:Q11"/>
    <mergeCell ref="P14:Q14"/>
    <mergeCell ref="N14:O14"/>
    <mergeCell ref="Y2:Z2"/>
    <mergeCell ref="L4:M4"/>
    <mergeCell ref="Q4:R4"/>
    <mergeCell ref="Y4:Z4"/>
    <mergeCell ref="S6:Z6"/>
    <mergeCell ref="J10:K10"/>
    <mergeCell ref="L10:M10"/>
    <mergeCell ref="N10:O10"/>
    <mergeCell ref="P10:Q10"/>
    <mergeCell ref="U8:W8"/>
    <mergeCell ref="X8:Z8"/>
    <mergeCell ref="J7:K7"/>
    <mergeCell ref="L7:M7"/>
    <mergeCell ref="N7:O7"/>
    <mergeCell ref="P7:Q7"/>
    <mergeCell ref="U7:W7"/>
    <mergeCell ref="X7:Z7"/>
    <mergeCell ref="U10:W10"/>
    <mergeCell ref="X10:Z10"/>
    <mergeCell ref="N8:O8"/>
    <mergeCell ref="U9:W9"/>
    <mergeCell ref="X9:Z9"/>
    <mergeCell ref="P8:Q8"/>
    <mergeCell ref="P9:Q9"/>
    <mergeCell ref="I1:J1"/>
    <mergeCell ref="K1:O1"/>
    <mergeCell ref="P1:Q1"/>
    <mergeCell ref="J6:K6"/>
    <mergeCell ref="L6:M6"/>
    <mergeCell ref="N6:O6"/>
    <mergeCell ref="P6:Q6"/>
    <mergeCell ref="R1:S1"/>
    <mergeCell ref="L2:M2"/>
    <mergeCell ref="Q2:R2"/>
    <mergeCell ref="J8:K8"/>
    <mergeCell ref="J9:K9"/>
    <mergeCell ref="L8:M8"/>
    <mergeCell ref="L9:M9"/>
    <mergeCell ref="J11:K11"/>
    <mergeCell ref="L11:M11"/>
    <mergeCell ref="N12:O12"/>
    <mergeCell ref="P12:Q12"/>
    <mergeCell ref="J12:K12"/>
    <mergeCell ref="L12:M12"/>
    <mergeCell ref="N15:O15"/>
    <mergeCell ref="P15:Q15"/>
    <mergeCell ref="L24:M24"/>
    <mergeCell ref="N16:O16"/>
    <mergeCell ref="P16:Q16"/>
    <mergeCell ref="J31:K31"/>
    <mergeCell ref="L31:M31"/>
    <mergeCell ref="N31:O31"/>
    <mergeCell ref="P31:Q31"/>
    <mergeCell ref="P24:Q24"/>
    <mergeCell ref="P25:Q25"/>
    <mergeCell ref="N24:O24"/>
    <mergeCell ref="N23:O23"/>
    <mergeCell ref="P23:Q23"/>
    <mergeCell ref="L22:M22"/>
    <mergeCell ref="N22:O22"/>
    <mergeCell ref="P22:Q22"/>
    <mergeCell ref="L17:M17"/>
    <mergeCell ref="N17:O17"/>
    <mergeCell ref="P17:Q17"/>
    <mergeCell ref="J32:K32"/>
    <mergeCell ref="L32:M32"/>
    <mergeCell ref="N32:O32"/>
    <mergeCell ref="P32:Q32"/>
    <mergeCell ref="J25:K25"/>
    <mergeCell ref="J30:K30"/>
    <mergeCell ref="L30:M30"/>
    <mergeCell ref="N30:O30"/>
    <mergeCell ref="P30:Q30"/>
    <mergeCell ref="J29:K29"/>
    <mergeCell ref="L29:M29"/>
    <mergeCell ref="N29:O29"/>
    <mergeCell ref="P29:Q29"/>
    <mergeCell ref="L27:M27"/>
    <mergeCell ref="N27:O27"/>
    <mergeCell ref="P27:Q27"/>
    <mergeCell ref="J28:K28"/>
    <mergeCell ref="L28:M28"/>
    <mergeCell ref="N28:O28"/>
    <mergeCell ref="P28:Q28"/>
    <mergeCell ref="J35:K35"/>
    <mergeCell ref="L35:M35"/>
    <mergeCell ref="N35:O35"/>
    <mergeCell ref="P35:Q35"/>
    <mergeCell ref="J36:K36"/>
    <mergeCell ref="L36:M36"/>
    <mergeCell ref="N36:O36"/>
    <mergeCell ref="P36:Q36"/>
    <mergeCell ref="J33:K33"/>
    <mergeCell ref="L33:M33"/>
    <mergeCell ref="N33:O33"/>
    <mergeCell ref="P33:Q33"/>
    <mergeCell ref="J34:K34"/>
    <mergeCell ref="L34:M34"/>
    <mergeCell ref="N34:O34"/>
    <mergeCell ref="P34:Q34"/>
  </mergeCells>
  <pageMargins left="0.7" right="0.7" top="0.75" bottom="0.75" header="0.3" footer="0.3"/>
  <legacy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89</v>
      </c>
      <c r="G1" s="241" t="s">
        <v>3</v>
      </c>
      <c r="H1" s="235" t="s">
        <v>4</v>
      </c>
      <c r="I1" s="329" t="s">
        <v>5</v>
      </c>
      <c r="J1" s="261"/>
      <c r="K1" s="262" t="s">
        <v>336</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99" t="s">
        <v>90</v>
      </c>
      <c r="AD2" s="31" t="s">
        <v>95</v>
      </c>
    </row>
    <row r="3" spans="1:30" ht="15.75" customHeight="1" x14ac:dyDescent="0.2">
      <c r="A3" s="71" t="s">
        <v>29</v>
      </c>
      <c r="B3" s="144">
        <v>41810</v>
      </c>
      <c r="C3" s="71" t="s">
        <v>29</v>
      </c>
      <c r="D3" s="71" t="s">
        <v>29</v>
      </c>
      <c r="E3" s="71" t="s">
        <v>235</v>
      </c>
      <c r="F3" s="71" t="s">
        <v>235</v>
      </c>
      <c r="G3" s="71" t="s">
        <v>227</v>
      </c>
      <c r="H3" s="71" t="s">
        <v>212</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B3" s="96"/>
      <c r="AC3" s="96"/>
      <c r="AD3" s="69" t="s">
        <v>205</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99" t="s">
        <v>90</v>
      </c>
      <c r="AD4" s="31" t="s">
        <v>95</v>
      </c>
    </row>
    <row r="5" spans="1:30" ht="15.75" customHeight="1" x14ac:dyDescent="0.2">
      <c r="A5" s="71" t="s">
        <v>29</v>
      </c>
      <c r="B5" s="144">
        <v>41810</v>
      </c>
      <c r="C5" s="71" t="s">
        <v>29</v>
      </c>
      <c r="D5" s="71" t="s">
        <v>29</v>
      </c>
      <c r="E5" s="71" t="s">
        <v>235</v>
      </c>
      <c r="F5" s="71" t="s">
        <v>235</v>
      </c>
      <c r="G5" s="71" t="s">
        <v>227</v>
      </c>
      <c r="H5" s="71" t="s">
        <v>212</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c r="AB5" s="96"/>
      <c r="AC5" s="96"/>
      <c r="AD5" s="69" t="s">
        <v>205</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t="s">
        <v>260</v>
      </c>
      <c r="D7" s="155" t="s">
        <v>260</v>
      </c>
      <c r="E7" s="155" t="s">
        <v>260</v>
      </c>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204</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423">
        <v>0</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352</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t="e">
        <f>C16-C7</f>
        <v>#VALUE!</v>
      </c>
      <c r="D17" s="172" t="e">
        <f>D16-D7</f>
        <v>#VALUE!</v>
      </c>
      <c r="E17" s="172" t="e">
        <f>E16-E7</f>
        <v>#VALUE!</v>
      </c>
      <c r="F17" s="172">
        <f>F16-F7</f>
        <v>0</v>
      </c>
      <c r="G17" s="173" t="e">
        <f>AVERAGE(C17:E17)</f>
        <v>#VALUE!</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topLeftCell="A7" workbookViewId="0">
      <selection activeCell="J29" sqref="A1:XFD1048576"/>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90</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168</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6"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6"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6"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6"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6"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6"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6"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6"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6"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6"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6"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6" ht="15.75" customHeight="1" x14ac:dyDescent="0.2">
      <c r="A28" s="234"/>
      <c r="B28" s="180"/>
      <c r="C28" s="181"/>
      <c r="D28" s="181"/>
      <c r="E28" s="181"/>
      <c r="F28" s="181"/>
      <c r="G28" s="181"/>
      <c r="H28" s="252"/>
      <c r="I28" s="181"/>
      <c r="J28" s="181"/>
      <c r="K28" s="181"/>
      <c r="L28" s="181"/>
      <c r="M28" s="181"/>
      <c r="N28" s="181"/>
      <c r="O28" s="181"/>
      <c r="P28" s="252"/>
      <c r="Q28" s="252"/>
      <c r="R28" s="182"/>
      <c r="S28" s="181"/>
      <c r="T28" s="181"/>
      <c r="U28" s="181"/>
      <c r="V28" s="181"/>
      <c r="W28" s="181"/>
      <c r="X28" s="181"/>
      <c r="Y28" s="181"/>
      <c r="Z28" s="181"/>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91</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171</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92</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173</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93</v>
      </c>
      <c r="G1" s="241" t="s">
        <v>3</v>
      </c>
      <c r="H1" s="235" t="s">
        <v>4</v>
      </c>
      <c r="I1" s="329" t="s">
        <v>5</v>
      </c>
      <c r="J1" s="261"/>
      <c r="K1" s="330"/>
      <c r="L1" s="382"/>
      <c r="M1" s="382"/>
      <c r="N1" s="382"/>
      <c r="O1" s="383"/>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290</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94</v>
      </c>
      <c r="G1" s="241" t="s">
        <v>3</v>
      </c>
      <c r="H1" s="235" t="s">
        <v>4</v>
      </c>
      <c r="I1" s="329" t="s">
        <v>5</v>
      </c>
      <c r="J1" s="261"/>
      <c r="K1" s="330"/>
      <c r="L1" s="382"/>
      <c r="M1" s="382"/>
      <c r="N1" s="382"/>
      <c r="O1" s="383"/>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174</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95</v>
      </c>
      <c r="G1" s="241" t="s">
        <v>3</v>
      </c>
      <c r="H1" s="235" t="s">
        <v>4</v>
      </c>
      <c r="I1" s="329" t="s">
        <v>5</v>
      </c>
      <c r="J1" s="261"/>
      <c r="K1" s="330" t="s">
        <v>337</v>
      </c>
      <c r="L1" s="382"/>
      <c r="M1" s="382"/>
      <c r="N1" s="382"/>
      <c r="O1" s="383"/>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99" t="s">
        <v>90</v>
      </c>
      <c r="AD2" s="31" t="s">
        <v>95</v>
      </c>
    </row>
    <row r="3" spans="1:30" ht="15.75" customHeight="1" x14ac:dyDescent="0.2">
      <c r="A3" s="71" t="s">
        <v>103</v>
      </c>
      <c r="B3" s="144">
        <v>41810</v>
      </c>
      <c r="C3" s="71" t="s">
        <v>29</v>
      </c>
      <c r="D3" s="71" t="s">
        <v>29</v>
      </c>
      <c r="E3" s="71" t="s">
        <v>235</v>
      </c>
      <c r="F3" s="71" t="s">
        <v>235</v>
      </c>
      <c r="G3" s="71" t="s">
        <v>227</v>
      </c>
      <c r="H3" s="71" t="s">
        <v>228</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c r="AA3" s="96"/>
      <c r="AB3" s="96"/>
      <c r="AC3" s="96"/>
      <c r="AD3" s="69" t="s">
        <v>205</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99" t="s">
        <v>90</v>
      </c>
      <c r="AD4" s="31" t="s">
        <v>95</v>
      </c>
    </row>
    <row r="5" spans="1:30" ht="15.75" customHeight="1" x14ac:dyDescent="0.2">
      <c r="A5" s="71" t="s">
        <v>103</v>
      </c>
      <c r="B5" s="144">
        <v>41810</v>
      </c>
      <c r="C5" s="71" t="s">
        <v>29</v>
      </c>
      <c r="D5" s="71" t="s">
        <v>29</v>
      </c>
      <c r="E5" s="71" t="s">
        <v>29</v>
      </c>
      <c r="F5" s="71" t="s">
        <v>279</v>
      </c>
      <c r="G5" s="71" t="s">
        <v>227</v>
      </c>
      <c r="H5" s="71" t="s">
        <v>228</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c r="AA5" s="96"/>
      <c r="AB5" s="96"/>
      <c r="AC5" s="96"/>
      <c r="AD5" s="69" t="s">
        <v>205</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t="s">
        <v>260</v>
      </c>
      <c r="D7" s="155" t="s">
        <v>260</v>
      </c>
      <c r="E7" s="155" t="s">
        <v>260</v>
      </c>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351</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t="e">
        <f>C16-C7</f>
        <v>#VALUE!</v>
      </c>
      <c r="D17" s="172" t="e">
        <f>D16-D7</f>
        <v>#VALUE!</v>
      </c>
      <c r="E17" s="172" t="e">
        <f>E16-E7</f>
        <v>#VALUE!</v>
      </c>
      <c r="F17" s="172">
        <f>F16-F7</f>
        <v>0</v>
      </c>
      <c r="G17" s="173" t="e">
        <f>AVERAGE(C17:E17)</f>
        <v>#VALUE!</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53"/>
      <c r="AB28" s="253"/>
      <c r="AC28" s="253"/>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B21" sqref="AB21"/>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96</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409" t="s">
        <v>201</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6"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6"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6"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6"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6"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6"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6"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6"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6"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6"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6"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6" ht="15.75" customHeight="1" x14ac:dyDescent="0.2">
      <c r="A28" s="234"/>
      <c r="B28" s="180"/>
      <c r="C28" s="181"/>
      <c r="D28" s="181"/>
      <c r="E28" s="181"/>
      <c r="F28" s="181"/>
      <c r="G28" s="181"/>
      <c r="H28" s="252"/>
      <c r="I28" s="181"/>
      <c r="J28" s="181"/>
      <c r="K28" s="181"/>
      <c r="L28" s="181"/>
      <c r="M28" s="181"/>
      <c r="N28" s="181"/>
      <c r="O28" s="181"/>
      <c r="P28" s="252"/>
      <c r="Q28" s="252"/>
      <c r="R28" s="182"/>
      <c r="S28" s="181"/>
      <c r="T28" s="181"/>
      <c r="U28" s="181"/>
      <c r="V28" s="181"/>
      <c r="W28" s="181"/>
      <c r="X28" s="181"/>
      <c r="Y28" s="181"/>
      <c r="Z28" s="181"/>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43"/>
  <sheetViews>
    <sheetView topLeftCell="A16" workbookViewId="0">
      <selection activeCell="R17" sqref="R17:Z29"/>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7109375" style="25" bestFit="1"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3" ht="12.75" x14ac:dyDescent="0.2">
      <c r="A1" s="132" t="s">
        <v>0</v>
      </c>
      <c r="B1" s="125">
        <v>2014</v>
      </c>
      <c r="C1" s="132" t="s">
        <v>1</v>
      </c>
      <c r="D1" s="125"/>
      <c r="E1" s="132" t="s">
        <v>2</v>
      </c>
      <c r="F1" s="125">
        <v>97</v>
      </c>
      <c r="G1" s="133" t="s">
        <v>3</v>
      </c>
      <c r="H1" s="125" t="s">
        <v>4</v>
      </c>
      <c r="I1" s="329" t="s">
        <v>5</v>
      </c>
      <c r="J1" s="261"/>
      <c r="K1" s="330" t="s">
        <v>338</v>
      </c>
      <c r="L1" s="382"/>
      <c r="M1" s="382"/>
      <c r="N1" s="382"/>
      <c r="O1" s="383"/>
      <c r="P1" s="333" t="s">
        <v>6</v>
      </c>
      <c r="Q1" s="261"/>
      <c r="R1" s="334"/>
      <c r="S1" s="272"/>
      <c r="T1" s="135"/>
      <c r="U1" s="135"/>
      <c r="V1" s="135"/>
      <c r="W1" s="135"/>
      <c r="X1" s="135"/>
      <c r="Y1" s="135"/>
      <c r="Z1" s="136"/>
    </row>
    <row r="2" spans="1:33"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c r="AE2" s="95" t="s">
        <v>346</v>
      </c>
      <c r="AF2" s="95" t="s">
        <v>347</v>
      </c>
      <c r="AG2" s="95" t="s">
        <v>348</v>
      </c>
    </row>
    <row r="3" spans="1:33" ht="15.75" customHeight="1" x14ac:dyDescent="0.2">
      <c r="A3" s="71" t="s">
        <v>103</v>
      </c>
      <c r="B3" s="144">
        <v>41783</v>
      </c>
      <c r="C3" s="71" t="s">
        <v>105</v>
      </c>
      <c r="D3" s="71" t="s">
        <v>29</v>
      </c>
      <c r="E3" s="71">
        <v>220612969</v>
      </c>
      <c r="F3" s="71" t="s">
        <v>152</v>
      </c>
      <c r="G3" s="71" t="s">
        <v>215</v>
      </c>
      <c r="H3" s="71" t="s">
        <v>29</v>
      </c>
      <c r="I3" s="71" t="s">
        <v>29</v>
      </c>
      <c r="J3" s="71">
        <v>583</v>
      </c>
      <c r="K3" s="71">
        <v>4</v>
      </c>
      <c r="L3" s="141" t="s">
        <v>29</v>
      </c>
      <c r="M3" s="141" t="s">
        <v>29</v>
      </c>
      <c r="N3" s="71">
        <v>312</v>
      </c>
      <c r="O3" s="71">
        <v>141</v>
      </c>
      <c r="P3" s="142" t="s">
        <v>29</v>
      </c>
      <c r="Q3" s="142" t="s">
        <v>29</v>
      </c>
      <c r="R3" s="142" t="s">
        <v>29</v>
      </c>
      <c r="S3" s="142" t="s">
        <v>29</v>
      </c>
      <c r="T3" s="142" t="s">
        <v>29</v>
      </c>
      <c r="U3" s="71" t="s">
        <v>4</v>
      </c>
      <c r="V3" s="71" t="s">
        <v>150</v>
      </c>
      <c r="W3" s="71" t="s">
        <v>151</v>
      </c>
      <c r="X3" s="142" t="s">
        <v>29</v>
      </c>
      <c r="Y3" s="191" t="s">
        <v>29</v>
      </c>
      <c r="Z3" s="191" t="s">
        <v>29</v>
      </c>
      <c r="AA3" s="66" t="s">
        <v>149</v>
      </c>
      <c r="AB3" s="69" t="s">
        <v>205</v>
      </c>
      <c r="AC3" s="96"/>
      <c r="AD3" s="96"/>
      <c r="AE3" s="69" t="s">
        <v>216</v>
      </c>
      <c r="AF3" s="96">
        <v>42</v>
      </c>
      <c r="AG3" s="101">
        <v>4</v>
      </c>
    </row>
    <row r="4" spans="1:33" ht="15.75" customHeight="1" x14ac:dyDescent="0.2">
      <c r="A4" s="71" t="s">
        <v>103</v>
      </c>
      <c r="B4" s="144">
        <v>41802</v>
      </c>
      <c r="C4" s="71"/>
      <c r="D4" s="71"/>
      <c r="E4" s="71"/>
      <c r="F4" s="71" t="s">
        <v>214</v>
      </c>
      <c r="G4" s="71" t="s">
        <v>211</v>
      </c>
      <c r="H4" s="71" t="s">
        <v>212</v>
      </c>
      <c r="I4" s="71"/>
      <c r="J4" s="71"/>
      <c r="K4" s="71"/>
      <c r="L4" s="192"/>
      <c r="M4" s="193"/>
      <c r="N4" s="71"/>
      <c r="O4" s="71"/>
      <c r="P4" s="142"/>
      <c r="Q4" s="183"/>
      <c r="R4" s="189"/>
      <c r="S4" s="142"/>
      <c r="T4" s="142"/>
      <c r="U4" s="71"/>
      <c r="V4" s="71"/>
      <c r="W4" s="71"/>
      <c r="X4" s="183"/>
      <c r="Y4" s="148"/>
      <c r="Z4" s="148"/>
      <c r="AA4" s="66"/>
      <c r="AB4" s="96"/>
      <c r="AC4" s="96"/>
      <c r="AD4" s="69" t="s">
        <v>205</v>
      </c>
      <c r="AE4" s="96"/>
      <c r="AF4" s="96"/>
      <c r="AG4" s="96"/>
    </row>
    <row r="5" spans="1:33" ht="15.75" customHeight="1" x14ac:dyDescent="0.2">
      <c r="A5" s="71" t="s">
        <v>103</v>
      </c>
      <c r="B5" s="144">
        <v>41803</v>
      </c>
      <c r="C5" s="71"/>
      <c r="D5" s="71"/>
      <c r="E5" s="71"/>
      <c r="F5" s="71" t="s">
        <v>152</v>
      </c>
      <c r="G5" s="71" t="s">
        <v>225</v>
      </c>
      <c r="H5" s="71"/>
      <c r="I5" s="71"/>
      <c r="J5" s="71"/>
      <c r="K5" s="71"/>
      <c r="L5" s="192"/>
      <c r="M5" s="193"/>
      <c r="N5" s="71"/>
      <c r="O5" s="71"/>
      <c r="P5" s="142"/>
      <c r="Q5" s="183"/>
      <c r="R5" s="189"/>
      <c r="S5" s="142"/>
      <c r="T5" s="142"/>
      <c r="U5" s="71"/>
      <c r="V5" s="71"/>
      <c r="W5" s="71"/>
      <c r="X5" s="183"/>
      <c r="Y5" s="148"/>
      <c r="Z5" s="148"/>
      <c r="AA5" s="66"/>
      <c r="AB5" s="96"/>
      <c r="AC5" s="96"/>
      <c r="AD5" s="69" t="s">
        <v>205</v>
      </c>
      <c r="AE5" s="96"/>
      <c r="AF5" s="96"/>
      <c r="AG5" s="96"/>
    </row>
    <row r="6" spans="1:33" ht="27.75" customHeight="1" x14ac:dyDescent="0.2">
      <c r="A6" s="68" t="s">
        <v>30</v>
      </c>
      <c r="B6" s="139" t="s">
        <v>9</v>
      </c>
      <c r="C6" s="139" t="s">
        <v>10</v>
      </c>
      <c r="D6" s="139" t="s">
        <v>11</v>
      </c>
      <c r="E6" s="139" t="s">
        <v>12</v>
      </c>
      <c r="F6" s="139" t="s">
        <v>13</v>
      </c>
      <c r="G6" s="139" t="s">
        <v>14</v>
      </c>
      <c r="H6" s="139" t="s">
        <v>15</v>
      </c>
      <c r="I6" s="139" t="s">
        <v>16</v>
      </c>
      <c r="J6" s="139" t="s">
        <v>31</v>
      </c>
      <c r="K6" s="139" t="s">
        <v>32</v>
      </c>
      <c r="L6" s="338" t="s">
        <v>19</v>
      </c>
      <c r="M6" s="336"/>
      <c r="N6" s="139" t="s">
        <v>20</v>
      </c>
      <c r="O6" s="139" t="s">
        <v>21</v>
      </c>
      <c r="P6" s="139" t="s">
        <v>22</v>
      </c>
      <c r="Q6" s="338" t="s">
        <v>23</v>
      </c>
      <c r="R6" s="336"/>
      <c r="S6" s="139" t="s">
        <v>24</v>
      </c>
      <c r="T6" s="139" t="s">
        <v>25</v>
      </c>
      <c r="U6" s="139" t="s">
        <v>26</v>
      </c>
      <c r="V6" s="139" t="s">
        <v>92</v>
      </c>
      <c r="W6" s="139" t="s">
        <v>93</v>
      </c>
      <c r="X6" s="139" t="s">
        <v>27</v>
      </c>
      <c r="Y6" s="335" t="s">
        <v>28</v>
      </c>
      <c r="Z6" s="531"/>
      <c r="AA6" s="31" t="s">
        <v>89</v>
      </c>
      <c r="AB6" s="31" t="s">
        <v>91</v>
      </c>
      <c r="AC6" s="32" t="s">
        <v>90</v>
      </c>
      <c r="AD6" s="31" t="s">
        <v>95</v>
      </c>
    </row>
    <row r="7" spans="1:33" ht="15.75" customHeight="1" x14ac:dyDescent="0.2">
      <c r="A7" s="71" t="s">
        <v>29</v>
      </c>
      <c r="B7" s="144">
        <v>41803</v>
      </c>
      <c r="C7" s="71" t="s">
        <v>29</v>
      </c>
      <c r="D7" s="71" t="s">
        <v>29</v>
      </c>
      <c r="E7" s="71" t="s">
        <v>235</v>
      </c>
      <c r="F7" s="71" t="s">
        <v>235</v>
      </c>
      <c r="G7" s="66" t="s">
        <v>225</v>
      </c>
      <c r="H7" s="71" t="s">
        <v>29</v>
      </c>
      <c r="I7" s="80" t="s">
        <v>29</v>
      </c>
      <c r="J7" s="80" t="s">
        <v>29</v>
      </c>
      <c r="K7" s="80" t="s">
        <v>29</v>
      </c>
      <c r="L7" s="91" t="s">
        <v>29</v>
      </c>
      <c r="M7" s="91" t="s">
        <v>29</v>
      </c>
      <c r="N7" s="80" t="s">
        <v>29</v>
      </c>
      <c r="O7" s="80" t="s">
        <v>29</v>
      </c>
      <c r="P7" s="145" t="s">
        <v>29</v>
      </c>
      <c r="Q7" s="145" t="s">
        <v>29</v>
      </c>
      <c r="R7" s="142" t="s">
        <v>29</v>
      </c>
      <c r="S7" s="142" t="s">
        <v>29</v>
      </c>
      <c r="T7" s="142" t="s">
        <v>29</v>
      </c>
      <c r="U7" s="71" t="s">
        <v>29</v>
      </c>
      <c r="V7" s="71" t="s">
        <v>29</v>
      </c>
      <c r="W7" s="71" t="s">
        <v>29</v>
      </c>
      <c r="X7" s="142" t="s">
        <v>29</v>
      </c>
      <c r="Y7" s="142" t="s">
        <v>29</v>
      </c>
      <c r="Z7" s="142" t="s">
        <v>29</v>
      </c>
      <c r="AA7" s="96"/>
      <c r="AB7" s="96"/>
      <c r="AC7" s="96"/>
      <c r="AD7" s="69" t="s">
        <v>205</v>
      </c>
    </row>
    <row r="8" spans="1:33" ht="16.5" customHeight="1" x14ac:dyDescent="0.2">
      <c r="A8" s="149" t="s">
        <v>33</v>
      </c>
      <c r="B8" s="139" t="s">
        <v>9</v>
      </c>
      <c r="C8" s="162" t="s">
        <v>34</v>
      </c>
      <c r="D8" s="162" t="s">
        <v>35</v>
      </c>
      <c r="E8" s="162" t="s">
        <v>36</v>
      </c>
      <c r="F8" s="162" t="s">
        <v>37</v>
      </c>
      <c r="G8" s="162" t="s">
        <v>38</v>
      </c>
      <c r="H8" s="190" t="s">
        <v>39</v>
      </c>
      <c r="I8" s="184" t="s">
        <v>9</v>
      </c>
      <c r="J8" s="339" t="s">
        <v>40</v>
      </c>
      <c r="K8" s="339"/>
      <c r="L8" s="339" t="s">
        <v>41</v>
      </c>
      <c r="M8" s="339"/>
      <c r="N8" s="339" t="s">
        <v>42</v>
      </c>
      <c r="O8" s="339"/>
      <c r="P8" s="339" t="s">
        <v>43</v>
      </c>
      <c r="Q8" s="339"/>
      <c r="R8" s="35"/>
      <c r="S8" s="340" t="s">
        <v>44</v>
      </c>
      <c r="T8" s="275"/>
      <c r="U8" s="275"/>
      <c r="V8" s="275"/>
      <c r="W8" s="275"/>
      <c r="X8" s="275"/>
      <c r="Y8" s="275"/>
      <c r="Z8" s="336"/>
    </row>
    <row r="9" spans="1:33" ht="15.75" customHeight="1" x14ac:dyDescent="0.2">
      <c r="A9" s="154" t="s">
        <v>45</v>
      </c>
      <c r="B9" s="142"/>
      <c r="C9" s="155">
        <v>41800</v>
      </c>
      <c r="D9" s="155">
        <v>41802</v>
      </c>
      <c r="E9" s="155">
        <v>41804</v>
      </c>
      <c r="F9" s="155"/>
      <c r="G9" s="156">
        <f>AVERAGE(C9:F9)</f>
        <v>41802</v>
      </c>
      <c r="H9" s="157" t="s">
        <v>46</v>
      </c>
      <c r="I9" s="158"/>
      <c r="J9" s="276">
        <v>2</v>
      </c>
      <c r="K9" s="267"/>
      <c r="L9" s="346">
        <v>2</v>
      </c>
      <c r="M9" s="267"/>
      <c r="N9" s="346">
        <v>1</v>
      </c>
      <c r="O9" s="267"/>
      <c r="P9" s="347">
        <v>0</v>
      </c>
      <c r="Q9" s="267"/>
      <c r="R9" s="159" t="s">
        <v>47</v>
      </c>
      <c r="S9" s="160"/>
      <c r="T9" s="106">
        <v>3</v>
      </c>
      <c r="U9" s="348" t="s">
        <v>48</v>
      </c>
      <c r="V9" s="348"/>
      <c r="W9" s="348"/>
      <c r="X9" s="349" t="s">
        <v>29</v>
      </c>
      <c r="Y9" s="350"/>
      <c r="Z9" s="351"/>
    </row>
    <row r="10" spans="1:33" ht="15.75" customHeight="1" x14ac:dyDescent="0.2">
      <c r="A10" s="161" t="s">
        <v>49</v>
      </c>
      <c r="B10" s="142" t="s">
        <v>29</v>
      </c>
      <c r="C10" s="142" t="s">
        <v>29</v>
      </c>
      <c r="D10" s="142" t="s">
        <v>29</v>
      </c>
      <c r="E10" s="142" t="s">
        <v>29</v>
      </c>
      <c r="F10" s="142" t="s">
        <v>29</v>
      </c>
      <c r="G10" s="162"/>
      <c r="H10" s="157" t="s">
        <v>50</v>
      </c>
      <c r="I10" s="166">
        <v>41835</v>
      </c>
      <c r="J10" s="341">
        <f>IF(((I10-C18)&gt;0),(I10-C18),"/")</f>
        <v>2</v>
      </c>
      <c r="K10" s="336"/>
      <c r="L10" s="341">
        <f>IF(((I10-D18)&gt;0),(I10-D18),"/")</f>
        <v>1</v>
      </c>
      <c r="M10" s="336"/>
      <c r="N10" s="341">
        <v>0</v>
      </c>
      <c r="O10" s="336"/>
      <c r="P10" s="341" t="s">
        <v>410</v>
      </c>
      <c r="Q10" s="336"/>
      <c r="R10" s="164" t="s">
        <v>51</v>
      </c>
      <c r="S10" s="165"/>
      <c r="T10" s="106">
        <v>0</v>
      </c>
      <c r="U10" s="342" t="s">
        <v>52</v>
      </c>
      <c r="V10" s="342"/>
      <c r="W10" s="342"/>
      <c r="X10" s="343" t="s">
        <v>29</v>
      </c>
      <c r="Y10" s="344"/>
      <c r="Z10" s="345"/>
    </row>
    <row r="11" spans="1:33" ht="15.75" customHeight="1" x14ac:dyDescent="0.2">
      <c r="A11" s="161" t="s">
        <v>49</v>
      </c>
      <c r="B11" s="142" t="s">
        <v>29</v>
      </c>
      <c r="C11" s="142" t="s">
        <v>29</v>
      </c>
      <c r="D11" s="142" t="s">
        <v>29</v>
      </c>
      <c r="E11" s="142" t="s">
        <v>29</v>
      </c>
      <c r="F11" s="142" t="s">
        <v>29</v>
      </c>
      <c r="G11" s="162"/>
      <c r="H11" s="157" t="s">
        <v>53</v>
      </c>
      <c r="I11" s="166">
        <v>41835</v>
      </c>
      <c r="J11" s="355">
        <v>45</v>
      </c>
      <c r="K11" s="336"/>
      <c r="L11" s="356">
        <v>36</v>
      </c>
      <c r="M11" s="336"/>
      <c r="N11" s="356">
        <v>34</v>
      </c>
      <c r="O11" s="336"/>
      <c r="P11" s="357" t="s">
        <v>410</v>
      </c>
      <c r="Q11" s="336"/>
      <c r="R11" s="164" t="s">
        <v>54</v>
      </c>
      <c r="S11" s="165"/>
      <c r="T11" s="106">
        <v>3</v>
      </c>
      <c r="U11" s="342" t="s">
        <v>55</v>
      </c>
      <c r="V11" s="342"/>
      <c r="W11" s="342"/>
      <c r="X11" s="343" t="s">
        <v>29</v>
      </c>
      <c r="Y11" s="344"/>
      <c r="Z11" s="345"/>
    </row>
    <row r="12" spans="1:33" ht="15" customHeight="1" x14ac:dyDescent="0.2">
      <c r="A12" s="161" t="s">
        <v>49</v>
      </c>
      <c r="B12" s="142" t="s">
        <v>29</v>
      </c>
      <c r="C12" s="142" t="s">
        <v>29</v>
      </c>
      <c r="D12" s="142" t="s">
        <v>29</v>
      </c>
      <c r="E12" s="142" t="s">
        <v>29</v>
      </c>
      <c r="F12" s="142" t="s">
        <v>29</v>
      </c>
      <c r="G12" s="162"/>
      <c r="H12" s="157" t="s">
        <v>56</v>
      </c>
      <c r="I12" s="167"/>
      <c r="J12" s="354" t="s">
        <v>29</v>
      </c>
      <c r="K12" s="336"/>
      <c r="L12" s="353" t="s">
        <v>29</v>
      </c>
      <c r="M12" s="336"/>
      <c r="N12" s="354" t="s">
        <v>29</v>
      </c>
      <c r="O12" s="336"/>
      <c r="P12" s="353" t="s">
        <v>29</v>
      </c>
      <c r="Q12" s="336"/>
      <c r="R12" s="164" t="s">
        <v>57</v>
      </c>
      <c r="S12" s="165"/>
      <c r="T12" s="106">
        <v>2</v>
      </c>
      <c r="U12" s="342" t="s">
        <v>58</v>
      </c>
      <c r="V12" s="342"/>
      <c r="W12" s="342"/>
      <c r="X12" s="343" t="s">
        <v>29</v>
      </c>
      <c r="Y12" s="344"/>
      <c r="Z12" s="345"/>
    </row>
    <row r="13" spans="1:33" ht="15" customHeight="1" x14ac:dyDescent="0.2">
      <c r="A13" s="161" t="s">
        <v>49</v>
      </c>
      <c r="B13" s="142" t="s">
        <v>29</v>
      </c>
      <c r="C13" s="142" t="s">
        <v>29</v>
      </c>
      <c r="D13" s="142" t="s">
        <v>29</v>
      </c>
      <c r="E13" s="142" t="s">
        <v>29</v>
      </c>
      <c r="F13" s="142" t="s">
        <v>29</v>
      </c>
      <c r="G13" s="162"/>
      <c r="H13" s="157" t="s">
        <v>59</v>
      </c>
      <c r="I13" s="163">
        <v>41840</v>
      </c>
      <c r="J13" s="341">
        <f>I13-C18</f>
        <v>7</v>
      </c>
      <c r="K13" s="336"/>
      <c r="L13" s="341">
        <f>I13-D18</f>
        <v>6</v>
      </c>
      <c r="M13" s="336"/>
      <c r="N13" s="341" t="s">
        <v>410</v>
      </c>
      <c r="O13" s="336"/>
      <c r="P13" s="362" t="s">
        <v>410</v>
      </c>
      <c r="Q13" s="336"/>
      <c r="R13" s="164" t="s">
        <v>60</v>
      </c>
      <c r="S13" s="165"/>
      <c r="T13" s="106">
        <v>2</v>
      </c>
      <c r="U13" s="342" t="s">
        <v>61</v>
      </c>
      <c r="V13" s="342"/>
      <c r="W13" s="342"/>
      <c r="X13" s="343" t="s">
        <v>29</v>
      </c>
      <c r="Y13" s="344"/>
      <c r="Z13" s="345"/>
    </row>
    <row r="14" spans="1:33" ht="15.75" customHeight="1" x14ac:dyDescent="0.2">
      <c r="A14" s="161" t="s">
        <v>49</v>
      </c>
      <c r="B14" s="142" t="s">
        <v>29</v>
      </c>
      <c r="C14" s="142" t="s">
        <v>29</v>
      </c>
      <c r="D14" s="142" t="s">
        <v>29</v>
      </c>
      <c r="E14" s="142" t="s">
        <v>29</v>
      </c>
      <c r="F14" s="142" t="s">
        <v>29</v>
      </c>
      <c r="G14" s="162"/>
      <c r="H14" s="157" t="s">
        <v>62</v>
      </c>
      <c r="I14" s="166">
        <v>41840</v>
      </c>
      <c r="J14" s="355">
        <v>154</v>
      </c>
      <c r="K14" s="336"/>
      <c r="L14" s="356">
        <v>127</v>
      </c>
      <c r="M14" s="336"/>
      <c r="N14" s="356" t="s">
        <v>410</v>
      </c>
      <c r="O14" s="336"/>
      <c r="P14" s="357" t="s">
        <v>410</v>
      </c>
      <c r="Q14" s="336"/>
      <c r="R14" s="164" t="s">
        <v>63</v>
      </c>
      <c r="S14" s="165"/>
      <c r="T14" s="168">
        <v>1</v>
      </c>
      <c r="U14" s="358" t="s">
        <v>64</v>
      </c>
      <c r="V14" s="358"/>
      <c r="W14" s="358"/>
      <c r="X14" s="359" t="s">
        <v>29</v>
      </c>
      <c r="Y14" s="360"/>
      <c r="Z14" s="360"/>
    </row>
    <row r="15" spans="1:33" ht="15.75" customHeight="1" x14ac:dyDescent="0.2">
      <c r="A15" s="161" t="s">
        <v>49</v>
      </c>
      <c r="B15" s="142" t="s">
        <v>29</v>
      </c>
      <c r="C15" s="142" t="s">
        <v>29</v>
      </c>
      <c r="D15" s="142" t="s">
        <v>29</v>
      </c>
      <c r="E15" s="142" t="s">
        <v>29</v>
      </c>
      <c r="F15" s="142" t="s">
        <v>29</v>
      </c>
      <c r="G15" s="162"/>
      <c r="H15" s="157" t="s">
        <v>65</v>
      </c>
      <c r="I15" s="167"/>
      <c r="J15" s="352" t="s">
        <v>29</v>
      </c>
      <c r="K15" s="336"/>
      <c r="L15" s="353" t="s">
        <v>29</v>
      </c>
      <c r="M15" s="336"/>
      <c r="N15" s="353" t="s">
        <v>29</v>
      </c>
      <c r="O15" s="336"/>
      <c r="P15" s="354" t="s">
        <v>29</v>
      </c>
      <c r="Q15" s="272"/>
      <c r="R15" s="401" t="s">
        <v>66</v>
      </c>
      <c r="S15" s="402"/>
      <c r="T15" s="402"/>
      <c r="U15" s="402"/>
      <c r="V15" s="402"/>
      <c r="W15" s="402"/>
      <c r="X15" s="402"/>
      <c r="Y15" s="402"/>
      <c r="Z15" s="402"/>
    </row>
    <row r="16" spans="1:33" ht="15.75" customHeight="1" x14ac:dyDescent="0.2">
      <c r="A16" s="161" t="s">
        <v>49</v>
      </c>
      <c r="B16" s="142" t="s">
        <v>29</v>
      </c>
      <c r="C16" s="142" t="s">
        <v>29</v>
      </c>
      <c r="D16" s="142" t="s">
        <v>29</v>
      </c>
      <c r="E16" s="142" t="s">
        <v>29</v>
      </c>
      <c r="F16" s="142" t="s">
        <v>29</v>
      </c>
      <c r="G16" s="162"/>
      <c r="H16" s="157" t="s">
        <v>67</v>
      </c>
      <c r="I16" s="167"/>
      <c r="J16" s="352" t="s">
        <v>29</v>
      </c>
      <c r="K16" s="336"/>
      <c r="L16" s="353" t="s">
        <v>29</v>
      </c>
      <c r="M16" s="336"/>
      <c r="N16" s="353" t="s">
        <v>29</v>
      </c>
      <c r="O16" s="336"/>
      <c r="P16" s="354" t="s">
        <v>29</v>
      </c>
      <c r="Q16" s="272"/>
      <c r="R16" s="329"/>
      <c r="S16" s="329"/>
      <c r="T16" s="329"/>
      <c r="U16" s="329"/>
      <c r="V16" s="329"/>
      <c r="W16" s="329"/>
      <c r="X16" s="329"/>
      <c r="Y16" s="329"/>
      <c r="Z16" s="329"/>
    </row>
    <row r="17" spans="1:26" ht="15.75" customHeight="1" x14ac:dyDescent="0.2">
      <c r="A17" s="161" t="s">
        <v>49</v>
      </c>
      <c r="B17" s="142" t="s">
        <v>29</v>
      </c>
      <c r="C17" s="142" t="s">
        <v>29</v>
      </c>
      <c r="D17" s="142" t="s">
        <v>29</v>
      </c>
      <c r="E17" s="142" t="s">
        <v>29</v>
      </c>
      <c r="F17" s="142" t="s">
        <v>29</v>
      </c>
      <c r="G17" s="162"/>
      <c r="H17" s="157" t="s">
        <v>68</v>
      </c>
      <c r="I17" s="167"/>
      <c r="J17" s="354" t="s">
        <v>29</v>
      </c>
      <c r="K17" s="336"/>
      <c r="L17" s="353" t="s">
        <v>29</v>
      </c>
      <c r="M17" s="336"/>
      <c r="N17" s="353" t="s">
        <v>29</v>
      </c>
      <c r="O17" s="336"/>
      <c r="P17" s="363" t="s">
        <v>29</v>
      </c>
      <c r="Q17" s="293"/>
      <c r="R17" s="305" t="s">
        <v>433</v>
      </c>
      <c r="S17" s="305"/>
      <c r="T17" s="305"/>
      <c r="U17" s="305"/>
      <c r="V17" s="305"/>
      <c r="W17" s="305"/>
      <c r="X17" s="305"/>
      <c r="Y17" s="305"/>
      <c r="Z17" s="305"/>
    </row>
    <row r="18" spans="1:26" ht="15.75" customHeight="1" x14ac:dyDescent="0.2">
      <c r="A18" s="171" t="s">
        <v>69</v>
      </c>
      <c r="B18" s="142"/>
      <c r="C18" s="155">
        <v>41833</v>
      </c>
      <c r="D18" s="155">
        <v>41834</v>
      </c>
      <c r="E18" s="155">
        <v>41835</v>
      </c>
      <c r="F18" s="155"/>
      <c r="G18" s="156">
        <f>AVERAGE(C18:F18)</f>
        <v>41834</v>
      </c>
      <c r="H18" s="157" t="s">
        <v>70</v>
      </c>
      <c r="I18" s="163">
        <v>41844</v>
      </c>
      <c r="J18" s="364">
        <f>I18-C18</f>
        <v>11</v>
      </c>
      <c r="K18" s="336"/>
      <c r="L18" s="364">
        <f>I18-D18</f>
        <v>10</v>
      </c>
      <c r="M18" s="336"/>
      <c r="N18" s="341" t="s">
        <v>410</v>
      </c>
      <c r="O18" s="336"/>
      <c r="P18" s="341" t="s">
        <v>410</v>
      </c>
      <c r="Q18" s="336"/>
      <c r="R18" s="307"/>
      <c r="S18" s="307"/>
      <c r="T18" s="307"/>
      <c r="U18" s="307"/>
      <c r="V18" s="307"/>
      <c r="W18" s="307"/>
      <c r="X18" s="307"/>
      <c r="Y18" s="307"/>
      <c r="Z18" s="307"/>
    </row>
    <row r="19" spans="1:26" ht="15.75" customHeight="1" x14ac:dyDescent="0.2">
      <c r="A19" s="338" t="s">
        <v>71</v>
      </c>
      <c r="B19" s="368"/>
      <c r="C19" s="172">
        <f>C18-C9</f>
        <v>33</v>
      </c>
      <c r="D19" s="172">
        <f>D18-D9</f>
        <v>32</v>
      </c>
      <c r="E19" s="172">
        <f>E18-E9</f>
        <v>31</v>
      </c>
      <c r="F19" s="172">
        <f>F18-F9</f>
        <v>0</v>
      </c>
      <c r="G19" s="173">
        <f>AVERAGE(C19:E19)</f>
        <v>32</v>
      </c>
      <c r="H19" s="157" t="s">
        <v>72</v>
      </c>
      <c r="I19" s="166">
        <v>41844</v>
      </c>
      <c r="J19" s="357">
        <v>304</v>
      </c>
      <c r="K19" s="336"/>
      <c r="L19" s="356">
        <v>239</v>
      </c>
      <c r="M19" s="336"/>
      <c r="N19" s="356" t="s">
        <v>410</v>
      </c>
      <c r="O19" s="336"/>
      <c r="P19" s="356" t="s">
        <v>410</v>
      </c>
      <c r="Q19" s="336"/>
      <c r="R19" s="307"/>
      <c r="S19" s="307"/>
      <c r="T19" s="307"/>
      <c r="U19" s="307"/>
      <c r="V19" s="307"/>
      <c r="W19" s="307"/>
      <c r="X19" s="307"/>
      <c r="Y19" s="307"/>
      <c r="Z19" s="307"/>
    </row>
    <row r="20" spans="1:26" ht="15.75" customHeight="1" x14ac:dyDescent="0.2">
      <c r="A20" s="340" t="s">
        <v>73</v>
      </c>
      <c r="B20" s="340"/>
      <c r="C20" s="325" t="s">
        <v>40</v>
      </c>
      <c r="D20" s="325" t="s">
        <v>41</v>
      </c>
      <c r="E20" s="325" t="s">
        <v>42</v>
      </c>
      <c r="F20" s="325" t="s">
        <v>43</v>
      </c>
      <c r="G20" s="339" t="s">
        <v>38</v>
      </c>
      <c r="H20" s="167" t="s">
        <v>78</v>
      </c>
      <c r="I20" s="167"/>
      <c r="J20" s="354" t="s">
        <v>29</v>
      </c>
      <c r="K20" s="336"/>
      <c r="L20" s="353" t="s">
        <v>29</v>
      </c>
      <c r="M20" s="336"/>
      <c r="N20" s="370" t="s">
        <v>29</v>
      </c>
      <c r="O20" s="272"/>
      <c r="P20" s="371" t="s">
        <v>29</v>
      </c>
      <c r="Q20" s="261"/>
      <c r="R20" s="307"/>
      <c r="S20" s="307"/>
      <c r="T20" s="307"/>
      <c r="U20" s="307"/>
      <c r="V20" s="307"/>
      <c r="W20" s="307"/>
      <c r="X20" s="307"/>
      <c r="Y20" s="307"/>
      <c r="Z20" s="307"/>
    </row>
    <row r="21" spans="1:26" ht="15" customHeight="1" x14ac:dyDescent="0.2">
      <c r="A21" s="369"/>
      <c r="B21" s="369"/>
      <c r="C21" s="261"/>
      <c r="D21" s="261"/>
      <c r="E21" s="261"/>
      <c r="F21" s="261"/>
      <c r="G21" s="261"/>
      <c r="H21" s="167" t="s">
        <v>67</v>
      </c>
      <c r="I21" s="167"/>
      <c r="J21" s="354" t="s">
        <v>29</v>
      </c>
      <c r="K21" s="336"/>
      <c r="L21" s="353" t="s">
        <v>29</v>
      </c>
      <c r="M21" s="336"/>
      <c r="N21" s="370" t="s">
        <v>29</v>
      </c>
      <c r="O21" s="272"/>
      <c r="P21" s="371" t="s">
        <v>29</v>
      </c>
      <c r="Q21" s="261"/>
      <c r="R21" s="307"/>
      <c r="S21" s="307"/>
      <c r="T21" s="307"/>
      <c r="U21" s="307"/>
      <c r="V21" s="307"/>
      <c r="W21" s="307"/>
      <c r="X21" s="307"/>
      <c r="Y21" s="307"/>
      <c r="Z21" s="307"/>
    </row>
    <row r="22" spans="1:26" ht="15.75" customHeight="1" x14ac:dyDescent="0.2">
      <c r="A22" s="372" t="s">
        <v>79</v>
      </c>
      <c r="B22" s="373"/>
      <c r="C22" s="201" t="s">
        <v>432</v>
      </c>
      <c r="D22" s="201" t="s">
        <v>422</v>
      </c>
      <c r="E22" s="201" t="s">
        <v>410</v>
      </c>
      <c r="F22" s="122" t="s">
        <v>29</v>
      </c>
      <c r="G22" s="122" t="s">
        <v>29</v>
      </c>
      <c r="H22" s="157" t="s">
        <v>68</v>
      </c>
      <c r="I22" s="167"/>
      <c r="J22" s="354" t="s">
        <v>29</v>
      </c>
      <c r="K22" s="336"/>
      <c r="L22" s="353" t="s">
        <v>29</v>
      </c>
      <c r="M22" s="336"/>
      <c r="N22" s="370" t="s">
        <v>29</v>
      </c>
      <c r="O22" s="272"/>
      <c r="P22" s="371" t="s">
        <v>29</v>
      </c>
      <c r="Q22" s="261"/>
      <c r="R22" s="307"/>
      <c r="S22" s="307"/>
      <c r="T22" s="307"/>
      <c r="U22" s="307"/>
      <c r="V22" s="307"/>
      <c r="W22" s="307"/>
      <c r="X22" s="307"/>
      <c r="Y22" s="307"/>
      <c r="Z22" s="307"/>
    </row>
    <row r="23" spans="1:26" ht="15.75" customHeight="1" x14ac:dyDescent="0.2">
      <c r="A23" s="372" t="s">
        <v>46</v>
      </c>
      <c r="B23" s="373"/>
      <c r="C23" s="201" t="s">
        <v>354</v>
      </c>
      <c r="D23" s="201" t="s">
        <v>355</v>
      </c>
      <c r="E23" s="71" t="s">
        <v>356</v>
      </c>
      <c r="F23" s="71" t="s">
        <v>29</v>
      </c>
      <c r="G23" s="71" t="s">
        <v>29</v>
      </c>
      <c r="H23" s="176" t="s">
        <v>80</v>
      </c>
      <c r="I23" s="163">
        <v>41850</v>
      </c>
      <c r="J23" s="364">
        <f>I23-C18</f>
        <v>17</v>
      </c>
      <c r="K23" s="336"/>
      <c r="L23" s="364">
        <f>I23-D18</f>
        <v>16</v>
      </c>
      <c r="M23" s="336"/>
      <c r="N23" s="341" t="s">
        <v>410</v>
      </c>
      <c r="O23" s="336"/>
      <c r="P23" s="341" t="s">
        <v>410</v>
      </c>
      <c r="Q23" s="336"/>
      <c r="R23" s="307"/>
      <c r="S23" s="307"/>
      <c r="T23" s="307"/>
      <c r="U23" s="307"/>
      <c r="V23" s="307"/>
      <c r="W23" s="307"/>
      <c r="X23" s="307"/>
      <c r="Y23" s="307"/>
      <c r="Z23" s="307"/>
    </row>
    <row r="24" spans="1:26" ht="15.75" customHeight="1" x14ac:dyDescent="0.2">
      <c r="A24" s="372" t="s">
        <v>81</v>
      </c>
      <c r="B24" s="373"/>
      <c r="C24" s="201">
        <v>41859</v>
      </c>
      <c r="D24" s="201">
        <v>41859</v>
      </c>
      <c r="E24" s="71" t="s">
        <v>410</v>
      </c>
      <c r="F24" s="208" t="s">
        <v>29</v>
      </c>
      <c r="G24" s="106" t="s">
        <v>29</v>
      </c>
      <c r="H24" s="178" t="s">
        <v>82</v>
      </c>
      <c r="I24" s="166">
        <v>41850</v>
      </c>
      <c r="J24" s="357">
        <v>494</v>
      </c>
      <c r="K24" s="336"/>
      <c r="L24" s="356">
        <v>377</v>
      </c>
      <c r="M24" s="336"/>
      <c r="N24" s="356" t="s">
        <v>410</v>
      </c>
      <c r="O24" s="336"/>
      <c r="P24" s="356" t="s">
        <v>410</v>
      </c>
      <c r="Q24" s="336"/>
      <c r="R24" s="307"/>
      <c r="S24" s="307"/>
      <c r="T24" s="307"/>
      <c r="U24" s="307"/>
      <c r="V24" s="307"/>
      <c r="W24" s="307"/>
      <c r="X24" s="307"/>
      <c r="Y24" s="307"/>
      <c r="Z24" s="307"/>
    </row>
    <row r="25" spans="1:26" ht="15.75" customHeight="1" x14ac:dyDescent="0.2">
      <c r="A25" s="372" t="s">
        <v>12</v>
      </c>
      <c r="B25" s="373"/>
      <c r="C25" s="71">
        <v>194719216</v>
      </c>
      <c r="D25" s="71">
        <v>220612993</v>
      </c>
      <c r="E25" s="71" t="s">
        <v>410</v>
      </c>
      <c r="F25" s="208" t="s">
        <v>29</v>
      </c>
      <c r="G25" s="106" t="s">
        <v>29</v>
      </c>
      <c r="H25" s="178" t="s">
        <v>83</v>
      </c>
      <c r="I25" s="166">
        <v>41850</v>
      </c>
      <c r="J25" s="357" t="s">
        <v>369</v>
      </c>
      <c r="K25" s="336"/>
      <c r="L25" s="356" t="s">
        <v>369</v>
      </c>
      <c r="M25" s="336"/>
      <c r="N25" s="380" t="s">
        <v>29</v>
      </c>
      <c r="O25" s="272"/>
      <c r="P25" s="371" t="s">
        <v>29</v>
      </c>
      <c r="Q25" s="261"/>
      <c r="R25" s="307"/>
      <c r="S25" s="307"/>
      <c r="T25" s="307"/>
      <c r="U25" s="307"/>
      <c r="V25" s="307"/>
      <c r="W25" s="307"/>
      <c r="X25" s="307"/>
      <c r="Y25" s="307"/>
      <c r="Z25" s="307"/>
    </row>
    <row r="26" spans="1:26" ht="15.75" customHeight="1" x14ac:dyDescent="0.2">
      <c r="A26" s="372" t="s">
        <v>84</v>
      </c>
      <c r="B26" s="373"/>
      <c r="C26" s="71" t="s">
        <v>410</v>
      </c>
      <c r="D26" s="71" t="s">
        <v>410</v>
      </c>
      <c r="E26" s="71" t="s">
        <v>410</v>
      </c>
      <c r="F26" s="208" t="s">
        <v>29</v>
      </c>
      <c r="G26" s="106" t="s">
        <v>29</v>
      </c>
      <c r="H26" s="178" t="s">
        <v>67</v>
      </c>
      <c r="I26" s="167"/>
      <c r="J26" s="354" t="s">
        <v>29</v>
      </c>
      <c r="K26" s="336"/>
      <c r="L26" s="372" t="s">
        <v>29</v>
      </c>
      <c r="M26" s="336"/>
      <c r="N26" s="380" t="s">
        <v>29</v>
      </c>
      <c r="O26" s="272"/>
      <c r="P26" s="371" t="s">
        <v>29</v>
      </c>
      <c r="Q26" s="261"/>
      <c r="R26" s="307"/>
      <c r="S26" s="307"/>
      <c r="T26" s="307"/>
      <c r="U26" s="307"/>
      <c r="V26" s="307"/>
      <c r="W26" s="307"/>
      <c r="X26" s="307"/>
      <c r="Y26" s="307"/>
      <c r="Z26" s="307"/>
    </row>
    <row r="27" spans="1:26" ht="15.75" customHeight="1" x14ac:dyDescent="0.2">
      <c r="A27" s="372" t="s">
        <v>11</v>
      </c>
      <c r="B27" s="373"/>
      <c r="C27" s="71" t="s">
        <v>413</v>
      </c>
      <c r="D27" s="71" t="s">
        <v>413</v>
      </c>
      <c r="E27" s="71" t="s">
        <v>410</v>
      </c>
      <c r="F27" s="208" t="s">
        <v>29</v>
      </c>
      <c r="G27" s="106" t="s">
        <v>29</v>
      </c>
      <c r="H27" s="178" t="s">
        <v>68</v>
      </c>
      <c r="I27" s="167"/>
      <c r="J27" s="354" t="s">
        <v>29</v>
      </c>
      <c r="K27" s="336"/>
      <c r="L27" s="372" t="s">
        <v>29</v>
      </c>
      <c r="M27" s="336"/>
      <c r="N27" s="380" t="s">
        <v>29</v>
      </c>
      <c r="O27" s="272"/>
      <c r="P27" s="371" t="s">
        <v>29</v>
      </c>
      <c r="Q27" s="261"/>
      <c r="R27" s="307"/>
      <c r="S27" s="307"/>
      <c r="T27" s="307"/>
      <c r="U27" s="307"/>
      <c r="V27" s="307"/>
      <c r="W27" s="307"/>
      <c r="X27" s="307"/>
      <c r="Y27" s="307"/>
      <c r="Z27" s="307"/>
    </row>
    <row r="28" spans="1:26" ht="15.75" customHeight="1" x14ac:dyDescent="0.2">
      <c r="A28" s="374" t="s">
        <v>85</v>
      </c>
      <c r="B28" s="375"/>
      <c r="C28" s="71" t="s">
        <v>410</v>
      </c>
      <c r="D28" s="71" t="s">
        <v>410</v>
      </c>
      <c r="E28" s="71" t="s">
        <v>408</v>
      </c>
      <c r="F28" s="208" t="s">
        <v>29</v>
      </c>
      <c r="G28" s="106" t="s">
        <v>29</v>
      </c>
      <c r="H28" s="178" t="s">
        <v>86</v>
      </c>
      <c r="I28" s="167"/>
      <c r="J28" s="354" t="s">
        <v>29</v>
      </c>
      <c r="K28" s="336"/>
      <c r="L28" s="372" t="s">
        <v>29</v>
      </c>
      <c r="M28" s="336"/>
      <c r="N28" s="380" t="s">
        <v>29</v>
      </c>
      <c r="O28" s="272"/>
      <c r="P28" s="371" t="s">
        <v>29</v>
      </c>
      <c r="Q28" s="261"/>
      <c r="R28" s="307"/>
      <c r="S28" s="307"/>
      <c r="T28" s="307"/>
      <c r="U28" s="307"/>
      <c r="V28" s="307"/>
      <c r="W28" s="307"/>
      <c r="X28" s="307"/>
      <c r="Y28" s="307"/>
      <c r="Z28" s="307"/>
    </row>
    <row r="29" spans="1:26" ht="15.75" customHeight="1" x14ac:dyDescent="0.2">
      <c r="A29" s="378" t="s">
        <v>87</v>
      </c>
      <c r="B29" s="379"/>
      <c r="C29" s="71" t="s">
        <v>410</v>
      </c>
      <c r="D29" s="71" t="s">
        <v>410</v>
      </c>
      <c r="E29" s="71" t="s">
        <v>408</v>
      </c>
      <c r="F29" s="208" t="s">
        <v>29</v>
      </c>
      <c r="G29" s="106" t="s">
        <v>29</v>
      </c>
      <c r="H29" s="178" t="s">
        <v>88</v>
      </c>
      <c r="I29" s="167"/>
      <c r="J29" s="354" t="s">
        <v>29</v>
      </c>
      <c r="K29" s="336"/>
      <c r="L29" s="353" t="s">
        <v>29</v>
      </c>
      <c r="M29" s="336"/>
      <c r="N29" s="380" t="s">
        <v>29</v>
      </c>
      <c r="O29" s="272"/>
      <c r="P29" s="371" t="s">
        <v>29</v>
      </c>
      <c r="Q29" s="261"/>
      <c r="R29" s="532"/>
      <c r="S29" s="532"/>
      <c r="T29" s="532"/>
      <c r="U29" s="532"/>
      <c r="V29" s="532"/>
      <c r="W29" s="532"/>
      <c r="X29" s="532"/>
      <c r="Y29" s="532"/>
      <c r="Z29" s="506"/>
    </row>
    <row r="30" spans="1:26" ht="15.75" customHeight="1" x14ac:dyDescent="0.2">
      <c r="A30" s="61"/>
      <c r="B30" s="7"/>
      <c r="C30" s="4"/>
      <c r="D30" s="4"/>
      <c r="E30" s="4"/>
      <c r="F30" s="4"/>
      <c r="G30" s="4"/>
      <c r="H30" s="176" t="s">
        <v>80</v>
      </c>
      <c r="I30" s="163">
        <v>41854</v>
      </c>
      <c r="J30" s="364">
        <f>I30-C18</f>
        <v>21</v>
      </c>
      <c r="K30" s="336"/>
      <c r="L30" s="364">
        <f>I30-D18</f>
        <v>20</v>
      </c>
      <c r="M30" s="336"/>
      <c r="N30" s="341" t="s">
        <v>410</v>
      </c>
      <c r="O30" s="336"/>
      <c r="P30" s="341" t="s">
        <v>410</v>
      </c>
      <c r="Q30" s="336"/>
      <c r="R30" s="53"/>
      <c r="S30" s="30"/>
      <c r="T30" s="4"/>
      <c r="U30" s="4"/>
      <c r="V30" s="4"/>
      <c r="W30" s="26"/>
      <c r="X30" s="4"/>
      <c r="Y30" s="4"/>
      <c r="Z30" s="4"/>
    </row>
    <row r="31" spans="1:26" ht="18" customHeight="1" x14ac:dyDescent="0.2">
      <c r="H31" s="178" t="s">
        <v>82</v>
      </c>
      <c r="I31" s="166">
        <v>41854</v>
      </c>
      <c r="J31" s="357">
        <v>666</v>
      </c>
      <c r="K31" s="336"/>
      <c r="L31" s="356">
        <v>478</v>
      </c>
      <c r="M31" s="336"/>
      <c r="N31" s="356" t="s">
        <v>410</v>
      </c>
      <c r="O31" s="336"/>
      <c r="P31" s="356" t="s">
        <v>410</v>
      </c>
      <c r="Q31" s="336"/>
    </row>
    <row r="32" spans="1:26" ht="18" customHeight="1" x14ac:dyDescent="0.2">
      <c r="H32" s="178" t="s">
        <v>83</v>
      </c>
      <c r="I32" s="167"/>
      <c r="J32" s="354" t="s">
        <v>29</v>
      </c>
      <c r="K32" s="336"/>
      <c r="L32" s="372" t="s">
        <v>29</v>
      </c>
      <c r="M32" s="336"/>
      <c r="N32" s="380" t="s">
        <v>29</v>
      </c>
      <c r="O32" s="272"/>
      <c r="P32" s="371" t="s">
        <v>29</v>
      </c>
      <c r="Q32" s="261"/>
    </row>
    <row r="33" spans="8:17" ht="18" customHeight="1" x14ac:dyDescent="0.2">
      <c r="H33" s="178" t="s">
        <v>67</v>
      </c>
      <c r="I33" s="167"/>
      <c r="J33" s="354" t="s">
        <v>29</v>
      </c>
      <c r="K33" s="336"/>
      <c r="L33" s="372" t="s">
        <v>29</v>
      </c>
      <c r="M33" s="336"/>
      <c r="N33" s="380" t="s">
        <v>29</v>
      </c>
      <c r="O33" s="272"/>
      <c r="P33" s="371" t="s">
        <v>29</v>
      </c>
      <c r="Q33" s="261"/>
    </row>
    <row r="34" spans="8:17" ht="18" customHeight="1" x14ac:dyDescent="0.2">
      <c r="H34" s="178" t="s">
        <v>68</v>
      </c>
      <c r="I34" s="167"/>
      <c r="J34" s="354" t="s">
        <v>29</v>
      </c>
      <c r="K34" s="336"/>
      <c r="L34" s="372" t="s">
        <v>29</v>
      </c>
      <c r="M34" s="336"/>
      <c r="N34" s="380" t="s">
        <v>29</v>
      </c>
      <c r="O34" s="272"/>
      <c r="P34" s="371" t="s">
        <v>29</v>
      </c>
      <c r="Q34" s="261"/>
    </row>
    <row r="35" spans="8:17" ht="18" customHeight="1" x14ac:dyDescent="0.2">
      <c r="H35" s="178" t="s">
        <v>86</v>
      </c>
      <c r="I35" s="167"/>
      <c r="J35" s="354" t="s">
        <v>29</v>
      </c>
      <c r="K35" s="336"/>
      <c r="L35" s="372" t="s">
        <v>29</v>
      </c>
      <c r="M35" s="336"/>
      <c r="N35" s="380" t="s">
        <v>29</v>
      </c>
      <c r="O35" s="272"/>
      <c r="P35" s="371" t="s">
        <v>29</v>
      </c>
      <c r="Q35" s="261"/>
    </row>
    <row r="36" spans="8:17" ht="18" customHeight="1" x14ac:dyDescent="0.2">
      <c r="H36" s="178" t="s">
        <v>88</v>
      </c>
      <c r="I36" s="167"/>
      <c r="J36" s="354" t="s">
        <v>29</v>
      </c>
      <c r="K36" s="336"/>
      <c r="L36" s="353" t="s">
        <v>29</v>
      </c>
      <c r="M36" s="336"/>
      <c r="N36" s="380" t="s">
        <v>29</v>
      </c>
      <c r="O36" s="272"/>
      <c r="P36" s="371" t="s">
        <v>29</v>
      </c>
      <c r="Q36" s="261"/>
    </row>
    <row r="37" spans="8:17" ht="18" customHeight="1" x14ac:dyDescent="0.2">
      <c r="H37" s="176" t="s">
        <v>80</v>
      </c>
      <c r="I37" s="163">
        <v>41859</v>
      </c>
      <c r="J37" s="364">
        <f>I37-C18</f>
        <v>26</v>
      </c>
      <c r="K37" s="336"/>
      <c r="L37" s="364">
        <f>I37-D18</f>
        <v>25</v>
      </c>
      <c r="M37" s="336"/>
      <c r="N37" s="341" t="s">
        <v>410</v>
      </c>
      <c r="O37" s="336"/>
      <c r="P37" s="341" t="s">
        <v>410</v>
      </c>
      <c r="Q37" s="336"/>
    </row>
    <row r="38" spans="8:17" ht="18" customHeight="1" x14ac:dyDescent="0.2">
      <c r="H38" s="178" t="s">
        <v>82</v>
      </c>
      <c r="I38" s="166">
        <v>41859</v>
      </c>
      <c r="J38" s="357">
        <v>722</v>
      </c>
      <c r="K38" s="336"/>
      <c r="L38" s="356">
        <v>512</v>
      </c>
      <c r="M38" s="336"/>
      <c r="N38" s="356" t="s">
        <v>410</v>
      </c>
      <c r="O38" s="336"/>
      <c r="P38" s="356" t="s">
        <v>410</v>
      </c>
      <c r="Q38" s="336"/>
    </row>
    <row r="39" spans="8:17" ht="18" customHeight="1" x14ac:dyDescent="0.2">
      <c r="H39" s="178" t="s">
        <v>83</v>
      </c>
      <c r="I39" s="166">
        <v>41859</v>
      </c>
      <c r="J39" s="357" t="s">
        <v>369</v>
      </c>
      <c r="K39" s="336"/>
      <c r="L39" s="356" t="s">
        <v>369</v>
      </c>
      <c r="M39" s="336"/>
      <c r="N39" s="380" t="s">
        <v>29</v>
      </c>
      <c r="O39" s="272"/>
      <c r="P39" s="371" t="s">
        <v>29</v>
      </c>
      <c r="Q39" s="261"/>
    </row>
    <row r="40" spans="8:17" ht="18" customHeight="1" x14ac:dyDescent="0.2">
      <c r="H40" s="178" t="s">
        <v>67</v>
      </c>
      <c r="I40" s="167"/>
      <c r="J40" s="354" t="s">
        <v>29</v>
      </c>
      <c r="K40" s="336"/>
      <c r="L40" s="372" t="s">
        <v>29</v>
      </c>
      <c r="M40" s="336"/>
      <c r="N40" s="380" t="s">
        <v>29</v>
      </c>
      <c r="O40" s="272"/>
      <c r="P40" s="371" t="s">
        <v>29</v>
      </c>
      <c r="Q40" s="261"/>
    </row>
    <row r="41" spans="8:17" ht="18" customHeight="1" x14ac:dyDescent="0.2">
      <c r="H41" s="178" t="s">
        <v>68</v>
      </c>
      <c r="I41" s="167"/>
      <c r="J41" s="354" t="s">
        <v>29</v>
      </c>
      <c r="K41" s="336"/>
      <c r="L41" s="372" t="s">
        <v>29</v>
      </c>
      <c r="M41" s="336"/>
      <c r="N41" s="380" t="s">
        <v>29</v>
      </c>
      <c r="O41" s="272"/>
      <c r="P41" s="371" t="s">
        <v>29</v>
      </c>
      <c r="Q41" s="261"/>
    </row>
    <row r="42" spans="8:17" ht="18" customHeight="1" x14ac:dyDescent="0.2">
      <c r="H42" s="178" t="s">
        <v>86</v>
      </c>
      <c r="I42" s="167"/>
      <c r="J42" s="354" t="s">
        <v>29</v>
      </c>
      <c r="K42" s="336"/>
      <c r="L42" s="372" t="s">
        <v>29</v>
      </c>
      <c r="M42" s="336"/>
      <c r="N42" s="380" t="s">
        <v>29</v>
      </c>
      <c r="O42" s="272"/>
      <c r="P42" s="371" t="s">
        <v>29</v>
      </c>
      <c r="Q42" s="261"/>
    </row>
    <row r="43" spans="8:17" ht="18" customHeight="1" x14ac:dyDescent="0.2">
      <c r="H43" s="178" t="s">
        <v>88</v>
      </c>
      <c r="I43" s="167"/>
      <c r="J43" s="354" t="s">
        <v>29</v>
      </c>
      <c r="K43" s="336"/>
      <c r="L43" s="353" t="s">
        <v>29</v>
      </c>
      <c r="M43" s="336"/>
      <c r="N43" s="380" t="s">
        <v>29</v>
      </c>
      <c r="O43" s="272"/>
      <c r="P43" s="371" t="s">
        <v>29</v>
      </c>
      <c r="Q43" s="261"/>
    </row>
  </sheetData>
  <mergeCells count="184">
    <mergeCell ref="J43:K43"/>
    <mergeCell ref="L43:M43"/>
    <mergeCell ref="N43:O43"/>
    <mergeCell ref="P43:Q43"/>
    <mergeCell ref="J37:K37"/>
    <mergeCell ref="L37:M37"/>
    <mergeCell ref="N37:O37"/>
    <mergeCell ref="P37:Q37"/>
    <mergeCell ref="J38:K38"/>
    <mergeCell ref="L38:M38"/>
    <mergeCell ref="N38:O38"/>
    <mergeCell ref="P38:Q38"/>
    <mergeCell ref="J39:K39"/>
    <mergeCell ref="L39:M39"/>
    <mergeCell ref="N39:O39"/>
    <mergeCell ref="P39:Q39"/>
    <mergeCell ref="J42:K42"/>
    <mergeCell ref="L42:M42"/>
    <mergeCell ref="N42:O42"/>
    <mergeCell ref="P42:Q42"/>
    <mergeCell ref="J36:K36"/>
    <mergeCell ref="L36:M36"/>
    <mergeCell ref="J40:K40"/>
    <mergeCell ref="L40:M40"/>
    <mergeCell ref="N40:O40"/>
    <mergeCell ref="P40:Q40"/>
    <mergeCell ref="J41:K41"/>
    <mergeCell ref="L41:M41"/>
    <mergeCell ref="N41:O41"/>
    <mergeCell ref="P41:Q41"/>
    <mergeCell ref="N36:O36"/>
    <mergeCell ref="P36:Q36"/>
    <mergeCell ref="J33:K33"/>
    <mergeCell ref="L33:M33"/>
    <mergeCell ref="N33:O33"/>
    <mergeCell ref="P33:Q33"/>
    <mergeCell ref="J34:K34"/>
    <mergeCell ref="L34:M34"/>
    <mergeCell ref="N34:O34"/>
    <mergeCell ref="P34:Q34"/>
    <mergeCell ref="J35:K35"/>
    <mergeCell ref="L35:M35"/>
    <mergeCell ref="N35:O35"/>
    <mergeCell ref="P35:Q35"/>
    <mergeCell ref="J30:K30"/>
    <mergeCell ref="L30:M30"/>
    <mergeCell ref="N30:O30"/>
    <mergeCell ref="P30:Q30"/>
    <mergeCell ref="J31:K31"/>
    <mergeCell ref="L31:M31"/>
    <mergeCell ref="N31:O31"/>
    <mergeCell ref="P31:Q31"/>
    <mergeCell ref="J32:K32"/>
    <mergeCell ref="L32:M32"/>
    <mergeCell ref="N32:O32"/>
    <mergeCell ref="P32:Q32"/>
    <mergeCell ref="A28:B28"/>
    <mergeCell ref="J28:K28"/>
    <mergeCell ref="L28:M28"/>
    <mergeCell ref="N28:O28"/>
    <mergeCell ref="P28:Q28"/>
    <mergeCell ref="A29:B29"/>
    <mergeCell ref="J29:K29"/>
    <mergeCell ref="L29:M29"/>
    <mergeCell ref="N29:O29"/>
    <mergeCell ref="P29:Q29"/>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19:B19"/>
    <mergeCell ref="J19:K19"/>
    <mergeCell ref="L19:M19"/>
    <mergeCell ref="N19:O19"/>
    <mergeCell ref="P19:Q19"/>
    <mergeCell ref="A20:B21"/>
    <mergeCell ref="C20:C21"/>
    <mergeCell ref="D20:D21"/>
    <mergeCell ref="E20:E21"/>
    <mergeCell ref="F20:F21"/>
    <mergeCell ref="G20:G21"/>
    <mergeCell ref="J20:K20"/>
    <mergeCell ref="L20:M20"/>
    <mergeCell ref="N20:O20"/>
    <mergeCell ref="P20:Q20"/>
    <mergeCell ref="J21:K21"/>
    <mergeCell ref="L21:M21"/>
    <mergeCell ref="N21:O21"/>
    <mergeCell ref="P21:Q21"/>
    <mergeCell ref="J17:K17"/>
    <mergeCell ref="L17:M17"/>
    <mergeCell ref="N17:O17"/>
    <mergeCell ref="P17:Q17"/>
    <mergeCell ref="R17:Z29"/>
    <mergeCell ref="J18:K18"/>
    <mergeCell ref="L18:M18"/>
    <mergeCell ref="N18:O18"/>
    <mergeCell ref="P18:Q18"/>
    <mergeCell ref="J15:K15"/>
    <mergeCell ref="L15:M15"/>
    <mergeCell ref="N15:O15"/>
    <mergeCell ref="P15:Q15"/>
    <mergeCell ref="R15:Z16"/>
    <mergeCell ref="J16:K16"/>
    <mergeCell ref="L16:M16"/>
    <mergeCell ref="N16:O16"/>
    <mergeCell ref="P16:Q16"/>
    <mergeCell ref="J14:K14"/>
    <mergeCell ref="L14:M14"/>
    <mergeCell ref="N14:O14"/>
    <mergeCell ref="P14:Q14"/>
    <mergeCell ref="U14:W14"/>
    <mergeCell ref="X14:Z14"/>
    <mergeCell ref="J13:K13"/>
    <mergeCell ref="L13:M13"/>
    <mergeCell ref="N13:O13"/>
    <mergeCell ref="P13:Q13"/>
    <mergeCell ref="U13:W13"/>
    <mergeCell ref="X13:Z13"/>
    <mergeCell ref="J12:K12"/>
    <mergeCell ref="L12:M12"/>
    <mergeCell ref="N12:O12"/>
    <mergeCell ref="P12:Q12"/>
    <mergeCell ref="U12:W12"/>
    <mergeCell ref="X12:Z12"/>
    <mergeCell ref="J11:K11"/>
    <mergeCell ref="L11:M11"/>
    <mergeCell ref="N11:O11"/>
    <mergeCell ref="P11:Q11"/>
    <mergeCell ref="U11:W11"/>
    <mergeCell ref="X11:Z11"/>
    <mergeCell ref="J8:K8"/>
    <mergeCell ref="L8:M8"/>
    <mergeCell ref="N8:O8"/>
    <mergeCell ref="P8:Q8"/>
    <mergeCell ref="S8:Z8"/>
    <mergeCell ref="J10:K10"/>
    <mergeCell ref="L10:M10"/>
    <mergeCell ref="N10:O10"/>
    <mergeCell ref="P10:Q10"/>
    <mergeCell ref="U10:W10"/>
    <mergeCell ref="X10:Z10"/>
    <mergeCell ref="J9:K9"/>
    <mergeCell ref="L9:M9"/>
    <mergeCell ref="N9:O9"/>
    <mergeCell ref="P9:Q9"/>
    <mergeCell ref="U9:W9"/>
    <mergeCell ref="X9:Z9"/>
    <mergeCell ref="I1:J1"/>
    <mergeCell ref="K1:O1"/>
    <mergeCell ref="P1:Q1"/>
    <mergeCell ref="R1:S1"/>
    <mergeCell ref="L2:M2"/>
    <mergeCell ref="Q2:R2"/>
    <mergeCell ref="Y2:Z2"/>
    <mergeCell ref="L6:M6"/>
    <mergeCell ref="Q6:R6"/>
    <mergeCell ref="Y6:Z6"/>
  </mergeCells>
  <pageMargins left="0.7" right="0.7" top="0.75" bottom="0.75" header="0.3" footer="0.3"/>
  <pageSetup orientation="portrait" r:id="rId1"/>
  <legacy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98</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203</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99</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254</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4"/>
  <sheetViews>
    <sheetView topLeftCell="A4"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58" t="s">
        <v>0</v>
      </c>
      <c r="B1" s="59">
        <v>2014</v>
      </c>
      <c r="C1" s="58" t="s">
        <v>1</v>
      </c>
      <c r="D1" s="59"/>
      <c r="E1" s="58" t="s">
        <v>2</v>
      </c>
      <c r="F1" s="55">
        <v>100</v>
      </c>
      <c r="G1" s="56" t="s">
        <v>3</v>
      </c>
      <c r="H1" s="55" t="s">
        <v>4</v>
      </c>
      <c r="I1" s="260" t="s">
        <v>5</v>
      </c>
      <c r="J1" s="261"/>
      <c r="K1" s="262" t="s">
        <v>339</v>
      </c>
      <c r="L1" s="261"/>
      <c r="M1" s="261"/>
      <c r="N1" s="261"/>
      <c r="O1" s="261"/>
      <c r="P1" s="263" t="s">
        <v>6</v>
      </c>
      <c r="Q1" s="261"/>
      <c r="R1" s="264"/>
      <c r="S1" s="265"/>
      <c r="T1" s="16"/>
      <c r="U1" s="16"/>
      <c r="V1" s="16"/>
      <c r="W1" s="16"/>
      <c r="X1" s="16"/>
      <c r="Y1" s="16"/>
      <c r="Z1" s="34"/>
    </row>
    <row r="2" spans="1:30" ht="27.75" customHeight="1" x14ac:dyDescent="0.2">
      <c r="A2" s="57" t="s">
        <v>8</v>
      </c>
      <c r="B2" s="54" t="s">
        <v>9</v>
      </c>
      <c r="C2" s="54" t="s">
        <v>10</v>
      </c>
      <c r="D2" s="54" t="s">
        <v>11</v>
      </c>
      <c r="E2" s="54" t="s">
        <v>12</v>
      </c>
      <c r="F2" s="54" t="s">
        <v>13</v>
      </c>
      <c r="G2" s="54" t="s">
        <v>14</v>
      </c>
      <c r="H2" s="54" t="s">
        <v>15</v>
      </c>
      <c r="I2" s="13" t="s">
        <v>16</v>
      </c>
      <c r="J2" s="54" t="s">
        <v>17</v>
      </c>
      <c r="K2" s="54" t="s">
        <v>18</v>
      </c>
      <c r="L2" s="266"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32" t="s">
        <v>90</v>
      </c>
      <c r="AD2" s="31" t="s">
        <v>95</v>
      </c>
    </row>
    <row r="3" spans="1:30" ht="15.75" customHeight="1" x14ac:dyDescent="0.2">
      <c r="A3" s="18" t="s">
        <v>29</v>
      </c>
      <c r="B3" s="64">
        <v>41811</v>
      </c>
      <c r="C3" s="28" t="s">
        <v>29</v>
      </c>
      <c r="D3" s="18" t="s">
        <v>29</v>
      </c>
      <c r="E3" s="28" t="s">
        <v>260</v>
      </c>
      <c r="F3" s="28" t="s">
        <v>260</v>
      </c>
      <c r="G3" s="28" t="s">
        <v>227</v>
      </c>
      <c r="H3" s="28" t="s">
        <v>212</v>
      </c>
      <c r="I3" s="18" t="s">
        <v>29</v>
      </c>
      <c r="J3" s="18" t="s">
        <v>29</v>
      </c>
      <c r="K3" s="18" t="s">
        <v>29</v>
      </c>
      <c r="L3" s="41" t="s">
        <v>29</v>
      </c>
      <c r="M3" s="41" t="s">
        <v>29</v>
      </c>
      <c r="N3" s="18" t="s">
        <v>29</v>
      </c>
      <c r="O3" s="18" t="s">
        <v>29</v>
      </c>
      <c r="P3" s="20" t="s">
        <v>29</v>
      </c>
      <c r="Q3" s="20" t="s">
        <v>29</v>
      </c>
      <c r="R3" s="20" t="s">
        <v>29</v>
      </c>
      <c r="S3" s="20" t="s">
        <v>29</v>
      </c>
      <c r="T3" s="20" t="s">
        <v>29</v>
      </c>
      <c r="U3" s="18" t="s">
        <v>29</v>
      </c>
      <c r="V3" s="18" t="s">
        <v>29</v>
      </c>
      <c r="W3" s="18" t="s">
        <v>29</v>
      </c>
      <c r="X3" s="20" t="s">
        <v>29</v>
      </c>
      <c r="Y3" s="33" t="s">
        <v>29</v>
      </c>
      <c r="Z3" s="33" t="s">
        <v>29</v>
      </c>
      <c r="AA3" s="96"/>
      <c r="AB3" s="96"/>
      <c r="AC3" s="96"/>
      <c r="AD3" s="69" t="s">
        <v>216</v>
      </c>
    </row>
    <row r="4" spans="1:30"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5" t="s">
        <v>26</v>
      </c>
      <c r="V4" s="27" t="s">
        <v>92</v>
      </c>
      <c r="W4" s="27" t="s">
        <v>93</v>
      </c>
      <c r="X4" s="5" t="s">
        <v>27</v>
      </c>
      <c r="Y4" s="271" t="s">
        <v>28</v>
      </c>
      <c r="Z4" s="272"/>
      <c r="AA4" s="31" t="s">
        <v>89</v>
      </c>
      <c r="AB4" s="31" t="s">
        <v>91</v>
      </c>
      <c r="AC4" s="99" t="s">
        <v>90</v>
      </c>
      <c r="AD4" s="31" t="s">
        <v>95</v>
      </c>
    </row>
    <row r="5" spans="1:30" ht="15.75" customHeight="1" x14ac:dyDescent="0.2">
      <c r="A5" s="18" t="s">
        <v>29</v>
      </c>
      <c r="B5" s="64">
        <v>41811</v>
      </c>
      <c r="C5" s="18" t="s">
        <v>29</v>
      </c>
      <c r="D5" s="18" t="s">
        <v>29</v>
      </c>
      <c r="E5" s="28" t="s">
        <v>260</v>
      </c>
      <c r="F5" s="28" t="s">
        <v>260</v>
      </c>
      <c r="G5" s="28" t="s">
        <v>227</v>
      </c>
      <c r="H5" s="28" t="s">
        <v>212</v>
      </c>
      <c r="I5" s="37" t="s">
        <v>29</v>
      </c>
      <c r="J5" s="37" t="s">
        <v>29</v>
      </c>
      <c r="K5" s="37" t="s">
        <v>29</v>
      </c>
      <c r="L5" s="42" t="s">
        <v>29</v>
      </c>
      <c r="M5" s="42" t="s">
        <v>29</v>
      </c>
      <c r="N5" s="37" t="s">
        <v>29</v>
      </c>
      <c r="O5" s="37" t="s">
        <v>29</v>
      </c>
      <c r="P5" s="38" t="s">
        <v>29</v>
      </c>
      <c r="Q5" s="38" t="s">
        <v>29</v>
      </c>
      <c r="R5" s="20" t="s">
        <v>29</v>
      </c>
      <c r="S5" s="20" t="s">
        <v>29</v>
      </c>
      <c r="T5" s="20" t="s">
        <v>29</v>
      </c>
      <c r="U5" s="18" t="s">
        <v>29</v>
      </c>
      <c r="V5" s="18" t="s">
        <v>29</v>
      </c>
      <c r="W5" s="18" t="s">
        <v>29</v>
      </c>
      <c r="X5" s="20" t="s">
        <v>29</v>
      </c>
      <c r="Y5" s="20" t="s">
        <v>29</v>
      </c>
      <c r="Z5" s="20" t="s">
        <v>29</v>
      </c>
      <c r="AA5" s="96"/>
      <c r="AB5" s="96"/>
      <c r="AC5" s="96"/>
      <c r="AD5" s="69" t="s">
        <v>216</v>
      </c>
    </row>
    <row r="6" spans="1:30" ht="16.5" customHeight="1" x14ac:dyDescent="0.2">
      <c r="A6" s="12" t="s">
        <v>33</v>
      </c>
      <c r="B6" s="5" t="s">
        <v>9</v>
      </c>
      <c r="C6" s="60" t="s">
        <v>34</v>
      </c>
      <c r="D6" s="60" t="s">
        <v>35</v>
      </c>
      <c r="E6" s="60" t="s">
        <v>36</v>
      </c>
      <c r="F6" s="60" t="s">
        <v>37</v>
      </c>
      <c r="G6" s="60" t="s">
        <v>38</v>
      </c>
      <c r="H6" s="36" t="s">
        <v>39</v>
      </c>
      <c r="I6" s="62" t="s">
        <v>9</v>
      </c>
      <c r="J6" s="280" t="s">
        <v>40</v>
      </c>
      <c r="K6" s="280"/>
      <c r="L6" s="280" t="s">
        <v>41</v>
      </c>
      <c r="M6" s="280"/>
      <c r="N6" s="280" t="s">
        <v>42</v>
      </c>
      <c r="O6" s="280"/>
      <c r="P6" s="280" t="s">
        <v>43</v>
      </c>
      <c r="Q6" s="280"/>
      <c r="R6" s="35"/>
      <c r="S6" s="273" t="s">
        <v>44</v>
      </c>
      <c r="T6" s="274"/>
      <c r="U6" s="274"/>
      <c r="V6" s="274"/>
      <c r="W6" s="275"/>
      <c r="X6" s="274"/>
      <c r="Y6" s="274"/>
      <c r="Z6" s="268"/>
    </row>
    <row r="7" spans="1:30" ht="15.75" customHeight="1" x14ac:dyDescent="0.2">
      <c r="A7" s="1" t="s">
        <v>45</v>
      </c>
      <c r="B7" s="20"/>
      <c r="C7" s="19"/>
      <c r="D7" s="19"/>
      <c r="E7" s="19"/>
      <c r="F7" s="19"/>
      <c r="G7" s="15" t="e">
        <f>AVERAGE(C7:F7)</f>
        <v>#DIV/0!</v>
      </c>
      <c r="H7" s="6" t="s">
        <v>46</v>
      </c>
      <c r="I7" s="39"/>
      <c r="J7" s="276" t="s">
        <v>354</v>
      </c>
      <c r="K7" s="267"/>
      <c r="L7" s="346" t="s">
        <v>355</v>
      </c>
      <c r="M7" s="267"/>
      <c r="N7" s="346" t="s">
        <v>356</v>
      </c>
      <c r="O7" s="267"/>
      <c r="P7" s="347" t="s">
        <v>357</v>
      </c>
      <c r="Q7" s="267"/>
      <c r="R7" s="23" t="s">
        <v>47</v>
      </c>
      <c r="S7" s="24"/>
      <c r="T7" s="43">
        <v>4</v>
      </c>
      <c r="U7" s="279" t="s">
        <v>48</v>
      </c>
      <c r="V7" s="279"/>
      <c r="W7" s="279"/>
      <c r="X7" s="281" t="s">
        <v>29</v>
      </c>
      <c r="Y7" s="282"/>
      <c r="Z7" s="283"/>
    </row>
    <row r="8" spans="1:30" ht="15.75" customHeight="1" x14ac:dyDescent="0.2">
      <c r="A8" s="3" t="s">
        <v>49</v>
      </c>
      <c r="B8" s="20" t="s">
        <v>29</v>
      </c>
      <c r="C8" s="20" t="s">
        <v>29</v>
      </c>
      <c r="D8" s="20" t="s">
        <v>29</v>
      </c>
      <c r="E8" s="20" t="s">
        <v>29</v>
      </c>
      <c r="F8" s="20" t="s">
        <v>29</v>
      </c>
      <c r="G8" s="60"/>
      <c r="H8" s="6" t="s">
        <v>50</v>
      </c>
      <c r="I8" s="17">
        <v>41833</v>
      </c>
      <c r="J8" s="287">
        <f>IF(((I8-C16)&gt;0),(I8-C16),"/")</f>
        <v>3</v>
      </c>
      <c r="K8" s="268"/>
      <c r="L8" s="287">
        <f>IF(((I8-D16)&gt;0),(I8-D16),"/")</f>
        <v>3</v>
      </c>
      <c r="M8" s="268"/>
      <c r="N8" s="287">
        <f>IF(((I8-E16)&gt;0),(I8-E16),"/")</f>
        <v>2</v>
      </c>
      <c r="O8" s="268"/>
      <c r="P8" s="287">
        <f>IF(((I8-F16)&gt;0),(I8-F16),"/")</f>
        <v>1</v>
      </c>
      <c r="Q8" s="268"/>
      <c r="R8" s="22" t="s">
        <v>51</v>
      </c>
      <c r="S8" s="11"/>
      <c r="T8" s="43">
        <v>0</v>
      </c>
      <c r="U8" s="310" t="s">
        <v>52</v>
      </c>
      <c r="V8" s="310"/>
      <c r="W8" s="310"/>
      <c r="X8" s="298" t="s">
        <v>29</v>
      </c>
      <c r="Y8" s="299"/>
      <c r="Z8" s="300"/>
    </row>
    <row r="9" spans="1:30" ht="15.75" customHeight="1" x14ac:dyDescent="0.2">
      <c r="A9" s="3" t="s">
        <v>49</v>
      </c>
      <c r="B9" s="20" t="s">
        <v>29</v>
      </c>
      <c r="C9" s="20" t="s">
        <v>29</v>
      </c>
      <c r="D9" s="20" t="s">
        <v>29</v>
      </c>
      <c r="E9" s="20" t="s">
        <v>29</v>
      </c>
      <c r="F9" s="20" t="s">
        <v>29</v>
      </c>
      <c r="G9" s="60"/>
      <c r="H9" s="6" t="s">
        <v>53</v>
      </c>
      <c r="I9" s="102">
        <v>41833</v>
      </c>
      <c r="J9" s="289">
        <v>53</v>
      </c>
      <c r="K9" s="268"/>
      <c r="L9" s="290">
        <v>52</v>
      </c>
      <c r="M9" s="268"/>
      <c r="N9" s="290">
        <v>48</v>
      </c>
      <c r="O9" s="268"/>
      <c r="P9" s="291">
        <v>32</v>
      </c>
      <c r="Q9" s="268"/>
      <c r="R9" s="22" t="s">
        <v>54</v>
      </c>
      <c r="S9" s="11"/>
      <c r="T9" s="43">
        <v>4</v>
      </c>
      <c r="U9" s="310" t="s">
        <v>55</v>
      </c>
      <c r="V9" s="310"/>
      <c r="W9" s="310"/>
      <c r="X9" s="298" t="s">
        <v>29</v>
      </c>
      <c r="Y9" s="299"/>
      <c r="Z9" s="300"/>
    </row>
    <row r="10" spans="1:30" ht="15" customHeight="1" x14ac:dyDescent="0.2">
      <c r="A10" s="3" t="s">
        <v>49</v>
      </c>
      <c r="B10" s="20" t="s">
        <v>29</v>
      </c>
      <c r="C10" s="20" t="s">
        <v>29</v>
      </c>
      <c r="D10" s="20" t="s">
        <v>29</v>
      </c>
      <c r="E10" s="20" t="s">
        <v>29</v>
      </c>
      <c r="F10" s="20" t="s">
        <v>29</v>
      </c>
      <c r="G10" s="60"/>
      <c r="H10" s="6" t="s">
        <v>56</v>
      </c>
      <c r="I10" s="10"/>
      <c r="J10" s="284" t="s">
        <v>29</v>
      </c>
      <c r="K10" s="268"/>
      <c r="L10" s="285" t="s">
        <v>29</v>
      </c>
      <c r="M10" s="268"/>
      <c r="N10" s="285" t="s">
        <v>29</v>
      </c>
      <c r="O10" s="268"/>
      <c r="P10" s="286" t="s">
        <v>29</v>
      </c>
      <c r="Q10" s="268"/>
      <c r="R10" s="22" t="s">
        <v>57</v>
      </c>
      <c r="S10" s="11"/>
      <c r="T10" s="43">
        <v>4</v>
      </c>
      <c r="U10" s="310" t="s">
        <v>58</v>
      </c>
      <c r="V10" s="310"/>
      <c r="W10" s="310"/>
      <c r="X10" s="298" t="s">
        <v>29</v>
      </c>
      <c r="Y10" s="299"/>
      <c r="Z10" s="300"/>
    </row>
    <row r="11" spans="1:30" ht="15" customHeight="1" x14ac:dyDescent="0.2">
      <c r="A11" s="3" t="s">
        <v>49</v>
      </c>
      <c r="B11" s="20" t="s">
        <v>29</v>
      </c>
      <c r="C11" s="20" t="s">
        <v>29</v>
      </c>
      <c r="D11" s="20" t="s">
        <v>29</v>
      </c>
      <c r="E11" s="20" t="s">
        <v>29</v>
      </c>
      <c r="F11" s="20" t="s">
        <v>29</v>
      </c>
      <c r="G11" s="60"/>
      <c r="H11" s="6" t="s">
        <v>59</v>
      </c>
      <c r="I11" s="102">
        <v>41838</v>
      </c>
      <c r="J11" s="287">
        <f>I11-C16</f>
        <v>8</v>
      </c>
      <c r="K11" s="268"/>
      <c r="L11" s="287">
        <f>I11-D16</f>
        <v>8</v>
      </c>
      <c r="M11" s="268"/>
      <c r="N11" s="287">
        <f>I11-E16</f>
        <v>7</v>
      </c>
      <c r="O11" s="268"/>
      <c r="P11" s="288">
        <f>I11-F16</f>
        <v>6</v>
      </c>
      <c r="Q11" s="268"/>
      <c r="R11" s="22" t="s">
        <v>60</v>
      </c>
      <c r="S11" s="11"/>
      <c r="T11" s="43">
        <v>4</v>
      </c>
      <c r="U11" s="310" t="s">
        <v>61</v>
      </c>
      <c r="V11" s="310"/>
      <c r="W11" s="310"/>
      <c r="X11" s="298" t="s">
        <v>29</v>
      </c>
      <c r="Y11" s="299"/>
      <c r="Z11" s="300"/>
    </row>
    <row r="12" spans="1:30" ht="15.75" customHeight="1" x14ac:dyDescent="0.2">
      <c r="A12" s="3" t="s">
        <v>49</v>
      </c>
      <c r="B12" s="20" t="s">
        <v>29</v>
      </c>
      <c r="C12" s="20" t="s">
        <v>29</v>
      </c>
      <c r="D12" s="20" t="s">
        <v>29</v>
      </c>
      <c r="E12" s="20" t="s">
        <v>29</v>
      </c>
      <c r="F12" s="20" t="s">
        <v>29</v>
      </c>
      <c r="G12" s="60"/>
      <c r="H12" s="6" t="s">
        <v>62</v>
      </c>
      <c r="I12" s="102">
        <v>41838</v>
      </c>
      <c r="J12" s="289">
        <v>147</v>
      </c>
      <c r="K12" s="268"/>
      <c r="L12" s="290">
        <v>163</v>
      </c>
      <c r="M12" s="268"/>
      <c r="N12" s="290">
        <v>157</v>
      </c>
      <c r="O12" s="268"/>
      <c r="P12" s="291">
        <v>116</v>
      </c>
      <c r="Q12" s="268"/>
      <c r="R12" s="22" t="s">
        <v>63</v>
      </c>
      <c r="S12" s="11"/>
      <c r="T12" s="45">
        <v>0</v>
      </c>
      <c r="U12" s="311" t="s">
        <v>64</v>
      </c>
      <c r="V12" s="311"/>
      <c r="W12" s="311"/>
      <c r="X12" s="301" t="s">
        <v>29</v>
      </c>
      <c r="Y12" s="302"/>
      <c r="Z12" s="303"/>
    </row>
    <row r="13" spans="1:30" ht="15.75" customHeight="1" x14ac:dyDescent="0.2">
      <c r="A13" s="3" t="s">
        <v>49</v>
      </c>
      <c r="B13" s="20" t="s">
        <v>29</v>
      </c>
      <c r="C13" s="20" t="s">
        <v>29</v>
      </c>
      <c r="D13" s="20" t="s">
        <v>29</v>
      </c>
      <c r="E13" s="20" t="s">
        <v>29</v>
      </c>
      <c r="F13" s="20" t="s">
        <v>29</v>
      </c>
      <c r="G13" s="60"/>
      <c r="H13" s="6" t="s">
        <v>65</v>
      </c>
      <c r="I13" s="10"/>
      <c r="J13" s="284" t="s">
        <v>29</v>
      </c>
      <c r="K13" s="268"/>
      <c r="L13" s="285" t="s">
        <v>29</v>
      </c>
      <c r="M13" s="268"/>
      <c r="N13" s="285" t="s">
        <v>29</v>
      </c>
      <c r="O13" s="268"/>
      <c r="P13" s="286" t="s">
        <v>29</v>
      </c>
      <c r="Q13" s="272"/>
      <c r="R13" s="304" t="s">
        <v>66</v>
      </c>
      <c r="S13" s="304"/>
      <c r="T13" s="304"/>
      <c r="U13" s="304"/>
      <c r="V13" s="304"/>
      <c r="W13" s="304"/>
      <c r="X13" s="304"/>
      <c r="Y13" s="304"/>
      <c r="Z13" s="304"/>
    </row>
    <row r="14" spans="1:30" ht="15.75" customHeight="1" x14ac:dyDescent="0.2">
      <c r="A14" s="3" t="s">
        <v>49</v>
      </c>
      <c r="B14" s="20" t="s">
        <v>29</v>
      </c>
      <c r="C14" s="20" t="s">
        <v>29</v>
      </c>
      <c r="D14" s="20" t="s">
        <v>29</v>
      </c>
      <c r="E14" s="20" t="s">
        <v>29</v>
      </c>
      <c r="F14" s="20" t="s">
        <v>29</v>
      </c>
      <c r="G14" s="60"/>
      <c r="H14" s="6" t="s">
        <v>67</v>
      </c>
      <c r="I14" s="10"/>
      <c r="J14" s="284" t="s">
        <v>29</v>
      </c>
      <c r="K14" s="268"/>
      <c r="L14" s="285" t="s">
        <v>29</v>
      </c>
      <c r="M14" s="268"/>
      <c r="N14" s="285" t="s">
        <v>29</v>
      </c>
      <c r="O14" s="268"/>
      <c r="P14" s="286" t="s">
        <v>29</v>
      </c>
      <c r="Q14" s="272"/>
      <c r="R14" s="304"/>
      <c r="S14" s="304"/>
      <c r="T14" s="304"/>
      <c r="U14" s="304"/>
      <c r="V14" s="304"/>
      <c r="W14" s="304"/>
      <c r="X14" s="304"/>
      <c r="Y14" s="304"/>
      <c r="Z14" s="511"/>
    </row>
    <row r="15" spans="1:30" ht="15.75" customHeight="1" x14ac:dyDescent="0.2">
      <c r="A15" s="3" t="s">
        <v>49</v>
      </c>
      <c r="B15" s="20" t="s">
        <v>29</v>
      </c>
      <c r="C15" s="20" t="s">
        <v>29</v>
      </c>
      <c r="D15" s="20" t="s">
        <v>29</v>
      </c>
      <c r="E15" s="20" t="s">
        <v>29</v>
      </c>
      <c r="F15" s="20" t="s">
        <v>29</v>
      </c>
      <c r="G15" s="60"/>
      <c r="H15" s="6" t="s">
        <v>68</v>
      </c>
      <c r="I15" s="10"/>
      <c r="J15" s="284" t="s">
        <v>29</v>
      </c>
      <c r="K15" s="268"/>
      <c r="L15" s="285" t="s">
        <v>29</v>
      </c>
      <c r="M15" s="268"/>
      <c r="N15" s="285" t="s">
        <v>29</v>
      </c>
      <c r="O15" s="268"/>
      <c r="P15" s="292" t="s">
        <v>29</v>
      </c>
      <c r="Q15" s="293"/>
      <c r="R15" s="305" t="s">
        <v>465</v>
      </c>
      <c r="S15" s="305"/>
      <c r="T15" s="305"/>
      <c r="U15" s="305"/>
      <c r="V15" s="305"/>
      <c r="W15" s="305"/>
      <c r="X15" s="305"/>
      <c r="Y15" s="305"/>
      <c r="Z15" s="305"/>
    </row>
    <row r="16" spans="1:30" ht="15.75" customHeight="1" x14ac:dyDescent="0.2">
      <c r="A16" s="14" t="s">
        <v>69</v>
      </c>
      <c r="B16" s="20"/>
      <c r="C16" s="19">
        <v>41830</v>
      </c>
      <c r="D16" s="19">
        <v>41830</v>
      </c>
      <c r="E16" s="19">
        <v>41831</v>
      </c>
      <c r="F16" s="19">
        <v>41832</v>
      </c>
      <c r="G16" s="15">
        <f>AVERAGE(C16:F16)</f>
        <v>41830.75</v>
      </c>
      <c r="H16" s="6" t="s">
        <v>70</v>
      </c>
      <c r="I16" s="17">
        <v>41843</v>
      </c>
      <c r="J16" s="294">
        <f>I16-C16</f>
        <v>13</v>
      </c>
      <c r="K16" s="268"/>
      <c r="L16" s="294">
        <f>I16-D16</f>
        <v>13</v>
      </c>
      <c r="M16" s="268"/>
      <c r="N16" s="294">
        <f>I16-E16</f>
        <v>12</v>
      </c>
      <c r="O16" s="272"/>
      <c r="P16" s="295">
        <f>I16-F16</f>
        <v>11</v>
      </c>
      <c r="Q16" s="261"/>
      <c r="R16" s="307"/>
      <c r="S16" s="307"/>
      <c r="T16" s="307"/>
      <c r="U16" s="307"/>
      <c r="V16" s="307"/>
      <c r="W16" s="307"/>
      <c r="X16" s="307"/>
      <c r="Y16" s="307"/>
      <c r="Z16" s="308"/>
    </row>
    <row r="17" spans="1:26" ht="15.75" customHeight="1" x14ac:dyDescent="0.2">
      <c r="A17" s="323" t="s">
        <v>71</v>
      </c>
      <c r="B17" s="324"/>
      <c r="C17" s="50">
        <v>41836</v>
      </c>
      <c r="D17" s="50">
        <v>41836</v>
      </c>
      <c r="E17" s="50">
        <v>41837</v>
      </c>
      <c r="F17" s="50">
        <v>41838</v>
      </c>
      <c r="G17" s="51">
        <f>AVERAGE(C17:E17)</f>
        <v>41836.333333333336</v>
      </c>
      <c r="H17" s="6" t="s">
        <v>72</v>
      </c>
      <c r="I17" s="102">
        <v>41843</v>
      </c>
      <c r="J17" s="291">
        <v>339</v>
      </c>
      <c r="K17" s="268"/>
      <c r="L17" s="290">
        <v>369</v>
      </c>
      <c r="M17" s="268"/>
      <c r="N17" s="320">
        <v>400</v>
      </c>
      <c r="O17" s="272"/>
      <c r="P17" s="309">
        <v>359</v>
      </c>
      <c r="Q17" s="261"/>
      <c r="R17" s="307"/>
      <c r="S17" s="307"/>
      <c r="T17" s="307"/>
      <c r="U17" s="307"/>
      <c r="V17" s="307"/>
      <c r="W17" s="307"/>
      <c r="X17" s="307"/>
      <c r="Y17" s="307"/>
      <c r="Z17" s="308"/>
    </row>
    <row r="18" spans="1:26" ht="15.75" customHeight="1" x14ac:dyDescent="0.2">
      <c r="A18" s="327" t="s">
        <v>73</v>
      </c>
      <c r="B18" s="327"/>
      <c r="C18" s="325" t="s">
        <v>40</v>
      </c>
      <c r="D18" s="325" t="s">
        <v>41</v>
      </c>
      <c r="E18" s="325" t="s">
        <v>42</v>
      </c>
      <c r="F18" s="325" t="s">
        <v>43</v>
      </c>
      <c r="G18" s="326" t="s">
        <v>38</v>
      </c>
      <c r="H18" s="49" t="s">
        <v>78</v>
      </c>
      <c r="I18" s="10"/>
      <c r="J18" s="286" t="s">
        <v>29</v>
      </c>
      <c r="K18" s="268"/>
      <c r="L18" s="285" t="s">
        <v>29</v>
      </c>
      <c r="M18" s="268"/>
      <c r="N18" s="296" t="s">
        <v>29</v>
      </c>
      <c r="O18" s="272"/>
      <c r="P18" s="297" t="s">
        <v>29</v>
      </c>
      <c r="Q18" s="261"/>
      <c r="R18" s="307"/>
      <c r="S18" s="307"/>
      <c r="T18" s="307"/>
      <c r="U18" s="307"/>
      <c r="V18" s="307"/>
      <c r="W18" s="307"/>
      <c r="X18" s="307"/>
      <c r="Y18" s="307"/>
      <c r="Z18" s="308"/>
    </row>
    <row r="19" spans="1:26" ht="15" customHeight="1" x14ac:dyDescent="0.2">
      <c r="A19" s="328"/>
      <c r="B19" s="328"/>
      <c r="C19" s="261"/>
      <c r="D19" s="261"/>
      <c r="E19" s="261"/>
      <c r="F19" s="261"/>
      <c r="G19" s="261"/>
      <c r="H19" s="49" t="s">
        <v>67</v>
      </c>
      <c r="I19" s="10"/>
      <c r="J19" s="286" t="s">
        <v>29</v>
      </c>
      <c r="K19" s="268"/>
      <c r="L19" s="285" t="s">
        <v>29</v>
      </c>
      <c r="M19" s="268"/>
      <c r="N19" s="296" t="s">
        <v>29</v>
      </c>
      <c r="O19" s="272"/>
      <c r="P19" s="297" t="s">
        <v>29</v>
      </c>
      <c r="Q19" s="261"/>
      <c r="R19" s="307"/>
      <c r="S19" s="307"/>
      <c r="T19" s="307"/>
      <c r="U19" s="307"/>
      <c r="V19" s="307"/>
      <c r="W19" s="307"/>
      <c r="X19" s="307"/>
      <c r="Y19" s="307"/>
      <c r="Z19" s="308"/>
    </row>
    <row r="20" spans="1:26" ht="15.75" customHeight="1" x14ac:dyDescent="0.2">
      <c r="A20" s="312" t="s">
        <v>79</v>
      </c>
      <c r="B20" s="313"/>
      <c r="C20" s="122" t="s">
        <v>422</v>
      </c>
      <c r="D20" s="122" t="s">
        <v>422</v>
      </c>
      <c r="E20" s="122" t="s">
        <v>423</v>
      </c>
      <c r="F20" s="122" t="s">
        <v>424</v>
      </c>
      <c r="G20" s="52" t="s">
        <v>29</v>
      </c>
      <c r="H20" s="6" t="s">
        <v>68</v>
      </c>
      <c r="I20" s="10"/>
      <c r="J20" s="286" t="s">
        <v>29</v>
      </c>
      <c r="K20" s="268"/>
      <c r="L20" s="285" t="s">
        <v>29</v>
      </c>
      <c r="M20" s="268"/>
      <c r="N20" s="296" t="s">
        <v>29</v>
      </c>
      <c r="O20" s="272"/>
      <c r="P20" s="297" t="s">
        <v>29</v>
      </c>
      <c r="Q20" s="261"/>
      <c r="R20" s="307"/>
      <c r="S20" s="307"/>
      <c r="T20" s="307"/>
      <c r="U20" s="307"/>
      <c r="V20" s="307"/>
      <c r="W20" s="307"/>
      <c r="X20" s="307"/>
      <c r="Y20" s="307"/>
      <c r="Z20" s="308"/>
    </row>
    <row r="21" spans="1:26" ht="15.75" customHeight="1" x14ac:dyDescent="0.2">
      <c r="A21" s="312" t="s">
        <v>46</v>
      </c>
      <c r="B21" s="313"/>
      <c r="C21" s="28" t="s">
        <v>354</v>
      </c>
      <c r="D21" s="28" t="s">
        <v>355</v>
      </c>
      <c r="E21" s="28" t="s">
        <v>356</v>
      </c>
      <c r="F21" s="28" t="s">
        <v>407</v>
      </c>
      <c r="G21" s="18" t="s">
        <v>29</v>
      </c>
      <c r="H21" s="47" t="s">
        <v>80</v>
      </c>
      <c r="I21" s="17">
        <v>41848</v>
      </c>
      <c r="J21" s="294">
        <v>18</v>
      </c>
      <c r="K21" s="268"/>
      <c r="L21" s="294">
        <v>18</v>
      </c>
      <c r="M21" s="268"/>
      <c r="N21" s="294">
        <v>17</v>
      </c>
      <c r="O21" s="272"/>
      <c r="P21" s="295">
        <v>16</v>
      </c>
      <c r="Q21" s="261"/>
      <c r="R21" s="307"/>
      <c r="S21" s="307"/>
      <c r="T21" s="307"/>
      <c r="U21" s="307"/>
      <c r="V21" s="307"/>
      <c r="W21" s="307"/>
      <c r="X21" s="307"/>
      <c r="Y21" s="307"/>
      <c r="Z21" s="308"/>
    </row>
    <row r="22" spans="1:26" ht="15.75" customHeight="1" x14ac:dyDescent="0.2">
      <c r="A22" s="312" t="s">
        <v>81</v>
      </c>
      <c r="B22" s="313"/>
      <c r="C22" s="121">
        <v>41855</v>
      </c>
      <c r="D22" s="121">
        <v>41855</v>
      </c>
      <c r="E22" s="121">
        <v>41855</v>
      </c>
      <c r="F22" s="121">
        <v>41855</v>
      </c>
      <c r="G22" s="43" t="s">
        <v>29</v>
      </c>
      <c r="H22" s="48" t="s">
        <v>82</v>
      </c>
      <c r="I22" s="102">
        <v>41848</v>
      </c>
      <c r="J22" s="291">
        <v>477</v>
      </c>
      <c r="K22" s="268"/>
      <c r="L22" s="290">
        <v>598</v>
      </c>
      <c r="M22" s="268"/>
      <c r="N22" s="320">
        <v>605</v>
      </c>
      <c r="O22" s="272"/>
      <c r="P22" s="309">
        <v>545</v>
      </c>
      <c r="Q22" s="261"/>
      <c r="R22" s="307"/>
      <c r="S22" s="307"/>
      <c r="T22" s="307"/>
      <c r="U22" s="307"/>
      <c r="V22" s="307"/>
      <c r="W22" s="307"/>
      <c r="X22" s="307"/>
      <c r="Y22" s="307"/>
      <c r="Z22" s="308"/>
    </row>
    <row r="23" spans="1:26" ht="15.75" customHeight="1" x14ac:dyDescent="0.2">
      <c r="A23" s="312" t="s">
        <v>12</v>
      </c>
      <c r="B23" s="313"/>
      <c r="C23" s="28">
        <v>220612778</v>
      </c>
      <c r="D23" s="18">
        <v>220612776</v>
      </c>
      <c r="E23" s="28">
        <v>168705300</v>
      </c>
      <c r="F23" s="28">
        <v>168705298</v>
      </c>
      <c r="G23" s="43" t="s">
        <v>29</v>
      </c>
      <c r="H23" s="48" t="s">
        <v>83</v>
      </c>
      <c r="I23" s="102">
        <v>41848</v>
      </c>
      <c r="J23" s="429" t="s">
        <v>369</v>
      </c>
      <c r="K23" s="268"/>
      <c r="L23" s="430" t="s">
        <v>369</v>
      </c>
      <c r="M23" s="268"/>
      <c r="N23" s="431" t="s">
        <v>369</v>
      </c>
      <c r="O23" s="272"/>
      <c r="P23" s="367" t="s">
        <v>369</v>
      </c>
      <c r="Q23" s="261"/>
      <c r="R23" s="307"/>
      <c r="S23" s="307"/>
      <c r="T23" s="307"/>
      <c r="U23" s="307"/>
      <c r="V23" s="307"/>
      <c r="W23" s="307"/>
      <c r="X23" s="307"/>
      <c r="Y23" s="307"/>
      <c r="Z23" s="308"/>
    </row>
    <row r="24" spans="1:26" ht="15.75" customHeight="1" x14ac:dyDescent="0.2">
      <c r="A24" s="312" t="s">
        <v>84</v>
      </c>
      <c r="B24" s="313"/>
      <c r="C24" s="28" t="s">
        <v>410</v>
      </c>
      <c r="D24" s="28" t="s">
        <v>410</v>
      </c>
      <c r="E24" s="28" t="s">
        <v>410</v>
      </c>
      <c r="F24" s="28" t="s">
        <v>410</v>
      </c>
      <c r="G24" s="43" t="s">
        <v>29</v>
      </c>
      <c r="H24" s="48" t="s">
        <v>67</v>
      </c>
      <c r="I24" s="10"/>
      <c r="J24" s="286" t="s">
        <v>29</v>
      </c>
      <c r="K24" s="268"/>
      <c r="L24" s="321" t="s">
        <v>29</v>
      </c>
      <c r="M24" s="268"/>
      <c r="N24" s="322" t="s">
        <v>29</v>
      </c>
      <c r="O24" s="272"/>
      <c r="P24" s="297" t="s">
        <v>29</v>
      </c>
      <c r="Q24" s="261"/>
      <c r="R24" s="307"/>
      <c r="S24" s="307"/>
      <c r="T24" s="307"/>
      <c r="U24" s="307"/>
      <c r="V24" s="307"/>
      <c r="W24" s="307"/>
      <c r="X24" s="307"/>
      <c r="Y24" s="307"/>
      <c r="Z24" s="308"/>
    </row>
    <row r="25" spans="1:26" ht="15.75" customHeight="1" x14ac:dyDescent="0.2">
      <c r="A25" s="312" t="s">
        <v>11</v>
      </c>
      <c r="B25" s="313"/>
      <c r="C25" s="28" t="s">
        <v>398</v>
      </c>
      <c r="D25" s="28" t="s">
        <v>398</v>
      </c>
      <c r="E25" s="28" t="s">
        <v>413</v>
      </c>
      <c r="F25" s="28" t="s">
        <v>413</v>
      </c>
      <c r="G25" s="43" t="s">
        <v>29</v>
      </c>
      <c r="H25" s="48" t="s">
        <v>68</v>
      </c>
      <c r="I25" s="10"/>
      <c r="J25" s="286" t="s">
        <v>29</v>
      </c>
      <c r="K25" s="268"/>
      <c r="L25" s="321" t="s">
        <v>29</v>
      </c>
      <c r="M25" s="268"/>
      <c r="N25" s="322" t="s">
        <v>29</v>
      </c>
      <c r="O25" s="272"/>
      <c r="P25" s="297" t="s">
        <v>29</v>
      </c>
      <c r="Q25" s="261"/>
      <c r="R25" s="307"/>
      <c r="S25" s="307"/>
      <c r="T25" s="307"/>
      <c r="U25" s="307"/>
      <c r="V25" s="307"/>
      <c r="W25" s="307"/>
      <c r="X25" s="307"/>
      <c r="Y25" s="307"/>
      <c r="Z25" s="308"/>
    </row>
    <row r="26" spans="1:26" ht="15.75" customHeight="1" x14ac:dyDescent="0.2">
      <c r="A26" s="314" t="s">
        <v>85</v>
      </c>
      <c r="B26" s="315"/>
      <c r="C26" s="28" t="s">
        <v>410</v>
      </c>
      <c r="D26" s="28" t="s">
        <v>410</v>
      </c>
      <c r="E26" s="28" t="s">
        <v>410</v>
      </c>
      <c r="F26" s="28" t="s">
        <v>410</v>
      </c>
      <c r="G26" s="43" t="s">
        <v>29</v>
      </c>
      <c r="H26" s="48" t="s">
        <v>86</v>
      </c>
      <c r="I26" s="10"/>
      <c r="J26" s="286" t="s">
        <v>29</v>
      </c>
      <c r="K26" s="268"/>
      <c r="L26" s="321" t="s">
        <v>29</v>
      </c>
      <c r="M26" s="268"/>
      <c r="N26" s="322" t="s">
        <v>29</v>
      </c>
      <c r="O26" s="272"/>
      <c r="P26" s="297" t="s">
        <v>29</v>
      </c>
      <c r="Q26" s="261"/>
      <c r="R26" s="307"/>
      <c r="S26" s="307"/>
      <c r="T26" s="307"/>
      <c r="U26" s="307"/>
      <c r="V26" s="307"/>
      <c r="W26" s="307"/>
      <c r="X26" s="307"/>
      <c r="Y26" s="307"/>
      <c r="Z26" s="308"/>
    </row>
    <row r="27" spans="1:26" ht="15.75" customHeight="1" x14ac:dyDescent="0.2">
      <c r="A27" s="316" t="s">
        <v>87</v>
      </c>
      <c r="B27" s="317"/>
      <c r="C27" s="28" t="s">
        <v>410</v>
      </c>
      <c r="D27" s="28" t="s">
        <v>410</v>
      </c>
      <c r="E27" s="28" t="s">
        <v>410</v>
      </c>
      <c r="F27" s="28" t="s">
        <v>410</v>
      </c>
      <c r="G27" s="43" t="s">
        <v>29</v>
      </c>
      <c r="H27" s="48" t="s">
        <v>88</v>
      </c>
      <c r="I27" s="10"/>
      <c r="J27" s="286" t="s">
        <v>29</v>
      </c>
      <c r="K27" s="268"/>
      <c r="L27" s="321" t="s">
        <v>29</v>
      </c>
      <c r="M27" s="268"/>
      <c r="N27" s="322" t="s">
        <v>29</v>
      </c>
      <c r="O27" s="272"/>
      <c r="P27" s="297" t="s">
        <v>29</v>
      </c>
      <c r="Q27" s="261"/>
      <c r="R27" s="307"/>
      <c r="S27" s="307"/>
      <c r="T27" s="307"/>
      <c r="U27" s="307"/>
      <c r="V27" s="307"/>
      <c r="W27" s="307"/>
      <c r="X27" s="307"/>
      <c r="Y27" s="307"/>
      <c r="Z27" s="308"/>
    </row>
    <row r="28" spans="1:26" ht="15.75" customHeight="1" x14ac:dyDescent="0.2">
      <c r="A28" s="61"/>
      <c r="B28" s="7"/>
      <c r="C28" s="4"/>
      <c r="D28" s="4"/>
      <c r="E28" s="4"/>
      <c r="F28" s="4"/>
      <c r="G28" s="4"/>
      <c r="H28" s="104" t="s">
        <v>372</v>
      </c>
      <c r="I28" s="17">
        <v>41852</v>
      </c>
      <c r="J28" s="294">
        <v>22</v>
      </c>
      <c r="K28" s="268"/>
      <c r="L28" s="294">
        <v>22</v>
      </c>
      <c r="M28" s="268"/>
      <c r="N28" s="294">
        <v>21</v>
      </c>
      <c r="O28" s="272"/>
      <c r="P28" s="295">
        <v>20</v>
      </c>
      <c r="Q28" s="261"/>
      <c r="R28" s="53"/>
      <c r="S28" s="30"/>
      <c r="T28" s="4"/>
      <c r="U28" s="4"/>
      <c r="V28" s="4"/>
      <c r="W28" s="26"/>
      <c r="X28" s="4"/>
      <c r="Y28" s="4"/>
      <c r="Z28" s="4"/>
    </row>
    <row r="29" spans="1:26" ht="18" customHeight="1" x14ac:dyDescent="0.2">
      <c r="H29" s="103" t="s">
        <v>373</v>
      </c>
      <c r="I29" s="102">
        <v>41852</v>
      </c>
      <c r="J29" s="291">
        <v>483</v>
      </c>
      <c r="K29" s="268"/>
      <c r="L29" s="290">
        <v>534</v>
      </c>
      <c r="M29" s="268"/>
      <c r="N29" s="320">
        <v>671</v>
      </c>
      <c r="O29" s="272"/>
      <c r="P29" s="309">
        <v>649</v>
      </c>
      <c r="Q29" s="261"/>
    </row>
    <row r="30" spans="1:26" ht="18" customHeight="1" x14ac:dyDescent="0.2">
      <c r="H30" s="103" t="s">
        <v>374</v>
      </c>
      <c r="I30" s="10"/>
      <c r="J30" s="286" t="s">
        <v>29</v>
      </c>
      <c r="K30" s="268"/>
      <c r="L30" s="321" t="s">
        <v>29</v>
      </c>
      <c r="M30" s="268"/>
      <c r="N30" s="322" t="s">
        <v>29</v>
      </c>
      <c r="O30" s="272"/>
      <c r="P30" s="297" t="s">
        <v>29</v>
      </c>
      <c r="Q30" s="261"/>
    </row>
    <row r="31" spans="1:26" ht="18" customHeight="1" x14ac:dyDescent="0.2">
      <c r="H31" s="104" t="s">
        <v>372</v>
      </c>
      <c r="I31" s="17">
        <v>41855</v>
      </c>
      <c r="J31" s="294">
        <v>25</v>
      </c>
      <c r="K31" s="268"/>
      <c r="L31" s="294">
        <v>25</v>
      </c>
      <c r="M31" s="268"/>
      <c r="N31" s="294">
        <v>24</v>
      </c>
      <c r="O31" s="272"/>
      <c r="P31" s="295">
        <v>23</v>
      </c>
      <c r="Q31" s="261"/>
    </row>
    <row r="32" spans="1:26" ht="18" customHeight="1" x14ac:dyDescent="0.2">
      <c r="H32" s="103" t="s">
        <v>373</v>
      </c>
      <c r="I32" s="102">
        <v>41855</v>
      </c>
      <c r="J32" s="291">
        <v>544</v>
      </c>
      <c r="K32" s="268"/>
      <c r="L32" s="290">
        <v>544</v>
      </c>
      <c r="M32" s="268"/>
      <c r="N32" s="320">
        <v>741</v>
      </c>
      <c r="O32" s="272"/>
      <c r="P32" s="309">
        <v>736</v>
      </c>
      <c r="Q32" s="261"/>
    </row>
    <row r="33" spans="8:17" ht="18" customHeight="1" x14ac:dyDescent="0.2">
      <c r="H33" s="103" t="s">
        <v>374</v>
      </c>
      <c r="I33" s="102">
        <v>41855</v>
      </c>
      <c r="J33" s="429" t="s">
        <v>369</v>
      </c>
      <c r="K33" s="268"/>
      <c r="L33" s="430" t="s">
        <v>369</v>
      </c>
      <c r="M33" s="268"/>
      <c r="N33" s="431" t="s">
        <v>369</v>
      </c>
      <c r="O33" s="272"/>
      <c r="P33" s="367" t="s">
        <v>369</v>
      </c>
      <c r="Q33" s="261"/>
    </row>
    <row r="34" spans="8:17" ht="18" customHeight="1" x14ac:dyDescent="0.2">
      <c r="H34" s="48" t="s">
        <v>67</v>
      </c>
      <c r="I34" s="10"/>
      <c r="J34" s="286" t="s">
        <v>29</v>
      </c>
      <c r="K34" s="268"/>
      <c r="L34" s="321" t="s">
        <v>29</v>
      </c>
      <c r="M34" s="268"/>
      <c r="N34" s="322" t="s">
        <v>29</v>
      </c>
      <c r="O34" s="272"/>
      <c r="P34" s="297" t="s">
        <v>29</v>
      </c>
      <c r="Q34" s="261"/>
    </row>
    <row r="35" spans="8:17" ht="18" customHeight="1" x14ac:dyDescent="0.2">
      <c r="H35" s="48" t="s">
        <v>68</v>
      </c>
      <c r="I35" s="10"/>
      <c r="J35" s="286" t="s">
        <v>29</v>
      </c>
      <c r="K35" s="268"/>
      <c r="L35" s="321" t="s">
        <v>29</v>
      </c>
      <c r="M35" s="268"/>
      <c r="N35" s="322" t="s">
        <v>29</v>
      </c>
      <c r="O35" s="272"/>
      <c r="P35" s="297" t="s">
        <v>29</v>
      </c>
      <c r="Q35" s="261"/>
    </row>
    <row r="36" spans="8:17" ht="18" customHeight="1" x14ac:dyDescent="0.2">
      <c r="H36" s="48" t="s">
        <v>86</v>
      </c>
      <c r="I36" s="10"/>
      <c r="J36" s="286" t="s">
        <v>29</v>
      </c>
      <c r="K36" s="268"/>
      <c r="L36" s="321" t="s">
        <v>29</v>
      </c>
      <c r="M36" s="268"/>
      <c r="N36" s="322" t="s">
        <v>29</v>
      </c>
      <c r="O36" s="272"/>
      <c r="P36" s="297" t="s">
        <v>29</v>
      </c>
      <c r="Q36" s="261"/>
    </row>
    <row r="37" spans="8:17" ht="18" customHeight="1" x14ac:dyDescent="0.2">
      <c r="H37" s="48" t="s">
        <v>88</v>
      </c>
      <c r="I37" s="10"/>
      <c r="J37" s="286" t="s">
        <v>29</v>
      </c>
      <c r="K37" s="268"/>
      <c r="L37" s="321" t="s">
        <v>29</v>
      </c>
      <c r="M37" s="268"/>
      <c r="N37" s="322" t="s">
        <v>29</v>
      </c>
      <c r="O37" s="272"/>
      <c r="P37" s="297" t="s">
        <v>29</v>
      </c>
      <c r="Q37" s="261"/>
    </row>
    <row r="38" spans="8:17" ht="18" customHeight="1" x14ac:dyDescent="0.2">
      <c r="H38" s="47" t="s">
        <v>80</v>
      </c>
      <c r="I38" s="17">
        <v>41860</v>
      </c>
      <c r="J38" s="364">
        <f>I38-C16</f>
        <v>30</v>
      </c>
      <c r="K38" s="492"/>
      <c r="L38" s="364">
        <v>30</v>
      </c>
      <c r="M38" s="492"/>
      <c r="N38" s="364">
        <v>29</v>
      </c>
      <c r="O38" s="493"/>
      <c r="P38" s="533">
        <v>28</v>
      </c>
      <c r="Q38" s="534"/>
    </row>
    <row r="39" spans="8:17" ht="18" customHeight="1" x14ac:dyDescent="0.2">
      <c r="H39" s="48" t="s">
        <v>82</v>
      </c>
      <c r="I39" s="17">
        <v>41860</v>
      </c>
      <c r="J39" s="443">
        <v>614</v>
      </c>
      <c r="K39" s="444"/>
      <c r="L39" s="441">
        <v>595</v>
      </c>
      <c r="M39" s="442"/>
      <c r="N39" s="438">
        <v>831</v>
      </c>
      <c r="O39" s="439"/>
      <c r="P39" s="434">
        <v>860</v>
      </c>
      <c r="Q39" s="435"/>
    </row>
    <row r="40" spans="8:17" ht="18" customHeight="1" x14ac:dyDescent="0.2">
      <c r="H40" s="48" t="s">
        <v>83</v>
      </c>
      <c r="I40" s="10"/>
      <c r="J40" s="286" t="s">
        <v>29</v>
      </c>
      <c r="K40" s="268"/>
      <c r="L40" s="321" t="s">
        <v>29</v>
      </c>
      <c r="M40" s="268"/>
      <c r="N40" s="322" t="s">
        <v>29</v>
      </c>
      <c r="O40" s="272"/>
      <c r="P40" s="297" t="s">
        <v>29</v>
      </c>
      <c r="Q40" s="261"/>
    </row>
    <row r="41" spans="8:17" ht="18" customHeight="1" x14ac:dyDescent="0.2">
      <c r="H41" s="48" t="s">
        <v>67</v>
      </c>
      <c r="I41" s="10"/>
      <c r="J41" s="286" t="s">
        <v>29</v>
      </c>
      <c r="K41" s="268"/>
      <c r="L41" s="321" t="s">
        <v>29</v>
      </c>
      <c r="M41" s="268"/>
      <c r="N41" s="322" t="s">
        <v>29</v>
      </c>
      <c r="O41" s="272"/>
      <c r="P41" s="297" t="s">
        <v>29</v>
      </c>
      <c r="Q41" s="261"/>
    </row>
    <row r="42" spans="8:17" ht="18" customHeight="1" x14ac:dyDescent="0.2">
      <c r="H42" s="48" t="s">
        <v>68</v>
      </c>
      <c r="I42" s="10"/>
      <c r="J42" s="286" t="s">
        <v>29</v>
      </c>
      <c r="K42" s="268"/>
      <c r="L42" s="321" t="s">
        <v>29</v>
      </c>
      <c r="M42" s="268"/>
      <c r="N42" s="322" t="s">
        <v>29</v>
      </c>
      <c r="O42" s="272"/>
      <c r="P42" s="297" t="s">
        <v>29</v>
      </c>
      <c r="Q42" s="261"/>
    </row>
    <row r="43" spans="8:17" ht="18" customHeight="1" x14ac:dyDescent="0.2">
      <c r="H43" s="48" t="s">
        <v>86</v>
      </c>
      <c r="I43" s="10"/>
      <c r="J43" s="286" t="s">
        <v>29</v>
      </c>
      <c r="K43" s="268"/>
      <c r="L43" s="321" t="s">
        <v>29</v>
      </c>
      <c r="M43" s="268"/>
      <c r="N43" s="322" t="s">
        <v>29</v>
      </c>
      <c r="O43" s="272"/>
      <c r="P43" s="297" t="s">
        <v>29</v>
      </c>
      <c r="Q43" s="261"/>
    </row>
    <row r="44" spans="8:17" ht="18" customHeight="1" x14ac:dyDescent="0.2">
      <c r="H44" s="48" t="s">
        <v>88</v>
      </c>
      <c r="I44" s="10"/>
      <c r="J44" s="286" t="s">
        <v>29</v>
      </c>
      <c r="K44" s="268"/>
      <c r="L44" s="321" t="s">
        <v>29</v>
      </c>
      <c r="M44" s="268"/>
      <c r="N44" s="322" t="s">
        <v>29</v>
      </c>
      <c r="O44" s="272"/>
      <c r="P44" s="297" t="s">
        <v>29</v>
      </c>
      <c r="Q44" s="261"/>
    </row>
  </sheetData>
  <mergeCells count="196">
    <mergeCell ref="J37:K37"/>
    <mergeCell ref="L37:M37"/>
    <mergeCell ref="N37:O37"/>
    <mergeCell ref="P37:Q37"/>
    <mergeCell ref="J40:K40"/>
    <mergeCell ref="L40:M40"/>
    <mergeCell ref="N40:O40"/>
    <mergeCell ref="P40:Q40"/>
    <mergeCell ref="J34:K34"/>
    <mergeCell ref="L34:M34"/>
    <mergeCell ref="N34:O34"/>
    <mergeCell ref="P34:Q34"/>
    <mergeCell ref="J35:K35"/>
    <mergeCell ref="L35:M35"/>
    <mergeCell ref="N35:O35"/>
    <mergeCell ref="P35:Q35"/>
    <mergeCell ref="J36:K36"/>
    <mergeCell ref="L36:M36"/>
    <mergeCell ref="N36:O36"/>
    <mergeCell ref="P36:Q36"/>
    <mergeCell ref="J42:K42"/>
    <mergeCell ref="L42:M42"/>
    <mergeCell ref="N42:O42"/>
    <mergeCell ref="P42:Q42"/>
    <mergeCell ref="J38:K38"/>
    <mergeCell ref="L38:M38"/>
    <mergeCell ref="N38:O38"/>
    <mergeCell ref="P38:Q38"/>
    <mergeCell ref="J43:K43"/>
    <mergeCell ref="L43:M43"/>
    <mergeCell ref="N43:O43"/>
    <mergeCell ref="P43:Q43"/>
    <mergeCell ref="J44:K44"/>
    <mergeCell ref="L44:M44"/>
    <mergeCell ref="N44:O44"/>
    <mergeCell ref="P44:Q44"/>
    <mergeCell ref="J31:K31"/>
    <mergeCell ref="L31:M31"/>
    <mergeCell ref="N31:O31"/>
    <mergeCell ref="P31:Q31"/>
    <mergeCell ref="J32:K32"/>
    <mergeCell ref="L32:M32"/>
    <mergeCell ref="N32:O32"/>
    <mergeCell ref="P32:Q32"/>
    <mergeCell ref="J33:K33"/>
    <mergeCell ref="L33:M33"/>
    <mergeCell ref="N33:O33"/>
    <mergeCell ref="P33:Q33"/>
    <mergeCell ref="J39:K39"/>
    <mergeCell ref="L39:M39"/>
    <mergeCell ref="N39:O39"/>
    <mergeCell ref="P39:Q39"/>
    <mergeCell ref="J41:K41"/>
    <mergeCell ref="L41:M41"/>
    <mergeCell ref="N41:O41"/>
    <mergeCell ref="P41:Q41"/>
    <mergeCell ref="J29:K29"/>
    <mergeCell ref="L29:M29"/>
    <mergeCell ref="N29:O29"/>
    <mergeCell ref="P29:Q29"/>
    <mergeCell ref="J30:K30"/>
    <mergeCell ref="L30:M30"/>
    <mergeCell ref="N30:O30"/>
    <mergeCell ref="P30:Q30"/>
    <mergeCell ref="A27:B27"/>
    <mergeCell ref="J27:K27"/>
    <mergeCell ref="L27:M27"/>
    <mergeCell ref="N27:O27"/>
    <mergeCell ref="P27:Q27"/>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P20:Q20"/>
    <mergeCell ref="A21:B21"/>
    <mergeCell ref="J16:K16"/>
    <mergeCell ref="L16:M16"/>
    <mergeCell ref="N16:O16"/>
    <mergeCell ref="P16:Q16"/>
    <mergeCell ref="A22:B22"/>
    <mergeCell ref="J17:K17"/>
    <mergeCell ref="L17:M17"/>
    <mergeCell ref="N17:O17"/>
    <mergeCell ref="P17:Q17"/>
    <mergeCell ref="J21:K21"/>
    <mergeCell ref="L21:M21"/>
    <mergeCell ref="N21:O21"/>
    <mergeCell ref="P21:Q21"/>
    <mergeCell ref="J22:K22"/>
    <mergeCell ref="L22:M22"/>
    <mergeCell ref="N22:O22"/>
    <mergeCell ref="P22:Q22"/>
    <mergeCell ref="J15:K15"/>
    <mergeCell ref="L15:M15"/>
    <mergeCell ref="N15:O15"/>
    <mergeCell ref="P15:Q15"/>
    <mergeCell ref="R15:Z27"/>
    <mergeCell ref="A17:B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101</v>
      </c>
      <c r="G1" s="241" t="s">
        <v>3</v>
      </c>
      <c r="H1" s="235" t="s">
        <v>4</v>
      </c>
      <c r="I1" s="329" t="s">
        <v>5</v>
      </c>
      <c r="J1" s="261"/>
      <c r="K1" s="262" t="s">
        <v>340</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304</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Q28" sqref="Q28"/>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102</v>
      </c>
      <c r="G1" s="241" t="s">
        <v>3</v>
      </c>
      <c r="H1" s="235" t="s">
        <v>4</v>
      </c>
      <c r="I1" s="329" t="s">
        <v>5</v>
      </c>
      <c r="J1" s="261"/>
      <c r="K1" s="262" t="s">
        <v>341</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305</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A29" sqref="AA29"/>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103</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166</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K1" sqref="K1:O1"/>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104</v>
      </c>
      <c r="G1" s="241" t="s">
        <v>3</v>
      </c>
      <c r="H1" s="235" t="s">
        <v>4</v>
      </c>
      <c r="I1" s="329" t="s">
        <v>5</v>
      </c>
      <c r="J1" s="261"/>
      <c r="K1" s="262" t="s">
        <v>342</v>
      </c>
      <c r="L1" s="261"/>
      <c r="M1" s="261"/>
      <c r="N1" s="261"/>
      <c r="O1" s="261"/>
      <c r="P1" s="333" t="s">
        <v>6</v>
      </c>
      <c r="Q1" s="261"/>
      <c r="R1" s="334" t="s">
        <v>268</v>
      </c>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v>5</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41861</v>
      </c>
      <c r="J8" s="341">
        <f>IF(((I8-C16)&gt;0),(I8-C16),"/")</f>
        <v>41861</v>
      </c>
      <c r="K8" s="336"/>
      <c r="L8" s="341">
        <f>IF(((I8-D16)&gt;0),(I8-D16),"/")</f>
        <v>41861</v>
      </c>
      <c r="M8" s="336"/>
      <c r="N8" s="341">
        <f>IF(((I8-E16)&gt;0),(I8-E16),"/")</f>
        <v>41861</v>
      </c>
      <c r="O8" s="336"/>
      <c r="P8" s="341">
        <f>IF(((I8-F16)&gt;0),(I8-F16),"/")</f>
        <v>41861</v>
      </c>
      <c r="Q8" s="336"/>
      <c r="R8" s="164" t="s">
        <v>51</v>
      </c>
      <c r="S8" s="165"/>
      <c r="T8" s="237">
        <v>1</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63">
        <v>41861</v>
      </c>
      <c r="J9" s="355">
        <v>981</v>
      </c>
      <c r="K9" s="336"/>
      <c r="L9" s="356" t="s">
        <v>29</v>
      </c>
      <c r="M9" s="336"/>
      <c r="N9" s="356" t="s">
        <v>29</v>
      </c>
      <c r="O9" s="336"/>
      <c r="P9" s="357" t="s">
        <v>29</v>
      </c>
      <c r="Q9" s="336"/>
      <c r="R9" s="164" t="s">
        <v>54</v>
      </c>
      <c r="S9" s="165"/>
      <c r="T9" s="237">
        <v>4</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v>1</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408</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408</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468</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444</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410</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177">
        <v>41861</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v>185714502</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410</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413</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Y29" sqref="Y29"/>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105</v>
      </c>
      <c r="G1" s="241" t="s">
        <v>3</v>
      </c>
      <c r="H1" s="235" t="s">
        <v>4</v>
      </c>
      <c r="I1" s="329" t="s">
        <v>5</v>
      </c>
      <c r="J1" s="261"/>
      <c r="K1" s="262" t="s">
        <v>343</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409" t="s">
        <v>267</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topLeftCell="A13" workbookViewId="0">
      <selection activeCell="F35" sqref="F35"/>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106</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306</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topLeftCell="A13"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107</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409" t="s">
        <v>307</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J29" sqref="J29:S48"/>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58" t="s">
        <v>0</v>
      </c>
      <c r="B1" s="59">
        <v>2014</v>
      </c>
      <c r="C1" s="58" t="s">
        <v>1</v>
      </c>
      <c r="D1" s="59"/>
      <c r="E1" s="58" t="s">
        <v>2</v>
      </c>
      <c r="F1" s="55">
        <v>108</v>
      </c>
      <c r="G1" s="56" t="s">
        <v>3</v>
      </c>
      <c r="H1" s="55" t="s">
        <v>4</v>
      </c>
      <c r="I1" s="260" t="s">
        <v>5</v>
      </c>
      <c r="J1" s="261"/>
      <c r="K1" s="330" t="s">
        <v>344</v>
      </c>
      <c r="L1" s="382"/>
      <c r="M1" s="382"/>
      <c r="N1" s="382"/>
      <c r="O1" s="383"/>
      <c r="P1" s="263" t="s">
        <v>6</v>
      </c>
      <c r="Q1" s="261"/>
      <c r="R1" s="264"/>
      <c r="S1" s="265"/>
      <c r="T1" s="16"/>
      <c r="U1" s="16"/>
      <c r="V1" s="16"/>
      <c r="W1" s="16"/>
      <c r="X1" s="16"/>
      <c r="Y1" s="16"/>
      <c r="Z1" s="34"/>
    </row>
    <row r="2" spans="1:30" ht="27.75" customHeight="1" x14ac:dyDescent="0.2">
      <c r="A2" s="57" t="s">
        <v>8</v>
      </c>
      <c r="B2" s="54" t="s">
        <v>9</v>
      </c>
      <c r="C2" s="54" t="s">
        <v>10</v>
      </c>
      <c r="D2" s="54" t="s">
        <v>11</v>
      </c>
      <c r="E2" s="54" t="s">
        <v>12</v>
      </c>
      <c r="F2" s="54" t="s">
        <v>13</v>
      </c>
      <c r="G2" s="54" t="s">
        <v>14</v>
      </c>
      <c r="H2" s="54" t="s">
        <v>15</v>
      </c>
      <c r="I2" s="13" t="s">
        <v>16</v>
      </c>
      <c r="J2" s="54" t="s">
        <v>17</v>
      </c>
      <c r="K2" s="54" t="s">
        <v>18</v>
      </c>
      <c r="L2" s="266"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32" t="s">
        <v>90</v>
      </c>
      <c r="AD2" s="31" t="s">
        <v>95</v>
      </c>
    </row>
    <row r="3" spans="1:30" ht="15.75" customHeight="1" x14ac:dyDescent="0.2">
      <c r="A3" s="18" t="s">
        <v>29</v>
      </c>
      <c r="B3" s="18" t="s">
        <v>29</v>
      </c>
      <c r="C3" s="28" t="s">
        <v>29</v>
      </c>
      <c r="D3" s="18" t="s">
        <v>29</v>
      </c>
      <c r="E3" s="18" t="s">
        <v>29</v>
      </c>
      <c r="F3" s="18" t="s">
        <v>29</v>
      </c>
      <c r="G3" s="18" t="s">
        <v>29</v>
      </c>
      <c r="H3" s="18" t="s">
        <v>29</v>
      </c>
      <c r="I3" s="18" t="s">
        <v>29</v>
      </c>
      <c r="J3" s="18" t="s">
        <v>29</v>
      </c>
      <c r="K3" s="18" t="s">
        <v>29</v>
      </c>
      <c r="L3" s="41" t="s">
        <v>29</v>
      </c>
      <c r="M3" s="41" t="s">
        <v>29</v>
      </c>
      <c r="N3" s="18" t="s">
        <v>29</v>
      </c>
      <c r="O3" s="18" t="s">
        <v>29</v>
      </c>
      <c r="P3" s="20" t="s">
        <v>29</v>
      </c>
      <c r="Q3" s="20" t="s">
        <v>29</v>
      </c>
      <c r="R3" s="20" t="s">
        <v>29</v>
      </c>
      <c r="S3" s="20" t="s">
        <v>29</v>
      </c>
      <c r="T3" s="20" t="s">
        <v>29</v>
      </c>
      <c r="U3" s="18" t="s">
        <v>29</v>
      </c>
      <c r="V3" s="18" t="s">
        <v>29</v>
      </c>
      <c r="W3" s="18" t="s">
        <v>29</v>
      </c>
      <c r="X3" s="20" t="s">
        <v>29</v>
      </c>
      <c r="Y3" s="33" t="s">
        <v>29</v>
      </c>
      <c r="Z3" s="33" t="s">
        <v>29</v>
      </c>
    </row>
    <row r="4" spans="1:30"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5" t="s">
        <v>26</v>
      </c>
      <c r="V4" s="27" t="s">
        <v>92</v>
      </c>
      <c r="W4" s="27" t="s">
        <v>93</v>
      </c>
      <c r="X4" s="5" t="s">
        <v>27</v>
      </c>
      <c r="Y4" s="271" t="s">
        <v>28</v>
      </c>
      <c r="Z4" s="272"/>
      <c r="AA4" s="31" t="s">
        <v>89</v>
      </c>
      <c r="AB4" s="31" t="s">
        <v>91</v>
      </c>
      <c r="AC4" s="32" t="s">
        <v>90</v>
      </c>
      <c r="AD4" s="31" t="s">
        <v>95</v>
      </c>
    </row>
    <row r="5" spans="1:30" ht="15.75" customHeight="1" x14ac:dyDescent="0.2">
      <c r="A5" s="18" t="s">
        <v>29</v>
      </c>
      <c r="B5" s="18" t="s">
        <v>29</v>
      </c>
      <c r="C5" s="18" t="s">
        <v>29</v>
      </c>
      <c r="D5" s="18" t="s">
        <v>29</v>
      </c>
      <c r="E5" s="18" t="s">
        <v>29</v>
      </c>
      <c r="F5" s="18" t="s">
        <v>29</v>
      </c>
      <c r="G5" s="18" t="s">
        <v>29</v>
      </c>
      <c r="H5" s="18" t="s">
        <v>29</v>
      </c>
      <c r="I5" s="37" t="s">
        <v>29</v>
      </c>
      <c r="J5" s="37" t="s">
        <v>29</v>
      </c>
      <c r="K5" s="37" t="s">
        <v>29</v>
      </c>
      <c r="L5" s="42" t="s">
        <v>29</v>
      </c>
      <c r="M5" s="42" t="s">
        <v>29</v>
      </c>
      <c r="N5" s="37" t="s">
        <v>29</v>
      </c>
      <c r="O5" s="37" t="s">
        <v>29</v>
      </c>
      <c r="P5" s="38" t="s">
        <v>29</v>
      </c>
      <c r="Q5" s="38" t="s">
        <v>29</v>
      </c>
      <c r="R5" s="20" t="s">
        <v>29</v>
      </c>
      <c r="S5" s="20" t="s">
        <v>29</v>
      </c>
      <c r="T5" s="20" t="s">
        <v>29</v>
      </c>
      <c r="U5" s="18" t="s">
        <v>29</v>
      </c>
      <c r="V5" s="18" t="s">
        <v>29</v>
      </c>
      <c r="W5" s="18" t="s">
        <v>29</v>
      </c>
      <c r="X5" s="20" t="s">
        <v>29</v>
      </c>
      <c r="Y5" s="20" t="s">
        <v>29</v>
      </c>
      <c r="Z5" s="20" t="s">
        <v>29</v>
      </c>
    </row>
    <row r="6" spans="1:30" ht="16.5" customHeight="1" x14ac:dyDescent="0.2">
      <c r="A6" s="12" t="s">
        <v>33</v>
      </c>
      <c r="B6" s="5" t="s">
        <v>9</v>
      </c>
      <c r="C6" s="60" t="s">
        <v>34</v>
      </c>
      <c r="D6" s="60" t="s">
        <v>35</v>
      </c>
      <c r="E6" s="60" t="s">
        <v>36</v>
      </c>
      <c r="F6" s="60" t="s">
        <v>37</v>
      </c>
      <c r="G6" s="60" t="s">
        <v>38</v>
      </c>
      <c r="H6" s="36" t="s">
        <v>39</v>
      </c>
      <c r="I6" s="62" t="s">
        <v>9</v>
      </c>
      <c r="J6" s="280" t="s">
        <v>40</v>
      </c>
      <c r="K6" s="280"/>
      <c r="L6" s="280" t="s">
        <v>41</v>
      </c>
      <c r="M6" s="280"/>
      <c r="N6" s="280" t="s">
        <v>42</v>
      </c>
      <c r="O6" s="280"/>
      <c r="P6" s="280" t="s">
        <v>43</v>
      </c>
      <c r="Q6" s="280"/>
      <c r="R6" s="35"/>
      <c r="S6" s="273" t="s">
        <v>44</v>
      </c>
      <c r="T6" s="274"/>
      <c r="U6" s="274"/>
      <c r="V6" s="274"/>
      <c r="W6" s="275"/>
      <c r="X6" s="274"/>
      <c r="Y6" s="274"/>
      <c r="Z6" s="268"/>
    </row>
    <row r="7" spans="1:30" ht="15.75" customHeight="1" x14ac:dyDescent="0.2">
      <c r="A7" s="1" t="s">
        <v>45</v>
      </c>
      <c r="B7" s="20"/>
      <c r="C7" s="19"/>
      <c r="D7" s="19"/>
      <c r="E7" s="19"/>
      <c r="F7" s="19"/>
      <c r="G7" s="15" t="e">
        <f>AVERAGE(C7:F7)</f>
        <v>#DIV/0!</v>
      </c>
      <c r="H7" s="6" t="s">
        <v>46</v>
      </c>
      <c r="I7" s="39"/>
      <c r="J7" s="276" t="s">
        <v>29</v>
      </c>
      <c r="K7" s="267"/>
      <c r="L7" s="277" t="s">
        <v>29</v>
      </c>
      <c r="M7" s="267"/>
      <c r="N7" s="277" t="s">
        <v>29</v>
      </c>
      <c r="O7" s="267"/>
      <c r="P7" s="278" t="s">
        <v>29</v>
      </c>
      <c r="Q7" s="267"/>
      <c r="R7" s="23" t="s">
        <v>47</v>
      </c>
      <c r="S7" s="24"/>
      <c r="T7" s="43">
        <v>5</v>
      </c>
      <c r="U7" s="279" t="s">
        <v>48</v>
      </c>
      <c r="V7" s="279"/>
      <c r="W7" s="279"/>
      <c r="X7" s="281" t="s">
        <v>29</v>
      </c>
      <c r="Y7" s="282"/>
      <c r="Z7" s="283"/>
    </row>
    <row r="8" spans="1:30" ht="15.75" customHeight="1" x14ac:dyDescent="0.2">
      <c r="A8" s="3" t="s">
        <v>49</v>
      </c>
      <c r="B8" s="20" t="s">
        <v>29</v>
      </c>
      <c r="C8" s="20" t="s">
        <v>29</v>
      </c>
      <c r="D8" s="20" t="s">
        <v>29</v>
      </c>
      <c r="E8" s="20" t="s">
        <v>29</v>
      </c>
      <c r="F8" s="20" t="s">
        <v>29</v>
      </c>
      <c r="G8" s="60"/>
      <c r="H8" s="6" t="s">
        <v>50</v>
      </c>
      <c r="I8" s="17">
        <v>41856</v>
      </c>
      <c r="J8" s="446" t="s">
        <v>408</v>
      </c>
      <c r="K8" s="268"/>
      <c r="L8" s="446" t="s">
        <v>408</v>
      </c>
      <c r="M8" s="268"/>
      <c r="N8" s="446" t="s">
        <v>410</v>
      </c>
      <c r="O8" s="268"/>
      <c r="P8" s="446" t="s">
        <v>410</v>
      </c>
      <c r="Q8" s="268"/>
      <c r="R8" s="22" t="s">
        <v>51</v>
      </c>
      <c r="S8" s="11"/>
      <c r="T8" s="197" t="s">
        <v>408</v>
      </c>
      <c r="U8" s="310" t="s">
        <v>52</v>
      </c>
      <c r="V8" s="310"/>
      <c r="W8" s="310"/>
      <c r="X8" s="298" t="s">
        <v>29</v>
      </c>
      <c r="Y8" s="299"/>
      <c r="Z8" s="300"/>
    </row>
    <row r="9" spans="1:30" ht="15.75" customHeight="1" x14ac:dyDescent="0.2">
      <c r="A9" s="3" t="s">
        <v>49</v>
      </c>
      <c r="B9" s="20" t="s">
        <v>29</v>
      </c>
      <c r="C9" s="20" t="s">
        <v>29</v>
      </c>
      <c r="D9" s="20" t="s">
        <v>29</v>
      </c>
      <c r="E9" s="20" t="s">
        <v>29</v>
      </c>
      <c r="F9" s="20" t="s">
        <v>29</v>
      </c>
      <c r="G9" s="60"/>
      <c r="H9" s="6" t="s">
        <v>53</v>
      </c>
      <c r="I9" s="17">
        <v>41856</v>
      </c>
      <c r="J9" s="289">
        <v>731</v>
      </c>
      <c r="K9" s="268"/>
      <c r="L9" s="290">
        <v>757</v>
      </c>
      <c r="M9" s="268"/>
      <c r="N9" s="430">
        <v>1</v>
      </c>
      <c r="O9" s="268"/>
      <c r="P9" s="429">
        <v>0</v>
      </c>
      <c r="Q9" s="268"/>
      <c r="R9" s="22" t="s">
        <v>54</v>
      </c>
      <c r="S9" s="11"/>
      <c r="T9" s="197" t="s">
        <v>408</v>
      </c>
      <c r="U9" s="310" t="s">
        <v>55</v>
      </c>
      <c r="V9" s="310"/>
      <c r="W9" s="310"/>
      <c r="X9" s="298" t="s">
        <v>29</v>
      </c>
      <c r="Y9" s="299"/>
      <c r="Z9" s="300"/>
    </row>
    <row r="10" spans="1:30" ht="15" customHeight="1" x14ac:dyDescent="0.2">
      <c r="A10" s="3" t="s">
        <v>49</v>
      </c>
      <c r="B10" s="20" t="s">
        <v>29</v>
      </c>
      <c r="C10" s="20" t="s">
        <v>29</v>
      </c>
      <c r="D10" s="20" t="s">
        <v>29</v>
      </c>
      <c r="E10" s="20" t="s">
        <v>29</v>
      </c>
      <c r="F10" s="20" t="s">
        <v>29</v>
      </c>
      <c r="G10" s="60"/>
      <c r="H10" s="6" t="s">
        <v>56</v>
      </c>
      <c r="I10" s="10"/>
      <c r="J10" s="284" t="s">
        <v>29</v>
      </c>
      <c r="K10" s="268"/>
      <c r="L10" s="285" t="s">
        <v>29</v>
      </c>
      <c r="M10" s="268"/>
      <c r="N10" s="285" t="s">
        <v>29</v>
      </c>
      <c r="O10" s="268"/>
      <c r="P10" s="286" t="s">
        <v>29</v>
      </c>
      <c r="Q10" s="268"/>
      <c r="R10" s="22" t="s">
        <v>57</v>
      </c>
      <c r="S10" s="11"/>
      <c r="T10" s="43">
        <v>2</v>
      </c>
      <c r="U10" s="310" t="s">
        <v>58</v>
      </c>
      <c r="V10" s="310"/>
      <c r="W10" s="310"/>
      <c r="X10" s="298" t="s">
        <v>29</v>
      </c>
      <c r="Y10" s="299"/>
      <c r="Z10" s="300"/>
    </row>
    <row r="11" spans="1:30" ht="15" customHeight="1" x14ac:dyDescent="0.2">
      <c r="A11" s="3" t="s">
        <v>49</v>
      </c>
      <c r="B11" s="20" t="s">
        <v>29</v>
      </c>
      <c r="C11" s="20" t="s">
        <v>29</v>
      </c>
      <c r="D11" s="20" t="s">
        <v>29</v>
      </c>
      <c r="E11" s="20" t="s">
        <v>29</v>
      </c>
      <c r="F11" s="20" t="s">
        <v>29</v>
      </c>
      <c r="G11" s="60"/>
      <c r="H11" s="6" t="s">
        <v>59</v>
      </c>
      <c r="I11" s="10"/>
      <c r="J11" s="286" t="s">
        <v>29</v>
      </c>
      <c r="K11" s="268"/>
      <c r="L11" s="321" t="s">
        <v>29</v>
      </c>
      <c r="M11" s="268"/>
      <c r="N11" s="322" t="s">
        <v>29</v>
      </c>
      <c r="O11" s="272"/>
      <c r="P11" s="297" t="s">
        <v>29</v>
      </c>
      <c r="Q11" s="261"/>
      <c r="R11" s="22" t="s">
        <v>60</v>
      </c>
      <c r="S11" s="11"/>
      <c r="T11" s="43">
        <v>2</v>
      </c>
      <c r="U11" s="310" t="s">
        <v>61</v>
      </c>
      <c r="V11" s="310"/>
      <c r="W11" s="310"/>
      <c r="X11" s="298" t="s">
        <v>29</v>
      </c>
      <c r="Y11" s="299"/>
      <c r="Z11" s="300"/>
    </row>
    <row r="12" spans="1:30" ht="15.75" customHeight="1" x14ac:dyDescent="0.2">
      <c r="A12" s="3" t="s">
        <v>49</v>
      </c>
      <c r="B12" s="20" t="s">
        <v>29</v>
      </c>
      <c r="C12" s="20" t="s">
        <v>29</v>
      </c>
      <c r="D12" s="20" t="s">
        <v>29</v>
      </c>
      <c r="E12" s="20" t="s">
        <v>29</v>
      </c>
      <c r="F12" s="20" t="s">
        <v>29</v>
      </c>
      <c r="G12" s="60"/>
      <c r="H12" s="6" t="s">
        <v>62</v>
      </c>
      <c r="I12" s="10"/>
      <c r="J12" s="286" t="s">
        <v>29</v>
      </c>
      <c r="K12" s="268"/>
      <c r="L12" s="321" t="s">
        <v>29</v>
      </c>
      <c r="M12" s="268"/>
      <c r="N12" s="322" t="s">
        <v>29</v>
      </c>
      <c r="O12" s="272"/>
      <c r="P12" s="297">
        <v>1</v>
      </c>
      <c r="Q12" s="261"/>
      <c r="R12" s="22" t="s">
        <v>63</v>
      </c>
      <c r="S12" s="11"/>
      <c r="T12" s="168" t="s">
        <v>408</v>
      </c>
      <c r="U12" s="311" t="s">
        <v>64</v>
      </c>
      <c r="V12" s="311"/>
      <c r="W12" s="311"/>
      <c r="X12" s="301" t="s">
        <v>29</v>
      </c>
      <c r="Y12" s="302"/>
      <c r="Z12" s="303"/>
    </row>
    <row r="13" spans="1:30" ht="15.75" customHeight="1" x14ac:dyDescent="0.2">
      <c r="A13" s="3" t="s">
        <v>49</v>
      </c>
      <c r="B13" s="20" t="s">
        <v>29</v>
      </c>
      <c r="C13" s="20" t="s">
        <v>29</v>
      </c>
      <c r="D13" s="20" t="s">
        <v>29</v>
      </c>
      <c r="E13" s="20" t="s">
        <v>29</v>
      </c>
      <c r="F13" s="20" t="s">
        <v>29</v>
      </c>
      <c r="G13" s="60"/>
      <c r="H13" s="6" t="s">
        <v>65</v>
      </c>
      <c r="I13" s="10"/>
      <c r="J13" s="286" t="s">
        <v>29</v>
      </c>
      <c r="K13" s="268"/>
      <c r="L13" s="321" t="s">
        <v>29</v>
      </c>
      <c r="M13" s="268"/>
      <c r="N13" s="322" t="s">
        <v>29</v>
      </c>
      <c r="O13" s="272"/>
      <c r="P13" s="297" t="s">
        <v>29</v>
      </c>
      <c r="Q13" s="261"/>
      <c r="R13" s="304" t="s">
        <v>66</v>
      </c>
      <c r="S13" s="304"/>
      <c r="T13" s="304"/>
      <c r="U13" s="304"/>
      <c r="V13" s="304"/>
      <c r="W13" s="304"/>
      <c r="X13" s="304"/>
      <c r="Y13" s="304"/>
      <c r="Z13" s="304"/>
    </row>
    <row r="14" spans="1:30" ht="15.75" customHeight="1" x14ac:dyDescent="0.2">
      <c r="A14" s="3" t="s">
        <v>49</v>
      </c>
      <c r="B14" s="20" t="s">
        <v>29</v>
      </c>
      <c r="C14" s="20" t="s">
        <v>29</v>
      </c>
      <c r="D14" s="20" t="s">
        <v>29</v>
      </c>
      <c r="E14" s="20" t="s">
        <v>29</v>
      </c>
      <c r="F14" s="20" t="s">
        <v>29</v>
      </c>
      <c r="G14" s="60"/>
      <c r="H14" s="6" t="s">
        <v>67</v>
      </c>
      <c r="I14" s="10"/>
      <c r="J14" s="286" t="s">
        <v>29</v>
      </c>
      <c r="K14" s="268"/>
      <c r="L14" s="321" t="s">
        <v>29</v>
      </c>
      <c r="M14" s="268"/>
      <c r="N14" s="322" t="s">
        <v>29</v>
      </c>
      <c r="O14" s="272"/>
      <c r="P14" s="297" t="s">
        <v>29</v>
      </c>
      <c r="Q14" s="261"/>
      <c r="R14" s="304"/>
      <c r="S14" s="304"/>
      <c r="T14" s="304"/>
      <c r="U14" s="304"/>
      <c r="V14" s="304"/>
      <c r="W14" s="304"/>
      <c r="X14" s="304"/>
      <c r="Y14" s="304"/>
      <c r="Z14" s="511"/>
    </row>
    <row r="15" spans="1:30" ht="15.75" customHeight="1" x14ac:dyDescent="0.2">
      <c r="A15" s="3" t="s">
        <v>49</v>
      </c>
      <c r="B15" s="20" t="s">
        <v>29</v>
      </c>
      <c r="C15" s="20" t="s">
        <v>29</v>
      </c>
      <c r="D15" s="20" t="s">
        <v>29</v>
      </c>
      <c r="E15" s="20" t="s">
        <v>29</v>
      </c>
      <c r="F15" s="20" t="s">
        <v>29</v>
      </c>
      <c r="G15" s="60"/>
      <c r="H15" s="6" t="s">
        <v>68</v>
      </c>
      <c r="I15" s="10"/>
      <c r="J15" s="286" t="s">
        <v>29</v>
      </c>
      <c r="K15" s="268"/>
      <c r="L15" s="321" t="s">
        <v>29</v>
      </c>
      <c r="M15" s="268"/>
      <c r="N15" s="322" t="s">
        <v>29</v>
      </c>
      <c r="O15" s="272"/>
      <c r="P15" s="297" t="s">
        <v>29</v>
      </c>
      <c r="Q15" s="261"/>
      <c r="R15" s="528" t="s">
        <v>427</v>
      </c>
      <c r="S15" s="305"/>
      <c r="T15" s="305"/>
      <c r="U15" s="305"/>
      <c r="V15" s="305"/>
      <c r="W15" s="305"/>
      <c r="X15" s="305"/>
      <c r="Y15" s="305"/>
      <c r="Z15" s="305"/>
    </row>
    <row r="16" spans="1:30" ht="15.75" customHeight="1" x14ac:dyDescent="0.2">
      <c r="A16" s="14" t="s">
        <v>69</v>
      </c>
      <c r="B16" s="20"/>
      <c r="C16" s="93" t="s">
        <v>408</v>
      </c>
      <c r="D16" s="93" t="s">
        <v>408</v>
      </c>
      <c r="E16" s="19"/>
      <c r="F16" s="19"/>
      <c r="G16" s="15" t="e">
        <f>AVERAGE(C16:F16)</f>
        <v>#DIV/0!</v>
      </c>
      <c r="H16" s="6" t="s">
        <v>70</v>
      </c>
      <c r="I16" s="10"/>
      <c r="J16" s="286" t="s">
        <v>29</v>
      </c>
      <c r="K16" s="268"/>
      <c r="L16" s="321" t="s">
        <v>29</v>
      </c>
      <c r="M16" s="268"/>
      <c r="N16" s="322" t="s">
        <v>29</v>
      </c>
      <c r="O16" s="272"/>
      <c r="P16" s="297" t="s">
        <v>29</v>
      </c>
      <c r="Q16" s="261"/>
      <c r="R16" s="307"/>
      <c r="S16" s="307"/>
      <c r="T16" s="307"/>
      <c r="U16" s="307"/>
      <c r="V16" s="307"/>
      <c r="W16" s="307"/>
      <c r="X16" s="307"/>
      <c r="Y16" s="307"/>
      <c r="Z16" s="308"/>
    </row>
    <row r="17" spans="1:26" ht="15.75" customHeight="1" x14ac:dyDescent="0.2">
      <c r="A17" s="323" t="s">
        <v>71</v>
      </c>
      <c r="B17" s="324"/>
      <c r="C17" s="50">
        <v>41836</v>
      </c>
      <c r="D17" s="50">
        <v>41836</v>
      </c>
      <c r="E17" s="50">
        <v>41837</v>
      </c>
      <c r="F17" s="50">
        <v>41838</v>
      </c>
      <c r="G17" s="51">
        <f>AVERAGE(C17:E17)</f>
        <v>41836.333333333336</v>
      </c>
      <c r="H17" s="6" t="s">
        <v>72</v>
      </c>
      <c r="I17" s="10"/>
      <c r="J17" s="286" t="s">
        <v>29</v>
      </c>
      <c r="K17" s="268"/>
      <c r="L17" s="321" t="s">
        <v>29</v>
      </c>
      <c r="M17" s="268"/>
      <c r="N17" s="322" t="s">
        <v>29</v>
      </c>
      <c r="O17" s="272"/>
      <c r="P17" s="297" t="s">
        <v>29</v>
      </c>
      <c r="Q17" s="261"/>
      <c r="R17" s="307"/>
      <c r="S17" s="307"/>
      <c r="T17" s="307"/>
      <c r="U17" s="307"/>
      <c r="V17" s="307"/>
      <c r="W17" s="307"/>
      <c r="X17" s="307"/>
      <c r="Y17" s="307"/>
      <c r="Z17" s="308"/>
    </row>
    <row r="18" spans="1:26" ht="15.75" customHeight="1" x14ac:dyDescent="0.2">
      <c r="A18" s="327" t="s">
        <v>73</v>
      </c>
      <c r="B18" s="327"/>
      <c r="C18" s="325" t="s">
        <v>40</v>
      </c>
      <c r="D18" s="325" t="s">
        <v>41</v>
      </c>
      <c r="E18" s="325" t="s">
        <v>42</v>
      </c>
      <c r="F18" s="325" t="s">
        <v>43</v>
      </c>
      <c r="G18" s="326" t="s">
        <v>38</v>
      </c>
      <c r="H18" s="49" t="s">
        <v>78</v>
      </c>
      <c r="I18" s="10"/>
      <c r="J18" s="286" t="s">
        <v>29</v>
      </c>
      <c r="K18" s="268"/>
      <c r="L18" s="321" t="s">
        <v>29</v>
      </c>
      <c r="M18" s="268"/>
      <c r="N18" s="322" t="s">
        <v>29</v>
      </c>
      <c r="O18" s="272"/>
      <c r="P18" s="297" t="s">
        <v>29</v>
      </c>
      <c r="Q18" s="261"/>
      <c r="R18" s="307"/>
      <c r="S18" s="307"/>
      <c r="T18" s="307"/>
      <c r="U18" s="307"/>
      <c r="V18" s="307"/>
      <c r="W18" s="307"/>
      <c r="X18" s="307"/>
      <c r="Y18" s="307"/>
      <c r="Z18" s="308"/>
    </row>
    <row r="19" spans="1:26" ht="15" customHeight="1" x14ac:dyDescent="0.2">
      <c r="A19" s="328"/>
      <c r="B19" s="328"/>
      <c r="C19" s="261"/>
      <c r="D19" s="261"/>
      <c r="E19" s="261"/>
      <c r="F19" s="261"/>
      <c r="G19" s="261"/>
      <c r="H19" s="49" t="s">
        <v>67</v>
      </c>
      <c r="I19" s="10"/>
      <c r="J19" s="286" t="s">
        <v>29</v>
      </c>
      <c r="K19" s="268"/>
      <c r="L19" s="321" t="s">
        <v>29</v>
      </c>
      <c r="M19" s="268"/>
      <c r="N19" s="322" t="s">
        <v>29</v>
      </c>
      <c r="O19" s="272"/>
      <c r="P19" s="297" t="s">
        <v>29</v>
      </c>
      <c r="Q19" s="261"/>
      <c r="R19" s="307"/>
      <c r="S19" s="307"/>
      <c r="T19" s="307"/>
      <c r="U19" s="307"/>
      <c r="V19" s="307"/>
      <c r="W19" s="307"/>
      <c r="X19" s="307"/>
      <c r="Y19" s="307"/>
      <c r="Z19" s="308"/>
    </row>
    <row r="20" spans="1:26" ht="15.75" customHeight="1" x14ac:dyDescent="0.2">
      <c r="A20" s="312" t="s">
        <v>79</v>
      </c>
      <c r="B20" s="313"/>
      <c r="C20" s="122" t="s">
        <v>431</v>
      </c>
      <c r="D20" s="122" t="s">
        <v>426</v>
      </c>
      <c r="E20" s="52" t="s">
        <v>29</v>
      </c>
      <c r="F20" s="52" t="s">
        <v>29</v>
      </c>
      <c r="G20" s="52" t="s">
        <v>29</v>
      </c>
      <c r="H20" s="6" t="s">
        <v>68</v>
      </c>
      <c r="I20" s="10"/>
      <c r="J20" s="286" t="s">
        <v>29</v>
      </c>
      <c r="K20" s="268"/>
      <c r="L20" s="321" t="s">
        <v>29</v>
      </c>
      <c r="M20" s="268"/>
      <c r="N20" s="322" t="s">
        <v>29</v>
      </c>
      <c r="O20" s="272"/>
      <c r="P20" s="297" t="s">
        <v>29</v>
      </c>
      <c r="Q20" s="261"/>
      <c r="R20" s="307"/>
      <c r="S20" s="307"/>
      <c r="T20" s="307"/>
      <c r="U20" s="307"/>
      <c r="V20" s="307"/>
      <c r="W20" s="307"/>
      <c r="X20" s="307"/>
      <c r="Y20" s="307"/>
      <c r="Z20" s="308"/>
    </row>
    <row r="21" spans="1:26" ht="15.75" customHeight="1" x14ac:dyDescent="0.2">
      <c r="A21" s="312" t="s">
        <v>46</v>
      </c>
      <c r="B21" s="313"/>
      <c r="C21" s="28" t="s">
        <v>354</v>
      </c>
      <c r="D21" s="28" t="s">
        <v>355</v>
      </c>
      <c r="E21" s="18" t="s">
        <v>29</v>
      </c>
      <c r="F21" s="18" t="s">
        <v>29</v>
      </c>
      <c r="G21" s="18" t="s">
        <v>29</v>
      </c>
      <c r="H21" s="47" t="s">
        <v>80</v>
      </c>
      <c r="I21" s="10"/>
      <c r="J21" s="286" t="s">
        <v>29</v>
      </c>
      <c r="K21" s="268"/>
      <c r="L21" s="321" t="s">
        <v>29</v>
      </c>
      <c r="M21" s="268"/>
      <c r="N21" s="322" t="s">
        <v>29</v>
      </c>
      <c r="O21" s="272"/>
      <c r="P21" s="297" t="s">
        <v>29</v>
      </c>
      <c r="Q21" s="261"/>
      <c r="R21" s="307"/>
      <c r="S21" s="307"/>
      <c r="T21" s="307"/>
      <c r="U21" s="307"/>
      <c r="V21" s="307"/>
      <c r="W21" s="307"/>
      <c r="X21" s="307"/>
      <c r="Y21" s="307"/>
      <c r="Z21" s="308"/>
    </row>
    <row r="22" spans="1:26" ht="15.75" customHeight="1" x14ac:dyDescent="0.2">
      <c r="A22" s="312" t="s">
        <v>81</v>
      </c>
      <c r="B22" s="313"/>
      <c r="C22" s="121">
        <v>41859</v>
      </c>
      <c r="D22" s="121">
        <v>41859</v>
      </c>
      <c r="E22" s="43" t="s">
        <v>29</v>
      </c>
      <c r="F22" s="43" t="s">
        <v>29</v>
      </c>
      <c r="G22" s="43" t="s">
        <v>29</v>
      </c>
      <c r="H22" s="48" t="s">
        <v>82</v>
      </c>
      <c r="I22" s="10"/>
      <c r="J22" s="286" t="s">
        <v>29</v>
      </c>
      <c r="K22" s="268"/>
      <c r="L22" s="321" t="s">
        <v>29</v>
      </c>
      <c r="M22" s="268"/>
      <c r="N22" s="322" t="s">
        <v>29</v>
      </c>
      <c r="O22" s="272"/>
      <c r="P22" s="297" t="s">
        <v>29</v>
      </c>
      <c r="Q22" s="261"/>
      <c r="R22" s="307"/>
      <c r="S22" s="307"/>
      <c r="T22" s="307"/>
      <c r="U22" s="307"/>
      <c r="V22" s="307"/>
      <c r="W22" s="307"/>
      <c r="X22" s="307"/>
      <c r="Y22" s="307"/>
      <c r="Z22" s="308"/>
    </row>
    <row r="23" spans="1:26" ht="15.75" customHeight="1" x14ac:dyDescent="0.2">
      <c r="A23" s="312" t="s">
        <v>12</v>
      </c>
      <c r="B23" s="313"/>
      <c r="C23" s="28">
        <v>194719213</v>
      </c>
      <c r="D23" s="18">
        <v>194719212</v>
      </c>
      <c r="E23" s="43" t="s">
        <v>29</v>
      </c>
      <c r="F23" s="43" t="s">
        <v>29</v>
      </c>
      <c r="G23" s="43" t="s">
        <v>29</v>
      </c>
      <c r="H23" s="48" t="s">
        <v>83</v>
      </c>
      <c r="I23" s="10"/>
      <c r="J23" s="286" t="s">
        <v>29</v>
      </c>
      <c r="K23" s="268"/>
      <c r="L23" s="321" t="s">
        <v>29</v>
      </c>
      <c r="M23" s="268"/>
      <c r="N23" s="322" t="s">
        <v>29</v>
      </c>
      <c r="O23" s="272"/>
      <c r="P23" s="297" t="s">
        <v>29</v>
      </c>
      <c r="Q23" s="261"/>
      <c r="R23" s="307"/>
      <c r="S23" s="307"/>
      <c r="T23" s="307"/>
      <c r="U23" s="307"/>
      <c r="V23" s="307"/>
      <c r="W23" s="307"/>
      <c r="X23" s="307"/>
      <c r="Y23" s="307"/>
      <c r="Z23" s="308"/>
    </row>
    <row r="24" spans="1:26" ht="15.75" customHeight="1" x14ac:dyDescent="0.2">
      <c r="A24" s="312" t="s">
        <v>84</v>
      </c>
      <c r="B24" s="313"/>
      <c r="C24" s="28" t="s">
        <v>410</v>
      </c>
      <c r="D24" s="28" t="s">
        <v>410</v>
      </c>
      <c r="E24" s="43" t="s">
        <v>29</v>
      </c>
      <c r="F24" s="43" t="s">
        <v>29</v>
      </c>
      <c r="G24" s="43" t="s">
        <v>29</v>
      </c>
      <c r="H24" s="48" t="s">
        <v>67</v>
      </c>
      <c r="I24" s="10"/>
      <c r="J24" s="286" t="s">
        <v>29</v>
      </c>
      <c r="K24" s="268"/>
      <c r="L24" s="321" t="s">
        <v>29</v>
      </c>
      <c r="M24" s="268"/>
      <c r="N24" s="322" t="s">
        <v>29</v>
      </c>
      <c r="O24" s="272"/>
      <c r="P24" s="297" t="s">
        <v>29</v>
      </c>
      <c r="Q24" s="261"/>
      <c r="R24" s="307"/>
      <c r="S24" s="307"/>
      <c r="T24" s="307"/>
      <c r="U24" s="307"/>
      <c r="V24" s="307"/>
      <c r="W24" s="307"/>
      <c r="X24" s="307"/>
      <c r="Y24" s="307"/>
      <c r="Z24" s="308"/>
    </row>
    <row r="25" spans="1:26" ht="15.75" customHeight="1" x14ac:dyDescent="0.2">
      <c r="A25" s="312" t="s">
        <v>11</v>
      </c>
      <c r="B25" s="313"/>
      <c r="C25" s="28" t="s">
        <v>447</v>
      </c>
      <c r="D25" s="28" t="s">
        <v>447</v>
      </c>
      <c r="E25" s="43" t="s">
        <v>29</v>
      </c>
      <c r="F25" s="43" t="s">
        <v>29</v>
      </c>
      <c r="G25" s="43" t="s">
        <v>29</v>
      </c>
      <c r="H25" s="48" t="s">
        <v>68</v>
      </c>
      <c r="I25" s="10"/>
      <c r="J25" s="286" t="s">
        <v>29</v>
      </c>
      <c r="K25" s="268"/>
      <c r="L25" s="321" t="s">
        <v>29</v>
      </c>
      <c r="M25" s="268"/>
      <c r="N25" s="322" t="s">
        <v>29</v>
      </c>
      <c r="O25" s="272"/>
      <c r="P25" s="297" t="s">
        <v>29</v>
      </c>
      <c r="Q25" s="261"/>
      <c r="R25" s="307"/>
      <c r="S25" s="307"/>
      <c r="T25" s="307"/>
      <c r="U25" s="307"/>
      <c r="V25" s="307"/>
      <c r="W25" s="307"/>
      <c r="X25" s="307"/>
      <c r="Y25" s="307"/>
      <c r="Z25" s="308"/>
    </row>
    <row r="26" spans="1:26" ht="15.75" customHeight="1" x14ac:dyDescent="0.2">
      <c r="A26" s="314" t="s">
        <v>85</v>
      </c>
      <c r="B26" s="315"/>
      <c r="C26" s="28" t="s">
        <v>410</v>
      </c>
      <c r="D26" s="28" t="s">
        <v>410</v>
      </c>
      <c r="E26" s="43" t="s">
        <v>29</v>
      </c>
      <c r="F26" s="43" t="s">
        <v>29</v>
      </c>
      <c r="G26" s="43" t="s">
        <v>29</v>
      </c>
      <c r="H26" s="48" t="s">
        <v>86</v>
      </c>
      <c r="I26" s="10"/>
      <c r="J26" s="286" t="s">
        <v>29</v>
      </c>
      <c r="K26" s="268"/>
      <c r="L26" s="321" t="s">
        <v>29</v>
      </c>
      <c r="M26" s="268"/>
      <c r="N26" s="322" t="s">
        <v>29</v>
      </c>
      <c r="O26" s="272"/>
      <c r="P26" s="297" t="s">
        <v>29</v>
      </c>
      <c r="Q26" s="261"/>
      <c r="R26" s="307"/>
      <c r="S26" s="307"/>
      <c r="T26" s="307"/>
      <c r="U26" s="307"/>
      <c r="V26" s="307"/>
      <c r="W26" s="307"/>
      <c r="X26" s="307"/>
      <c r="Y26" s="307"/>
      <c r="Z26" s="308"/>
    </row>
    <row r="27" spans="1:26" ht="15.75" customHeight="1" x14ac:dyDescent="0.2">
      <c r="A27" s="316" t="s">
        <v>87</v>
      </c>
      <c r="B27" s="317"/>
      <c r="C27" s="28" t="s">
        <v>410</v>
      </c>
      <c r="D27" s="28" t="s">
        <v>410</v>
      </c>
      <c r="E27" s="43" t="s">
        <v>29</v>
      </c>
      <c r="F27" s="43" t="s">
        <v>29</v>
      </c>
      <c r="G27" s="43" t="s">
        <v>29</v>
      </c>
      <c r="H27" s="48" t="s">
        <v>88</v>
      </c>
      <c r="I27" s="10"/>
      <c r="J27" s="286" t="s">
        <v>29</v>
      </c>
      <c r="K27" s="268"/>
      <c r="L27" s="321" t="s">
        <v>29</v>
      </c>
      <c r="M27" s="268"/>
      <c r="N27" s="322" t="s">
        <v>29</v>
      </c>
      <c r="O27" s="272"/>
      <c r="P27" s="297" t="s">
        <v>29</v>
      </c>
      <c r="Q27" s="261"/>
      <c r="R27" s="307"/>
      <c r="S27" s="307"/>
      <c r="T27" s="307"/>
      <c r="U27" s="307"/>
      <c r="V27" s="307"/>
      <c r="W27" s="307"/>
      <c r="X27" s="307"/>
      <c r="Y27" s="307"/>
      <c r="Z27" s="308"/>
    </row>
    <row r="28" spans="1:26" ht="15.75" customHeight="1" x14ac:dyDescent="0.2">
      <c r="A28" s="61"/>
      <c r="B28" s="7"/>
      <c r="C28" s="4"/>
      <c r="D28" s="4"/>
      <c r="E28" s="4"/>
      <c r="F28" s="4"/>
      <c r="G28" s="4"/>
      <c r="H28" s="46"/>
      <c r="I28" s="4"/>
      <c r="J28" s="4"/>
      <c r="K28" s="4"/>
      <c r="L28" s="4"/>
      <c r="M28" s="4"/>
      <c r="N28" s="4"/>
      <c r="O28" s="4"/>
      <c r="P28" s="46"/>
      <c r="Q28" s="46"/>
      <c r="R28" s="53"/>
      <c r="S28" s="30"/>
      <c r="T28" s="4"/>
      <c r="U28" s="4"/>
      <c r="V28" s="4"/>
      <c r="W28" s="26"/>
      <c r="X28" s="4"/>
      <c r="Y28" s="4"/>
      <c r="Z28" s="4"/>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109</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167</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110</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399</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394</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v>185702469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398</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111</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206</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8.85546875" style="25" customWidth="1"/>
    <col min="5" max="5" width="10.28515625" style="25" customWidth="1"/>
    <col min="6" max="6" width="8.7109375" style="25" customWidth="1"/>
    <col min="7" max="7" width="10.5703125" style="25" customWidth="1"/>
    <col min="8" max="8" width="13.42578125" style="25" customWidth="1"/>
    <col min="9" max="9" width="6.5703125" style="25" customWidth="1"/>
    <col min="10" max="10" width="6.42578125" style="25" customWidth="1"/>
    <col min="11" max="11" width="10.5703125" style="25" customWidth="1"/>
    <col min="12"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112</v>
      </c>
      <c r="G1" s="241" t="s">
        <v>3</v>
      </c>
      <c r="H1" s="235" t="s">
        <v>4</v>
      </c>
      <c r="I1" s="329" t="s">
        <v>5</v>
      </c>
      <c r="J1" s="261"/>
      <c r="K1" s="262" t="s">
        <v>191</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v>5</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42226</v>
      </c>
      <c r="J8" s="341">
        <f>IF(((I8-C16)&gt;0),(I8-C16),"/")</f>
        <v>42226</v>
      </c>
      <c r="K8" s="336"/>
      <c r="L8" s="341">
        <f>IF(((I8-D16)&gt;0),(I8-D16),"/")</f>
        <v>42226</v>
      </c>
      <c r="M8" s="336"/>
      <c r="N8" s="341">
        <f>IF(((I8-E16)&gt;0),(I8-E16),"/")</f>
        <v>42226</v>
      </c>
      <c r="O8" s="336"/>
      <c r="P8" s="341">
        <f>IF(((I8-F16)&gt;0),(I8-F16),"/")</f>
        <v>42226</v>
      </c>
      <c r="Q8" s="336"/>
      <c r="R8" s="164" t="s">
        <v>51</v>
      </c>
      <c r="S8" s="165"/>
      <c r="T8" s="237">
        <v>0</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478</v>
      </c>
      <c r="K9" s="336"/>
      <c r="L9" s="356" t="s">
        <v>29</v>
      </c>
      <c r="M9" s="336"/>
      <c r="N9" s="356" t="s">
        <v>29</v>
      </c>
      <c r="O9" s="336"/>
      <c r="P9" s="357" t="s">
        <v>29</v>
      </c>
      <c r="Q9" s="336"/>
      <c r="R9" s="164" t="s">
        <v>54</v>
      </c>
      <c r="S9" s="165"/>
      <c r="T9" s="237">
        <v>5</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v>5</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v>5</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v>0</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477</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394</v>
      </c>
      <c r="D20" s="122" t="s">
        <v>395</v>
      </c>
      <c r="E20" s="122" t="s">
        <v>394</v>
      </c>
      <c r="F20" s="122" t="s">
        <v>395</v>
      </c>
      <c r="G20" s="122" t="s">
        <v>395</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396</v>
      </c>
      <c r="D22" s="71" t="s">
        <v>396</v>
      </c>
      <c r="E22" s="71" t="s">
        <v>396</v>
      </c>
      <c r="F22" s="71" t="s">
        <v>396</v>
      </c>
      <c r="G22" s="71" t="s">
        <v>396</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v>185714515</v>
      </c>
      <c r="D23" s="71">
        <v>194719223</v>
      </c>
      <c r="E23" s="71">
        <v>185714514</v>
      </c>
      <c r="F23" s="71">
        <v>194719224</v>
      </c>
      <c r="G23" s="237">
        <v>194719225</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397</v>
      </c>
      <c r="D25" s="71" t="s">
        <v>463</v>
      </c>
      <c r="E25" s="71" t="s">
        <v>397</v>
      </c>
      <c r="F25" s="71" t="s">
        <v>463</v>
      </c>
      <c r="G25" s="71" t="s">
        <v>397</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113</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286</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114</v>
      </c>
      <c r="G1" s="241" t="s">
        <v>3</v>
      </c>
      <c r="H1" s="235" t="s">
        <v>4</v>
      </c>
      <c r="I1" s="329" t="s">
        <v>5</v>
      </c>
      <c r="J1" s="261"/>
      <c r="K1" s="330" t="s">
        <v>345</v>
      </c>
      <c r="L1" s="382"/>
      <c r="M1" s="382"/>
      <c r="N1" s="382"/>
      <c r="O1" s="383"/>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393</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115</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165</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116</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409" t="s">
        <v>202</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sqref="A1:AD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117</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392</v>
      </c>
      <c r="S15" s="305"/>
      <c r="T15" s="305"/>
      <c r="U15" s="305"/>
      <c r="V15" s="305"/>
      <c r="W15" s="305"/>
      <c r="X15" s="305"/>
      <c r="Y15" s="305"/>
      <c r="Z15" s="306"/>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307"/>
      <c r="S16" s="307"/>
      <c r="T16" s="307"/>
      <c r="U16" s="307"/>
      <c r="V16" s="307"/>
      <c r="W16" s="307"/>
      <c r="X16" s="307"/>
      <c r="Y16" s="307"/>
      <c r="Z16" s="308"/>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307"/>
      <c r="S17" s="307"/>
      <c r="T17" s="307"/>
      <c r="U17" s="307"/>
      <c r="V17" s="307"/>
      <c r="W17" s="307"/>
      <c r="X17" s="307"/>
      <c r="Y17" s="307"/>
      <c r="Z17" s="308"/>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307"/>
      <c r="S18" s="307"/>
      <c r="T18" s="307"/>
      <c r="U18" s="307"/>
      <c r="V18" s="307"/>
      <c r="W18" s="307"/>
      <c r="X18" s="307"/>
      <c r="Y18" s="307"/>
      <c r="Z18" s="308"/>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307"/>
      <c r="S19" s="307"/>
      <c r="T19" s="307"/>
      <c r="U19" s="307"/>
      <c r="V19" s="307"/>
      <c r="W19" s="307"/>
      <c r="X19" s="307"/>
      <c r="Y19" s="307"/>
      <c r="Z19" s="308"/>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307"/>
      <c r="S20" s="307"/>
      <c r="T20" s="307"/>
      <c r="U20" s="307"/>
      <c r="V20" s="307"/>
      <c r="W20" s="307"/>
      <c r="X20" s="307"/>
      <c r="Y20" s="307"/>
      <c r="Z20" s="308"/>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307"/>
      <c r="S21" s="307"/>
      <c r="T21" s="307"/>
      <c r="U21" s="307"/>
      <c r="V21" s="307"/>
      <c r="W21" s="307"/>
      <c r="X21" s="307"/>
      <c r="Y21" s="307"/>
      <c r="Z21" s="308"/>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307"/>
      <c r="S22" s="307"/>
      <c r="T22" s="307"/>
      <c r="U22" s="307"/>
      <c r="V22" s="307"/>
      <c r="W22" s="307"/>
      <c r="X22" s="307"/>
      <c r="Y22" s="307"/>
      <c r="Z22" s="308"/>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307"/>
      <c r="S23" s="307"/>
      <c r="T23" s="307"/>
      <c r="U23" s="307"/>
      <c r="V23" s="307"/>
      <c r="W23" s="307"/>
      <c r="X23" s="307"/>
      <c r="Y23" s="307"/>
      <c r="Z23" s="308"/>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307"/>
      <c r="S24" s="307"/>
      <c r="T24" s="307"/>
      <c r="U24" s="307"/>
      <c r="V24" s="307"/>
      <c r="W24" s="307"/>
      <c r="X24" s="307"/>
      <c r="Y24" s="307"/>
      <c r="Z24" s="308"/>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307"/>
      <c r="S25" s="307"/>
      <c r="T25" s="307"/>
      <c r="U25" s="307"/>
      <c r="V25" s="307"/>
      <c r="W25" s="307"/>
      <c r="X25" s="307"/>
      <c r="Y25" s="307"/>
      <c r="Z25" s="308"/>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307"/>
      <c r="S26" s="307"/>
      <c r="T26" s="307"/>
      <c r="U26" s="307"/>
      <c r="V26" s="307"/>
      <c r="W26" s="307"/>
      <c r="X26" s="307"/>
      <c r="Y26" s="307"/>
      <c r="Z26" s="308"/>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307"/>
      <c r="S27" s="307"/>
      <c r="T27" s="307"/>
      <c r="U27" s="307"/>
      <c r="V27" s="307"/>
      <c r="W27" s="307"/>
      <c r="X27" s="307"/>
      <c r="Y27" s="307"/>
      <c r="Z27" s="308"/>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U29" sqref="U29"/>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118</v>
      </c>
      <c r="G1" s="241" t="s">
        <v>3</v>
      </c>
      <c r="H1" s="235" t="s">
        <v>4</v>
      </c>
      <c r="I1" s="329" t="s">
        <v>5</v>
      </c>
      <c r="J1" s="261"/>
      <c r="K1" s="262" t="s">
        <v>250</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249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v>0</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409" t="s">
        <v>248</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1"/>
  <sheetViews>
    <sheetView topLeftCell="A8"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58" t="s">
        <v>0</v>
      </c>
      <c r="B1" s="59">
        <v>2014</v>
      </c>
      <c r="C1" s="58" t="s">
        <v>1</v>
      </c>
      <c r="D1" s="59"/>
      <c r="E1" s="58" t="s">
        <v>2</v>
      </c>
      <c r="F1" s="55">
        <v>119</v>
      </c>
      <c r="G1" s="56" t="s">
        <v>3</v>
      </c>
      <c r="H1" s="55" t="s">
        <v>4</v>
      </c>
      <c r="I1" s="260" t="s">
        <v>5</v>
      </c>
      <c r="J1" s="261"/>
      <c r="K1" s="262" t="s">
        <v>251</v>
      </c>
      <c r="L1" s="261"/>
      <c r="M1" s="261"/>
      <c r="N1" s="261"/>
      <c r="O1" s="261"/>
      <c r="P1" s="263" t="s">
        <v>6</v>
      </c>
      <c r="Q1" s="261"/>
      <c r="R1" s="264"/>
      <c r="S1" s="265"/>
      <c r="T1" s="16"/>
      <c r="U1" s="16"/>
      <c r="V1" s="16"/>
      <c r="W1" s="16"/>
      <c r="X1" s="16"/>
      <c r="Y1" s="16"/>
      <c r="Z1" s="34"/>
    </row>
    <row r="2" spans="1:30" ht="27.75" customHeight="1" x14ac:dyDescent="0.2">
      <c r="A2" s="57" t="s">
        <v>8</v>
      </c>
      <c r="B2" s="54" t="s">
        <v>9</v>
      </c>
      <c r="C2" s="54" t="s">
        <v>10</v>
      </c>
      <c r="D2" s="54" t="s">
        <v>11</v>
      </c>
      <c r="E2" s="54" t="s">
        <v>12</v>
      </c>
      <c r="F2" s="54" t="s">
        <v>13</v>
      </c>
      <c r="G2" s="54" t="s">
        <v>14</v>
      </c>
      <c r="H2" s="54" t="s">
        <v>15</v>
      </c>
      <c r="I2" s="13" t="s">
        <v>16</v>
      </c>
      <c r="J2" s="54" t="s">
        <v>17</v>
      </c>
      <c r="K2" s="54" t="s">
        <v>18</v>
      </c>
      <c r="L2" s="266" t="s">
        <v>19</v>
      </c>
      <c r="M2" s="267"/>
      <c r="N2" s="54" t="s">
        <v>20</v>
      </c>
      <c r="O2" s="54" t="s">
        <v>21</v>
      </c>
      <c r="P2" s="54" t="s">
        <v>22</v>
      </c>
      <c r="Q2" s="266" t="s">
        <v>23</v>
      </c>
      <c r="R2" s="268"/>
      <c r="S2" s="5" t="s">
        <v>24</v>
      </c>
      <c r="T2" s="5" t="s">
        <v>25</v>
      </c>
      <c r="U2" s="44" t="s">
        <v>99</v>
      </c>
      <c r="V2" s="27" t="s">
        <v>92</v>
      </c>
      <c r="W2" s="27" t="s">
        <v>93</v>
      </c>
      <c r="X2" s="5" t="s">
        <v>27</v>
      </c>
      <c r="Y2" s="269" t="s">
        <v>28</v>
      </c>
      <c r="Z2" s="270"/>
      <c r="AA2" s="31" t="s">
        <v>89</v>
      </c>
      <c r="AB2" s="31" t="s">
        <v>91</v>
      </c>
      <c r="AC2" s="32" t="s">
        <v>90</v>
      </c>
      <c r="AD2" s="31" t="s">
        <v>95</v>
      </c>
    </row>
    <row r="3" spans="1:30" ht="15.75" customHeight="1" x14ac:dyDescent="0.2">
      <c r="A3" s="18" t="s">
        <v>29</v>
      </c>
      <c r="B3" s="18" t="s">
        <v>29</v>
      </c>
      <c r="C3" s="28" t="s">
        <v>29</v>
      </c>
      <c r="D3" s="18" t="s">
        <v>29</v>
      </c>
      <c r="E3" s="28" t="s">
        <v>235</v>
      </c>
      <c r="F3" s="28" t="s">
        <v>235</v>
      </c>
      <c r="G3" s="28" t="s">
        <v>225</v>
      </c>
      <c r="H3" s="18" t="s">
        <v>29</v>
      </c>
      <c r="I3" s="18" t="s">
        <v>29</v>
      </c>
      <c r="J3" s="18" t="s">
        <v>29</v>
      </c>
      <c r="K3" s="18" t="s">
        <v>29</v>
      </c>
      <c r="L3" s="41" t="s">
        <v>29</v>
      </c>
      <c r="M3" s="41" t="s">
        <v>29</v>
      </c>
      <c r="N3" s="18" t="s">
        <v>29</v>
      </c>
      <c r="O3" s="18" t="s">
        <v>29</v>
      </c>
      <c r="P3" s="20" t="s">
        <v>29</v>
      </c>
      <c r="Q3" s="20" t="s">
        <v>29</v>
      </c>
      <c r="R3" s="20" t="s">
        <v>29</v>
      </c>
      <c r="S3" s="20" t="s">
        <v>29</v>
      </c>
      <c r="T3" s="20" t="s">
        <v>29</v>
      </c>
      <c r="U3" s="18" t="s">
        <v>29</v>
      </c>
      <c r="V3" s="18" t="s">
        <v>29</v>
      </c>
      <c r="W3" s="18" t="s">
        <v>29</v>
      </c>
      <c r="X3" s="20" t="s">
        <v>29</v>
      </c>
      <c r="Y3" s="33" t="s">
        <v>29</v>
      </c>
      <c r="Z3" s="33" t="s">
        <v>29</v>
      </c>
    </row>
    <row r="4" spans="1:30" ht="27.75" customHeight="1" x14ac:dyDescent="0.2">
      <c r="A4" s="21" t="s">
        <v>30</v>
      </c>
      <c r="B4" s="5" t="s">
        <v>9</v>
      </c>
      <c r="C4" s="5" t="s">
        <v>10</v>
      </c>
      <c r="D4" s="5" t="s">
        <v>11</v>
      </c>
      <c r="E4" s="5" t="s">
        <v>12</v>
      </c>
      <c r="F4" s="5" t="s">
        <v>13</v>
      </c>
      <c r="G4" s="5" t="s">
        <v>14</v>
      </c>
      <c r="H4" s="5" t="s">
        <v>15</v>
      </c>
      <c r="I4" s="5" t="s">
        <v>16</v>
      </c>
      <c r="J4" s="5" t="s">
        <v>31</v>
      </c>
      <c r="K4" s="5" t="s">
        <v>32</v>
      </c>
      <c r="L4" s="271" t="s">
        <v>19</v>
      </c>
      <c r="M4" s="268"/>
      <c r="N4" s="5" t="s">
        <v>20</v>
      </c>
      <c r="O4" s="5" t="s">
        <v>21</v>
      </c>
      <c r="P4" s="5" t="s">
        <v>22</v>
      </c>
      <c r="Q4" s="271" t="s">
        <v>23</v>
      </c>
      <c r="R4" s="268"/>
      <c r="S4" s="5" t="s">
        <v>24</v>
      </c>
      <c r="T4" s="5" t="s">
        <v>25</v>
      </c>
      <c r="U4" s="27" t="s">
        <v>26</v>
      </c>
      <c r="V4" s="27" t="s">
        <v>92</v>
      </c>
      <c r="W4" s="27" t="s">
        <v>93</v>
      </c>
      <c r="X4" s="5" t="s">
        <v>27</v>
      </c>
      <c r="Y4" s="271" t="s">
        <v>28</v>
      </c>
      <c r="Z4" s="272"/>
      <c r="AA4" s="31" t="s">
        <v>89</v>
      </c>
      <c r="AB4" s="31" t="s">
        <v>91</v>
      </c>
      <c r="AC4" s="32" t="s">
        <v>90</v>
      </c>
      <c r="AD4" s="31" t="s">
        <v>95</v>
      </c>
    </row>
    <row r="5" spans="1:30" ht="15.75" customHeight="1" x14ac:dyDescent="0.2">
      <c r="A5" s="18" t="s">
        <v>29</v>
      </c>
      <c r="B5" s="18" t="s">
        <v>29</v>
      </c>
      <c r="C5" s="18" t="s">
        <v>29</v>
      </c>
      <c r="D5" s="18" t="s">
        <v>29</v>
      </c>
      <c r="E5" s="28" t="s">
        <v>235</v>
      </c>
      <c r="F5" s="28" t="s">
        <v>235</v>
      </c>
      <c r="G5" s="28" t="s">
        <v>225</v>
      </c>
      <c r="H5" s="18" t="s">
        <v>29</v>
      </c>
      <c r="I5" s="37" t="s">
        <v>29</v>
      </c>
      <c r="J5" s="37" t="s">
        <v>29</v>
      </c>
      <c r="K5" s="37" t="s">
        <v>29</v>
      </c>
      <c r="L5" s="42" t="s">
        <v>29</v>
      </c>
      <c r="M5" s="42" t="s">
        <v>29</v>
      </c>
      <c r="N5" s="37" t="s">
        <v>29</v>
      </c>
      <c r="O5" s="37" t="s">
        <v>29</v>
      </c>
      <c r="P5" s="38" t="s">
        <v>29</v>
      </c>
      <c r="Q5" s="38" t="s">
        <v>29</v>
      </c>
      <c r="R5" s="20" t="s">
        <v>29</v>
      </c>
      <c r="S5" s="20" t="s">
        <v>29</v>
      </c>
      <c r="T5" s="20" t="s">
        <v>29</v>
      </c>
      <c r="U5" s="18" t="s">
        <v>29</v>
      </c>
      <c r="V5" s="18" t="s">
        <v>29</v>
      </c>
      <c r="W5" s="18" t="s">
        <v>29</v>
      </c>
      <c r="X5" s="20" t="s">
        <v>29</v>
      </c>
      <c r="Y5" s="20" t="s">
        <v>29</v>
      </c>
      <c r="Z5" s="20" t="s">
        <v>29</v>
      </c>
    </row>
    <row r="6" spans="1:30" ht="16.5" customHeight="1" x14ac:dyDescent="0.2">
      <c r="A6" s="12" t="s">
        <v>33</v>
      </c>
      <c r="B6" s="5" t="s">
        <v>9</v>
      </c>
      <c r="C6" s="86" t="s">
        <v>34</v>
      </c>
      <c r="D6" s="86" t="s">
        <v>35</v>
      </c>
      <c r="E6" s="86" t="s">
        <v>36</v>
      </c>
      <c r="F6" s="86" t="s">
        <v>37</v>
      </c>
      <c r="G6" s="86" t="s">
        <v>38</v>
      </c>
      <c r="H6" s="36" t="s">
        <v>39</v>
      </c>
      <c r="I6" s="85" t="s">
        <v>9</v>
      </c>
      <c r="J6" s="280" t="s">
        <v>40</v>
      </c>
      <c r="K6" s="280"/>
      <c r="L6" s="280" t="s">
        <v>41</v>
      </c>
      <c r="M6" s="280"/>
      <c r="N6" s="280" t="s">
        <v>42</v>
      </c>
      <c r="O6" s="280"/>
      <c r="P6" s="280" t="s">
        <v>43</v>
      </c>
      <c r="Q6" s="280"/>
      <c r="R6" s="35"/>
      <c r="S6" s="273" t="s">
        <v>44</v>
      </c>
      <c r="T6" s="274"/>
      <c r="U6" s="274"/>
      <c r="V6" s="274"/>
      <c r="W6" s="275"/>
      <c r="X6" s="274"/>
      <c r="Y6" s="274"/>
      <c r="Z6" s="268"/>
    </row>
    <row r="7" spans="1:30" ht="15.75" customHeight="1" x14ac:dyDescent="0.2">
      <c r="A7" s="1" t="s">
        <v>45</v>
      </c>
      <c r="B7" s="20"/>
      <c r="C7" s="93" t="s">
        <v>260</v>
      </c>
      <c r="D7" s="93" t="s">
        <v>260</v>
      </c>
      <c r="E7" s="93" t="s">
        <v>260</v>
      </c>
      <c r="F7" s="93" t="s">
        <v>260</v>
      </c>
      <c r="G7" s="15" t="e">
        <f>AVERAGE(C7:F7)</f>
        <v>#DIV/0!</v>
      </c>
      <c r="H7" s="6" t="s">
        <v>46</v>
      </c>
      <c r="I7" s="39"/>
      <c r="J7" s="276" t="s">
        <v>354</v>
      </c>
      <c r="K7" s="267"/>
      <c r="L7" s="346" t="s">
        <v>355</v>
      </c>
      <c r="M7" s="267"/>
      <c r="N7" s="346" t="s">
        <v>356</v>
      </c>
      <c r="O7" s="267"/>
      <c r="P7" s="278" t="s">
        <v>29</v>
      </c>
      <c r="Q7" s="267"/>
      <c r="R7" s="23" t="s">
        <v>47</v>
      </c>
      <c r="S7" s="24"/>
      <c r="T7" s="43">
        <v>4</v>
      </c>
      <c r="U7" s="279" t="s">
        <v>48</v>
      </c>
      <c r="V7" s="279"/>
      <c r="W7" s="279"/>
      <c r="X7" s="281" t="s">
        <v>29</v>
      </c>
      <c r="Y7" s="282"/>
      <c r="Z7" s="283"/>
    </row>
    <row r="8" spans="1:30" ht="15.75" customHeight="1" x14ac:dyDescent="0.2">
      <c r="A8" s="3" t="s">
        <v>49</v>
      </c>
      <c r="B8" s="20" t="s">
        <v>29</v>
      </c>
      <c r="C8" s="20" t="s">
        <v>29</v>
      </c>
      <c r="D8" s="20" t="s">
        <v>29</v>
      </c>
      <c r="E8" s="20" t="s">
        <v>29</v>
      </c>
      <c r="F8" s="20" t="s">
        <v>29</v>
      </c>
      <c r="G8" s="86"/>
      <c r="H8" s="6" t="s">
        <v>50</v>
      </c>
      <c r="I8" s="17">
        <v>41837</v>
      </c>
      <c r="J8" s="287">
        <f>I8-C16</f>
        <v>4</v>
      </c>
      <c r="K8" s="268"/>
      <c r="L8" s="287">
        <v>3</v>
      </c>
      <c r="M8" s="268"/>
      <c r="N8" s="287">
        <f>I8-E16</f>
        <v>1</v>
      </c>
      <c r="O8" s="268"/>
      <c r="P8" s="309" t="s">
        <v>29</v>
      </c>
      <c r="Q8" s="261"/>
      <c r="R8" s="22" t="s">
        <v>51</v>
      </c>
      <c r="S8" s="11"/>
      <c r="T8" s="43">
        <v>1</v>
      </c>
      <c r="U8" s="310" t="s">
        <v>52</v>
      </c>
      <c r="V8" s="310"/>
      <c r="W8" s="310"/>
      <c r="X8" s="298" t="s">
        <v>29</v>
      </c>
      <c r="Y8" s="299"/>
      <c r="Z8" s="300"/>
    </row>
    <row r="9" spans="1:30" ht="15.75" customHeight="1" x14ac:dyDescent="0.2">
      <c r="A9" s="3" t="s">
        <v>49</v>
      </c>
      <c r="B9" s="20" t="s">
        <v>29</v>
      </c>
      <c r="C9" s="20" t="s">
        <v>29</v>
      </c>
      <c r="D9" s="20" t="s">
        <v>29</v>
      </c>
      <c r="E9" s="20" t="s">
        <v>29</v>
      </c>
      <c r="F9" s="20" t="s">
        <v>29</v>
      </c>
      <c r="G9" s="86"/>
      <c r="H9" s="6" t="s">
        <v>53</v>
      </c>
      <c r="I9" s="102">
        <v>41837</v>
      </c>
      <c r="J9" s="289">
        <v>63</v>
      </c>
      <c r="K9" s="268"/>
      <c r="L9" s="290">
        <v>49</v>
      </c>
      <c r="M9" s="268"/>
      <c r="N9" s="290">
        <v>39</v>
      </c>
      <c r="O9" s="268"/>
      <c r="P9" s="309" t="s">
        <v>29</v>
      </c>
      <c r="Q9" s="261"/>
      <c r="R9" s="22" t="s">
        <v>54</v>
      </c>
      <c r="S9" s="11"/>
      <c r="T9" s="43">
        <v>3</v>
      </c>
      <c r="U9" s="310" t="s">
        <v>55</v>
      </c>
      <c r="V9" s="310"/>
      <c r="W9" s="310"/>
      <c r="X9" s="298" t="s">
        <v>29</v>
      </c>
      <c r="Y9" s="299"/>
      <c r="Z9" s="300"/>
    </row>
    <row r="10" spans="1:30" ht="15" customHeight="1" x14ac:dyDescent="0.2">
      <c r="A10" s="3" t="s">
        <v>49</v>
      </c>
      <c r="B10" s="20" t="s">
        <v>29</v>
      </c>
      <c r="C10" s="20" t="s">
        <v>29</v>
      </c>
      <c r="D10" s="20" t="s">
        <v>29</v>
      </c>
      <c r="E10" s="20" t="s">
        <v>29</v>
      </c>
      <c r="F10" s="20" t="s">
        <v>29</v>
      </c>
      <c r="G10" s="86"/>
      <c r="H10" s="6" t="s">
        <v>56</v>
      </c>
      <c r="I10" s="10"/>
      <c r="J10" s="284" t="s">
        <v>29</v>
      </c>
      <c r="K10" s="268"/>
      <c r="L10" s="285" t="s">
        <v>29</v>
      </c>
      <c r="M10" s="268"/>
      <c r="N10" s="285" t="s">
        <v>29</v>
      </c>
      <c r="O10" s="268"/>
      <c r="P10" s="286" t="s">
        <v>29</v>
      </c>
      <c r="Q10" s="268"/>
      <c r="R10" s="22" t="s">
        <v>57</v>
      </c>
      <c r="S10" s="11"/>
      <c r="T10" s="43">
        <v>3</v>
      </c>
      <c r="U10" s="310" t="s">
        <v>58</v>
      </c>
      <c r="V10" s="310"/>
      <c r="W10" s="310"/>
      <c r="X10" s="298" t="s">
        <v>29</v>
      </c>
      <c r="Y10" s="299"/>
      <c r="Z10" s="300"/>
    </row>
    <row r="11" spans="1:30" ht="15" customHeight="1" x14ac:dyDescent="0.2">
      <c r="A11" s="3" t="s">
        <v>49</v>
      </c>
      <c r="B11" s="20" t="s">
        <v>29</v>
      </c>
      <c r="C11" s="20" t="s">
        <v>29</v>
      </c>
      <c r="D11" s="20" t="s">
        <v>29</v>
      </c>
      <c r="E11" s="20" t="s">
        <v>29</v>
      </c>
      <c r="F11" s="20" t="s">
        <v>29</v>
      </c>
      <c r="G11" s="86"/>
      <c r="H11" s="6" t="s">
        <v>59</v>
      </c>
      <c r="I11" s="17">
        <v>41842</v>
      </c>
      <c r="J11" s="287">
        <f>I11-C16</f>
        <v>9</v>
      </c>
      <c r="K11" s="268"/>
      <c r="L11" s="287">
        <v>8</v>
      </c>
      <c r="M11" s="268"/>
      <c r="N11" s="287">
        <v>6</v>
      </c>
      <c r="O11" s="268"/>
      <c r="P11" s="309" t="s">
        <v>29</v>
      </c>
      <c r="Q11" s="261"/>
      <c r="R11" s="22" t="s">
        <v>60</v>
      </c>
      <c r="S11" s="11"/>
      <c r="T11" s="43">
        <v>1</v>
      </c>
      <c r="U11" s="310" t="s">
        <v>61</v>
      </c>
      <c r="V11" s="310"/>
      <c r="W11" s="310"/>
      <c r="X11" s="298" t="s">
        <v>29</v>
      </c>
      <c r="Y11" s="299"/>
      <c r="Z11" s="300"/>
    </row>
    <row r="12" spans="1:30" ht="15.75" customHeight="1" x14ac:dyDescent="0.2">
      <c r="A12" s="3" t="s">
        <v>49</v>
      </c>
      <c r="B12" s="20" t="s">
        <v>29</v>
      </c>
      <c r="C12" s="20" t="s">
        <v>29</v>
      </c>
      <c r="D12" s="20" t="s">
        <v>29</v>
      </c>
      <c r="E12" s="20" t="s">
        <v>29</v>
      </c>
      <c r="F12" s="20" t="s">
        <v>29</v>
      </c>
      <c r="G12" s="86"/>
      <c r="H12" s="6" t="s">
        <v>62</v>
      </c>
      <c r="I12" s="102">
        <v>41842</v>
      </c>
      <c r="J12" s="289">
        <v>215</v>
      </c>
      <c r="K12" s="268"/>
      <c r="L12" s="290">
        <v>174</v>
      </c>
      <c r="M12" s="268"/>
      <c r="N12" s="290">
        <v>121</v>
      </c>
      <c r="O12" s="268"/>
      <c r="P12" s="309" t="s">
        <v>29</v>
      </c>
      <c r="Q12" s="261"/>
      <c r="R12" s="22" t="s">
        <v>63</v>
      </c>
      <c r="S12" s="11"/>
      <c r="T12" s="45">
        <v>2</v>
      </c>
      <c r="U12" s="311" t="s">
        <v>64</v>
      </c>
      <c r="V12" s="311"/>
      <c r="W12" s="311"/>
      <c r="X12" s="301" t="s">
        <v>29</v>
      </c>
      <c r="Y12" s="302"/>
      <c r="Z12" s="303"/>
    </row>
    <row r="13" spans="1:30" ht="15.75" customHeight="1" x14ac:dyDescent="0.2">
      <c r="A13" s="3" t="s">
        <v>49</v>
      </c>
      <c r="B13" s="20" t="s">
        <v>29</v>
      </c>
      <c r="C13" s="20" t="s">
        <v>29</v>
      </c>
      <c r="D13" s="20" t="s">
        <v>29</v>
      </c>
      <c r="E13" s="20" t="s">
        <v>29</v>
      </c>
      <c r="F13" s="20" t="s">
        <v>29</v>
      </c>
      <c r="G13" s="86"/>
      <c r="H13" s="6" t="s">
        <v>65</v>
      </c>
      <c r="I13" s="10"/>
      <c r="J13" s="284" t="s">
        <v>29</v>
      </c>
      <c r="K13" s="268"/>
      <c r="L13" s="285" t="s">
        <v>29</v>
      </c>
      <c r="M13" s="268"/>
      <c r="N13" s="285" t="s">
        <v>29</v>
      </c>
      <c r="O13" s="268"/>
      <c r="P13" s="286" t="s">
        <v>29</v>
      </c>
      <c r="Q13" s="272"/>
      <c r="R13" s="304" t="s">
        <v>66</v>
      </c>
      <c r="S13" s="304"/>
      <c r="T13" s="304"/>
      <c r="U13" s="304"/>
      <c r="V13" s="304"/>
      <c r="W13" s="304"/>
      <c r="X13" s="304"/>
      <c r="Y13" s="304"/>
      <c r="Z13" s="304"/>
    </row>
    <row r="14" spans="1:30" ht="15.75" customHeight="1" x14ac:dyDescent="0.2">
      <c r="A14" s="3" t="s">
        <v>49</v>
      </c>
      <c r="B14" s="20" t="s">
        <v>29</v>
      </c>
      <c r="C14" s="20" t="s">
        <v>29</v>
      </c>
      <c r="D14" s="20" t="s">
        <v>29</v>
      </c>
      <c r="E14" s="20" t="s">
        <v>29</v>
      </c>
      <c r="F14" s="20" t="s">
        <v>29</v>
      </c>
      <c r="G14" s="86"/>
      <c r="H14" s="6" t="s">
        <v>67</v>
      </c>
      <c r="I14" s="10"/>
      <c r="J14" s="284" t="s">
        <v>29</v>
      </c>
      <c r="K14" s="268"/>
      <c r="L14" s="285" t="s">
        <v>29</v>
      </c>
      <c r="M14" s="268"/>
      <c r="N14" s="285" t="s">
        <v>29</v>
      </c>
      <c r="O14" s="268"/>
      <c r="P14" s="286" t="s">
        <v>29</v>
      </c>
      <c r="Q14" s="272"/>
      <c r="R14" s="304"/>
      <c r="S14" s="304"/>
      <c r="T14" s="304"/>
      <c r="U14" s="304"/>
      <c r="V14" s="304"/>
      <c r="W14" s="304"/>
      <c r="X14" s="304"/>
      <c r="Y14" s="304"/>
      <c r="Z14" s="511"/>
    </row>
    <row r="15" spans="1:30" ht="15.75" customHeight="1" x14ac:dyDescent="0.2">
      <c r="A15" s="3" t="s">
        <v>49</v>
      </c>
      <c r="B15" s="20" t="s">
        <v>29</v>
      </c>
      <c r="C15" s="20" t="s">
        <v>29</v>
      </c>
      <c r="D15" s="20" t="s">
        <v>29</v>
      </c>
      <c r="E15" s="20" t="s">
        <v>29</v>
      </c>
      <c r="F15" s="20" t="s">
        <v>29</v>
      </c>
      <c r="G15" s="86"/>
      <c r="H15" s="6" t="s">
        <v>68</v>
      </c>
      <c r="I15" s="10"/>
      <c r="J15" s="284" t="s">
        <v>29</v>
      </c>
      <c r="K15" s="268"/>
      <c r="L15" s="285" t="s">
        <v>29</v>
      </c>
      <c r="M15" s="268"/>
      <c r="N15" s="285" t="s">
        <v>29</v>
      </c>
      <c r="O15" s="268"/>
      <c r="P15" s="292" t="s">
        <v>29</v>
      </c>
      <c r="Q15" s="293"/>
      <c r="R15" s="305" t="s">
        <v>456</v>
      </c>
      <c r="S15" s="305"/>
      <c r="T15" s="305"/>
      <c r="U15" s="305"/>
      <c r="V15" s="305"/>
      <c r="W15" s="305"/>
      <c r="X15" s="305"/>
      <c r="Y15" s="305"/>
      <c r="Z15" s="305"/>
    </row>
    <row r="16" spans="1:30" ht="15.75" customHeight="1" x14ac:dyDescent="0.2">
      <c r="A16" s="14" t="s">
        <v>69</v>
      </c>
      <c r="B16" s="20"/>
      <c r="C16" s="19">
        <v>41833</v>
      </c>
      <c r="D16" s="19">
        <v>41834</v>
      </c>
      <c r="E16" s="19">
        <v>41836</v>
      </c>
      <c r="F16" s="19"/>
      <c r="G16" s="15">
        <f>AVERAGE(C16:F16)</f>
        <v>41834.333333333336</v>
      </c>
      <c r="H16" s="6" t="s">
        <v>70</v>
      </c>
      <c r="I16" s="17">
        <v>41847</v>
      </c>
      <c r="J16" s="294">
        <f>I16-C16</f>
        <v>14</v>
      </c>
      <c r="K16" s="268"/>
      <c r="L16" s="294">
        <v>13</v>
      </c>
      <c r="M16" s="268"/>
      <c r="N16" s="294">
        <v>11</v>
      </c>
      <c r="O16" s="272"/>
      <c r="P16" s="309" t="s">
        <v>29</v>
      </c>
      <c r="Q16" s="261"/>
      <c r="R16" s="411"/>
      <c r="S16" s="411"/>
      <c r="T16" s="411"/>
      <c r="U16" s="411"/>
      <c r="V16" s="411"/>
      <c r="W16" s="411"/>
      <c r="X16" s="411"/>
      <c r="Y16" s="411"/>
      <c r="Z16" s="412"/>
    </row>
    <row r="17" spans="1:26" ht="15.75" customHeight="1" x14ac:dyDescent="0.2">
      <c r="A17" s="323" t="s">
        <v>71</v>
      </c>
      <c r="B17" s="324"/>
      <c r="C17" s="50">
        <v>41836</v>
      </c>
      <c r="D17" s="50">
        <v>41836</v>
      </c>
      <c r="E17" s="50">
        <v>41837</v>
      </c>
      <c r="F17" s="50">
        <v>41838</v>
      </c>
      <c r="G17" s="51">
        <f>AVERAGE(C17:E17)</f>
        <v>41836.333333333336</v>
      </c>
      <c r="H17" s="6" t="s">
        <v>72</v>
      </c>
      <c r="I17" s="17">
        <v>41847</v>
      </c>
      <c r="J17" s="291">
        <v>478</v>
      </c>
      <c r="K17" s="268"/>
      <c r="L17" s="290">
        <v>410</v>
      </c>
      <c r="M17" s="268"/>
      <c r="N17" s="320">
        <v>298</v>
      </c>
      <c r="O17" s="272"/>
      <c r="P17" s="309" t="s">
        <v>29</v>
      </c>
      <c r="Q17" s="261"/>
      <c r="R17" s="411"/>
      <c r="S17" s="411"/>
      <c r="T17" s="411"/>
      <c r="U17" s="411"/>
      <c r="V17" s="411"/>
      <c r="W17" s="411"/>
      <c r="X17" s="411"/>
      <c r="Y17" s="411"/>
      <c r="Z17" s="412"/>
    </row>
    <row r="18" spans="1:26" ht="15.75" customHeight="1" x14ac:dyDescent="0.2">
      <c r="A18" s="327" t="s">
        <v>73</v>
      </c>
      <c r="B18" s="327"/>
      <c r="C18" s="325" t="s">
        <v>40</v>
      </c>
      <c r="D18" s="325" t="s">
        <v>41</v>
      </c>
      <c r="E18" s="325" t="s">
        <v>42</v>
      </c>
      <c r="F18" s="325" t="s">
        <v>43</v>
      </c>
      <c r="G18" s="326" t="s">
        <v>38</v>
      </c>
      <c r="H18" s="123" t="s">
        <v>409</v>
      </c>
      <c r="I18" s="17">
        <v>41847</v>
      </c>
      <c r="J18" s="535" t="s">
        <v>369</v>
      </c>
      <c r="K18" s="536"/>
      <c r="L18" s="537" t="s">
        <v>369</v>
      </c>
      <c r="M18" s="536"/>
      <c r="N18" s="538" t="s">
        <v>369</v>
      </c>
      <c r="O18" s="539"/>
      <c r="P18" s="297" t="s">
        <v>29</v>
      </c>
      <c r="Q18" s="261"/>
      <c r="R18" s="411"/>
      <c r="S18" s="411"/>
      <c r="T18" s="411"/>
      <c r="U18" s="411"/>
      <c r="V18" s="411"/>
      <c r="W18" s="411"/>
      <c r="X18" s="411"/>
      <c r="Y18" s="411"/>
      <c r="Z18" s="412"/>
    </row>
    <row r="19" spans="1:26" ht="15" customHeight="1" x14ac:dyDescent="0.2">
      <c r="A19" s="328"/>
      <c r="B19" s="328"/>
      <c r="C19" s="261"/>
      <c r="D19" s="261"/>
      <c r="E19" s="261"/>
      <c r="F19" s="261"/>
      <c r="G19" s="261"/>
      <c r="H19" s="49" t="s">
        <v>67</v>
      </c>
      <c r="I19" s="10"/>
      <c r="J19" s="286" t="s">
        <v>29</v>
      </c>
      <c r="K19" s="268"/>
      <c r="L19" s="285" t="s">
        <v>29</v>
      </c>
      <c r="M19" s="268"/>
      <c r="N19" s="296" t="s">
        <v>29</v>
      </c>
      <c r="O19" s="272"/>
      <c r="P19" s="297" t="s">
        <v>29</v>
      </c>
      <c r="Q19" s="261"/>
      <c r="R19" s="411"/>
      <c r="S19" s="411"/>
      <c r="T19" s="411"/>
      <c r="U19" s="411"/>
      <c r="V19" s="411"/>
      <c r="W19" s="411"/>
      <c r="X19" s="411"/>
      <c r="Y19" s="411"/>
      <c r="Z19" s="412"/>
    </row>
    <row r="20" spans="1:26" ht="15.75" customHeight="1" x14ac:dyDescent="0.2">
      <c r="A20" s="312" t="s">
        <v>79</v>
      </c>
      <c r="B20" s="313"/>
      <c r="C20" s="122" t="s">
        <v>446</v>
      </c>
      <c r="D20" s="122" t="s">
        <v>452</v>
      </c>
      <c r="E20" s="122" t="s">
        <v>410</v>
      </c>
      <c r="F20" s="52" t="s">
        <v>29</v>
      </c>
      <c r="G20" s="52" t="s">
        <v>29</v>
      </c>
      <c r="H20" s="6" t="s">
        <v>68</v>
      </c>
      <c r="I20" s="10"/>
      <c r="J20" s="286" t="s">
        <v>29</v>
      </c>
      <c r="K20" s="268"/>
      <c r="L20" s="285" t="s">
        <v>29</v>
      </c>
      <c r="M20" s="268"/>
      <c r="N20" s="296" t="s">
        <v>29</v>
      </c>
      <c r="O20" s="272"/>
      <c r="P20" s="297" t="s">
        <v>29</v>
      </c>
      <c r="Q20" s="261"/>
      <c r="R20" s="411"/>
      <c r="S20" s="411"/>
      <c r="T20" s="411"/>
      <c r="U20" s="411"/>
      <c r="V20" s="411"/>
      <c r="W20" s="411"/>
      <c r="X20" s="411"/>
      <c r="Y20" s="411"/>
      <c r="Z20" s="412"/>
    </row>
    <row r="21" spans="1:26" ht="15.75" customHeight="1" x14ac:dyDescent="0.2">
      <c r="A21" s="312" t="s">
        <v>46</v>
      </c>
      <c r="B21" s="313"/>
      <c r="C21" s="18" t="s">
        <v>354</v>
      </c>
      <c r="D21" s="18" t="s">
        <v>355</v>
      </c>
      <c r="E21" s="18" t="s">
        <v>356</v>
      </c>
      <c r="F21" s="18" t="s">
        <v>29</v>
      </c>
      <c r="G21" s="18" t="s">
        <v>29</v>
      </c>
      <c r="H21" s="47" t="s">
        <v>80</v>
      </c>
      <c r="I21" s="17">
        <v>41852</v>
      </c>
      <c r="J21" s="294">
        <f>I21-C16</f>
        <v>19</v>
      </c>
      <c r="K21" s="268"/>
      <c r="L21" s="294">
        <v>18</v>
      </c>
      <c r="M21" s="268"/>
      <c r="N21" s="294">
        <v>16</v>
      </c>
      <c r="O21" s="272"/>
      <c r="P21" s="309" t="s">
        <v>29</v>
      </c>
      <c r="Q21" s="261"/>
      <c r="R21" s="411"/>
      <c r="S21" s="411"/>
      <c r="T21" s="411"/>
      <c r="U21" s="411"/>
      <c r="V21" s="411"/>
      <c r="W21" s="411"/>
      <c r="X21" s="411"/>
      <c r="Y21" s="411"/>
      <c r="Z21" s="412"/>
    </row>
    <row r="22" spans="1:26" ht="15.75" customHeight="1" x14ac:dyDescent="0.2">
      <c r="A22" s="312" t="s">
        <v>81</v>
      </c>
      <c r="B22" s="313"/>
      <c r="C22" s="105">
        <v>41860</v>
      </c>
      <c r="D22" s="107" t="s">
        <v>410</v>
      </c>
      <c r="E22" s="107" t="s">
        <v>410</v>
      </c>
      <c r="F22" s="43" t="s">
        <v>29</v>
      </c>
      <c r="G22" s="43" t="s">
        <v>29</v>
      </c>
      <c r="H22" s="48" t="s">
        <v>82</v>
      </c>
      <c r="I22" s="102">
        <v>41852</v>
      </c>
      <c r="J22" s="291">
        <v>590</v>
      </c>
      <c r="K22" s="268"/>
      <c r="L22" s="290">
        <v>520</v>
      </c>
      <c r="M22" s="268"/>
      <c r="N22" s="320">
        <v>379</v>
      </c>
      <c r="O22" s="272"/>
      <c r="P22" s="309" t="s">
        <v>29</v>
      </c>
      <c r="Q22" s="261"/>
      <c r="R22" s="411"/>
      <c r="S22" s="411"/>
      <c r="T22" s="411"/>
      <c r="U22" s="411"/>
      <c r="V22" s="411"/>
      <c r="W22" s="411"/>
      <c r="X22" s="411"/>
      <c r="Y22" s="411"/>
      <c r="Z22" s="412"/>
    </row>
    <row r="23" spans="1:26" ht="15.75" customHeight="1" x14ac:dyDescent="0.2">
      <c r="A23" s="312" t="s">
        <v>12</v>
      </c>
      <c r="B23" s="313"/>
      <c r="C23" s="18">
        <v>194719219</v>
      </c>
      <c r="D23" s="28">
        <v>220612999</v>
      </c>
      <c r="E23" s="28" t="s">
        <v>410</v>
      </c>
      <c r="F23" s="43" t="s">
        <v>29</v>
      </c>
      <c r="G23" s="43" t="s">
        <v>29</v>
      </c>
      <c r="H23" s="48" t="s">
        <v>83</v>
      </c>
      <c r="I23" s="10"/>
      <c r="J23" s="286" t="s">
        <v>29</v>
      </c>
      <c r="K23" s="268"/>
      <c r="L23" s="321" t="s">
        <v>29</v>
      </c>
      <c r="M23" s="268"/>
      <c r="N23" s="322" t="s">
        <v>29</v>
      </c>
      <c r="O23" s="272"/>
      <c r="P23" s="297" t="s">
        <v>29</v>
      </c>
      <c r="Q23" s="261"/>
      <c r="R23" s="411"/>
      <c r="S23" s="411"/>
      <c r="T23" s="411"/>
      <c r="U23" s="411"/>
      <c r="V23" s="411"/>
      <c r="W23" s="411"/>
      <c r="X23" s="411"/>
      <c r="Y23" s="411"/>
      <c r="Z23" s="412"/>
    </row>
    <row r="24" spans="1:26" ht="15.75" customHeight="1" x14ac:dyDescent="0.2">
      <c r="A24" s="312" t="s">
        <v>84</v>
      </c>
      <c r="B24" s="313"/>
      <c r="C24" s="25" t="s">
        <v>410</v>
      </c>
      <c r="D24" s="18" t="s">
        <v>410</v>
      </c>
      <c r="E24" s="18" t="s">
        <v>410</v>
      </c>
      <c r="F24" s="43" t="s">
        <v>29</v>
      </c>
      <c r="G24" s="43" t="s">
        <v>29</v>
      </c>
      <c r="H24" s="48" t="s">
        <v>67</v>
      </c>
      <c r="I24" s="10"/>
      <c r="J24" s="286" t="s">
        <v>29</v>
      </c>
      <c r="K24" s="268"/>
      <c r="L24" s="321" t="s">
        <v>29</v>
      </c>
      <c r="M24" s="268"/>
      <c r="N24" s="322" t="s">
        <v>29</v>
      </c>
      <c r="O24" s="272"/>
      <c r="P24" s="297" t="s">
        <v>29</v>
      </c>
      <c r="Q24" s="261"/>
      <c r="R24" s="411"/>
      <c r="S24" s="411"/>
      <c r="T24" s="411"/>
      <c r="U24" s="411"/>
      <c r="V24" s="411"/>
      <c r="W24" s="411"/>
      <c r="X24" s="411"/>
      <c r="Y24" s="411"/>
      <c r="Z24" s="412"/>
    </row>
    <row r="25" spans="1:26" ht="15.75" customHeight="1" x14ac:dyDescent="0.2">
      <c r="A25" s="312" t="s">
        <v>11</v>
      </c>
      <c r="B25" s="313"/>
      <c r="C25" s="18" t="s">
        <v>398</v>
      </c>
      <c r="D25" s="28" t="s">
        <v>413</v>
      </c>
      <c r="E25" s="18" t="s">
        <v>410</v>
      </c>
      <c r="F25" s="43" t="s">
        <v>29</v>
      </c>
      <c r="G25" s="43" t="s">
        <v>29</v>
      </c>
      <c r="H25" s="48" t="s">
        <v>68</v>
      </c>
      <c r="I25" s="10"/>
      <c r="J25" s="286" t="s">
        <v>29</v>
      </c>
      <c r="K25" s="268"/>
      <c r="L25" s="321" t="s">
        <v>29</v>
      </c>
      <c r="M25" s="268"/>
      <c r="N25" s="322" t="s">
        <v>29</v>
      </c>
      <c r="O25" s="272"/>
      <c r="P25" s="297" t="s">
        <v>29</v>
      </c>
      <c r="Q25" s="261"/>
      <c r="R25" s="411"/>
      <c r="S25" s="411"/>
      <c r="T25" s="411"/>
      <c r="U25" s="411"/>
      <c r="V25" s="411"/>
      <c r="W25" s="411"/>
      <c r="X25" s="411"/>
      <c r="Y25" s="411"/>
      <c r="Z25" s="412"/>
    </row>
    <row r="26" spans="1:26" ht="15.75" customHeight="1" x14ac:dyDescent="0.2">
      <c r="A26" s="314" t="s">
        <v>85</v>
      </c>
      <c r="B26" s="315"/>
      <c r="C26" s="25" t="s">
        <v>410</v>
      </c>
      <c r="D26" s="121">
        <v>41861</v>
      </c>
      <c r="E26" s="121">
        <v>41861</v>
      </c>
      <c r="F26" s="43" t="s">
        <v>29</v>
      </c>
      <c r="G26" s="43" t="s">
        <v>29</v>
      </c>
      <c r="H26" s="48" t="s">
        <v>86</v>
      </c>
      <c r="I26" s="10"/>
      <c r="J26" s="286" t="s">
        <v>29</v>
      </c>
      <c r="K26" s="268"/>
      <c r="L26" s="321" t="s">
        <v>29</v>
      </c>
      <c r="M26" s="268"/>
      <c r="N26" s="322" t="s">
        <v>29</v>
      </c>
      <c r="O26" s="272"/>
      <c r="P26" s="297" t="s">
        <v>29</v>
      </c>
      <c r="Q26" s="261"/>
      <c r="R26" s="411"/>
      <c r="S26" s="411"/>
      <c r="T26" s="411"/>
      <c r="U26" s="411"/>
      <c r="V26" s="411"/>
      <c r="W26" s="411"/>
      <c r="X26" s="411"/>
      <c r="Y26" s="411"/>
      <c r="Z26" s="412"/>
    </row>
    <row r="27" spans="1:26" ht="15.75" customHeight="1" x14ac:dyDescent="0.2">
      <c r="A27" s="316" t="s">
        <v>87</v>
      </c>
      <c r="B27" s="317"/>
      <c r="C27" s="18" t="s">
        <v>410</v>
      </c>
      <c r="D27" s="18">
        <v>27</v>
      </c>
      <c r="E27" s="18">
        <v>26</v>
      </c>
      <c r="F27" s="43" t="s">
        <v>29</v>
      </c>
      <c r="G27" s="43" t="s">
        <v>29</v>
      </c>
      <c r="H27" s="48" t="s">
        <v>88</v>
      </c>
      <c r="I27" s="10"/>
      <c r="J27" s="286" t="s">
        <v>29</v>
      </c>
      <c r="K27" s="268"/>
      <c r="L27" s="321" t="s">
        <v>29</v>
      </c>
      <c r="M27" s="268"/>
      <c r="N27" s="322" t="s">
        <v>29</v>
      </c>
      <c r="O27" s="272"/>
      <c r="P27" s="297" t="s">
        <v>29</v>
      </c>
      <c r="Q27" s="261"/>
      <c r="R27" s="411"/>
      <c r="S27" s="411"/>
      <c r="T27" s="411"/>
      <c r="U27" s="411"/>
      <c r="V27" s="411"/>
      <c r="W27" s="411"/>
      <c r="X27" s="411"/>
      <c r="Y27" s="411"/>
      <c r="Z27" s="412"/>
    </row>
    <row r="28" spans="1:26" ht="15.75" customHeight="1" x14ac:dyDescent="0.2">
      <c r="A28" s="84"/>
      <c r="B28" s="7"/>
      <c r="C28" s="4"/>
      <c r="D28" s="4"/>
      <c r="E28" s="4"/>
      <c r="F28" s="4"/>
      <c r="G28" s="4"/>
      <c r="H28" s="104" t="s">
        <v>372</v>
      </c>
      <c r="I28" s="17">
        <v>41860</v>
      </c>
      <c r="J28" s="294">
        <f>I28-C16</f>
        <v>27</v>
      </c>
      <c r="K28" s="268"/>
      <c r="L28" s="294">
        <v>26</v>
      </c>
      <c r="M28" s="268"/>
      <c r="N28" s="294">
        <v>24</v>
      </c>
      <c r="O28" s="272"/>
      <c r="P28" s="309" t="s">
        <v>29</v>
      </c>
      <c r="Q28" s="261"/>
      <c r="R28" s="53"/>
      <c r="S28" s="30"/>
      <c r="T28" s="4"/>
      <c r="U28" s="4"/>
      <c r="V28" s="4"/>
      <c r="W28" s="26"/>
      <c r="X28" s="4"/>
      <c r="Y28" s="4"/>
      <c r="Z28" s="4"/>
    </row>
    <row r="29" spans="1:26" ht="18" customHeight="1" x14ac:dyDescent="0.2">
      <c r="H29" s="103" t="s">
        <v>373</v>
      </c>
      <c r="I29" s="17">
        <v>41860</v>
      </c>
      <c r="J29" s="291">
        <v>596</v>
      </c>
      <c r="K29" s="268"/>
      <c r="L29" s="290">
        <v>500</v>
      </c>
      <c r="M29" s="268"/>
      <c r="N29" s="320">
        <v>329</v>
      </c>
      <c r="O29" s="272"/>
      <c r="P29" s="309" t="s">
        <v>29</v>
      </c>
      <c r="Q29" s="261"/>
    </row>
    <row r="30" spans="1:26" ht="18" customHeight="1" x14ac:dyDescent="0.2">
      <c r="H30" s="103" t="s">
        <v>454</v>
      </c>
      <c r="I30" s="17">
        <v>41860</v>
      </c>
      <c r="J30" s="535" t="s">
        <v>369</v>
      </c>
      <c r="K30" s="536"/>
      <c r="L30" s="537" t="s">
        <v>369</v>
      </c>
      <c r="M30" s="536"/>
      <c r="N30" s="538" t="s">
        <v>369</v>
      </c>
      <c r="O30" s="539"/>
      <c r="P30" s="297" t="s">
        <v>29</v>
      </c>
      <c r="Q30" s="261"/>
    </row>
    <row r="31" spans="1:26" ht="18" customHeight="1" x14ac:dyDescent="0.2">
      <c r="H31" s="48" t="s">
        <v>67</v>
      </c>
      <c r="I31" s="10"/>
      <c r="J31" s="286" t="s">
        <v>29</v>
      </c>
      <c r="K31" s="268"/>
      <c r="L31" s="321" t="s">
        <v>29</v>
      </c>
      <c r="M31" s="268"/>
      <c r="N31" s="322" t="s">
        <v>29</v>
      </c>
      <c r="O31" s="272"/>
      <c r="P31" s="297" t="s">
        <v>29</v>
      </c>
      <c r="Q31" s="261"/>
    </row>
    <row r="32" spans="1:26" ht="18" customHeight="1" x14ac:dyDescent="0.2">
      <c r="H32" s="48" t="s">
        <v>68</v>
      </c>
      <c r="I32" s="10"/>
      <c r="J32" s="286" t="s">
        <v>29</v>
      </c>
      <c r="K32" s="268"/>
      <c r="L32" s="321" t="s">
        <v>29</v>
      </c>
      <c r="M32" s="268"/>
      <c r="N32" s="322" t="s">
        <v>29</v>
      </c>
      <c r="O32" s="272"/>
      <c r="P32" s="297" t="s">
        <v>29</v>
      </c>
      <c r="Q32" s="261"/>
    </row>
    <row r="33" spans="8:17" ht="18" customHeight="1" x14ac:dyDescent="0.2">
      <c r="H33" s="48" t="s">
        <v>86</v>
      </c>
      <c r="I33" s="10"/>
      <c r="J33" s="286" t="s">
        <v>29</v>
      </c>
      <c r="K33" s="268"/>
      <c r="L33" s="321" t="s">
        <v>29</v>
      </c>
      <c r="M33" s="268"/>
      <c r="N33" s="322" t="s">
        <v>29</v>
      </c>
      <c r="O33" s="272"/>
      <c r="P33" s="297" t="s">
        <v>29</v>
      </c>
      <c r="Q33" s="261"/>
    </row>
    <row r="34" spans="8:17" ht="18" customHeight="1" x14ac:dyDescent="0.2">
      <c r="H34" s="48" t="s">
        <v>88</v>
      </c>
      <c r="I34" s="10"/>
      <c r="J34" s="286" t="s">
        <v>29</v>
      </c>
      <c r="K34" s="268"/>
      <c r="L34" s="321" t="s">
        <v>29</v>
      </c>
      <c r="M34" s="268"/>
      <c r="N34" s="322" t="s">
        <v>29</v>
      </c>
      <c r="O34" s="272"/>
      <c r="P34" s="297" t="s">
        <v>29</v>
      </c>
      <c r="Q34" s="261"/>
    </row>
    <row r="35" spans="8:17" ht="18" customHeight="1" x14ac:dyDescent="0.2">
      <c r="H35" s="104" t="s">
        <v>414</v>
      </c>
      <c r="I35" s="17">
        <v>41865</v>
      </c>
      <c r="J35" s="294">
        <f>I35-C16</f>
        <v>32</v>
      </c>
      <c r="K35" s="268"/>
      <c r="L35" s="294" t="s">
        <v>410</v>
      </c>
      <c r="M35" s="268"/>
      <c r="N35" s="294" t="s">
        <v>410</v>
      </c>
      <c r="O35" s="272"/>
      <c r="P35" s="309" t="s">
        <v>29</v>
      </c>
      <c r="Q35" s="261"/>
    </row>
    <row r="36" spans="8:17" ht="18" customHeight="1" x14ac:dyDescent="0.2">
      <c r="H36" s="103" t="s">
        <v>415</v>
      </c>
      <c r="I36" s="17">
        <v>41865</v>
      </c>
      <c r="J36" s="291">
        <v>652</v>
      </c>
      <c r="K36" s="268"/>
      <c r="L36" s="430" t="s">
        <v>410</v>
      </c>
      <c r="M36" s="268"/>
      <c r="N36" s="431" t="s">
        <v>410</v>
      </c>
      <c r="O36" s="272"/>
      <c r="P36" s="309" t="s">
        <v>29</v>
      </c>
      <c r="Q36" s="261"/>
    </row>
    <row r="37" spans="8:17" ht="18" customHeight="1" x14ac:dyDescent="0.2">
      <c r="H37" s="103" t="s">
        <v>455</v>
      </c>
      <c r="I37" s="10"/>
      <c r="J37" s="286" t="s">
        <v>29</v>
      </c>
      <c r="K37" s="268"/>
      <c r="L37" s="321" t="s">
        <v>29</v>
      </c>
      <c r="M37" s="268"/>
      <c r="N37" s="322" t="s">
        <v>29</v>
      </c>
      <c r="O37" s="272"/>
      <c r="P37" s="297" t="s">
        <v>29</v>
      </c>
      <c r="Q37" s="261"/>
    </row>
    <row r="38" spans="8:17" ht="18" customHeight="1" x14ac:dyDescent="0.2">
      <c r="H38" s="48" t="s">
        <v>67</v>
      </c>
      <c r="I38" s="10"/>
      <c r="J38" s="286" t="s">
        <v>29</v>
      </c>
      <c r="K38" s="268"/>
      <c r="L38" s="321" t="s">
        <v>29</v>
      </c>
      <c r="M38" s="268"/>
      <c r="N38" s="322" t="s">
        <v>29</v>
      </c>
      <c r="O38" s="272"/>
      <c r="P38" s="297" t="s">
        <v>29</v>
      </c>
      <c r="Q38" s="261"/>
    </row>
    <row r="39" spans="8:17" ht="18" customHeight="1" x14ac:dyDescent="0.2">
      <c r="H39" s="48" t="s">
        <v>68</v>
      </c>
      <c r="I39" s="10"/>
      <c r="J39" s="286" t="s">
        <v>29</v>
      </c>
      <c r="K39" s="268"/>
      <c r="L39" s="321" t="s">
        <v>29</v>
      </c>
      <c r="M39" s="268"/>
      <c r="N39" s="322" t="s">
        <v>29</v>
      </c>
      <c r="O39" s="272"/>
      <c r="P39" s="297" t="s">
        <v>29</v>
      </c>
      <c r="Q39" s="261"/>
    </row>
    <row r="40" spans="8:17" ht="18" customHeight="1" x14ac:dyDescent="0.2">
      <c r="H40" s="48" t="s">
        <v>86</v>
      </c>
      <c r="I40" s="10"/>
      <c r="J40" s="286" t="s">
        <v>29</v>
      </c>
      <c r="K40" s="268"/>
      <c r="L40" s="321" t="s">
        <v>29</v>
      </c>
      <c r="M40" s="268"/>
      <c r="N40" s="322" t="s">
        <v>29</v>
      </c>
      <c r="O40" s="272"/>
      <c r="P40" s="297" t="s">
        <v>29</v>
      </c>
      <c r="Q40" s="261"/>
    </row>
    <row r="41" spans="8:17" ht="18" customHeight="1" x14ac:dyDescent="0.2">
      <c r="H41" s="48" t="s">
        <v>88</v>
      </c>
      <c r="I41" s="10"/>
      <c r="J41" s="286" t="s">
        <v>29</v>
      </c>
      <c r="K41" s="268"/>
      <c r="L41" s="321" t="s">
        <v>29</v>
      </c>
      <c r="M41" s="268"/>
      <c r="N41" s="322" t="s">
        <v>29</v>
      </c>
      <c r="O41" s="272"/>
      <c r="P41" s="297" t="s">
        <v>29</v>
      </c>
      <c r="Q41" s="261"/>
    </row>
  </sheetData>
  <mergeCells count="184">
    <mergeCell ref="J40:K40"/>
    <mergeCell ref="L40:M40"/>
    <mergeCell ref="N40:O40"/>
    <mergeCell ref="P40:Q40"/>
    <mergeCell ref="J41:K41"/>
    <mergeCell ref="L41:M41"/>
    <mergeCell ref="N41:O41"/>
    <mergeCell ref="P41:Q41"/>
    <mergeCell ref="J37:K37"/>
    <mergeCell ref="L37:M37"/>
    <mergeCell ref="N37:O37"/>
    <mergeCell ref="P37:Q37"/>
    <mergeCell ref="J38:K38"/>
    <mergeCell ref="L38:M38"/>
    <mergeCell ref="N38:O38"/>
    <mergeCell ref="P38:Q38"/>
    <mergeCell ref="J39:K39"/>
    <mergeCell ref="L39:M39"/>
    <mergeCell ref="N39:O39"/>
    <mergeCell ref="P39:Q39"/>
    <mergeCell ref="J34:K34"/>
    <mergeCell ref="L34:M34"/>
    <mergeCell ref="N34:O34"/>
    <mergeCell ref="P34:Q34"/>
    <mergeCell ref="J35:K35"/>
    <mergeCell ref="L35:M35"/>
    <mergeCell ref="N35:O35"/>
    <mergeCell ref="P35:Q35"/>
    <mergeCell ref="J36:K36"/>
    <mergeCell ref="L36:M36"/>
    <mergeCell ref="N36:O36"/>
    <mergeCell ref="P36:Q36"/>
    <mergeCell ref="J31:K31"/>
    <mergeCell ref="L31:M31"/>
    <mergeCell ref="N31:O31"/>
    <mergeCell ref="P31:Q31"/>
    <mergeCell ref="J32:K32"/>
    <mergeCell ref="L32:M32"/>
    <mergeCell ref="N32:O32"/>
    <mergeCell ref="P32:Q32"/>
    <mergeCell ref="J33:K33"/>
    <mergeCell ref="L33:M33"/>
    <mergeCell ref="N33:O33"/>
    <mergeCell ref="P33:Q33"/>
    <mergeCell ref="J28:K28"/>
    <mergeCell ref="L28:M28"/>
    <mergeCell ref="N28:O28"/>
    <mergeCell ref="P28:Q28"/>
    <mergeCell ref="J29:K29"/>
    <mergeCell ref="L29:M29"/>
    <mergeCell ref="N29:O29"/>
    <mergeCell ref="P29:Q29"/>
    <mergeCell ref="J30:K30"/>
    <mergeCell ref="L30:M30"/>
    <mergeCell ref="N30:O30"/>
    <mergeCell ref="P30:Q30"/>
    <mergeCell ref="I1:J1"/>
    <mergeCell ref="K1:O1"/>
    <mergeCell ref="P1:Q1"/>
    <mergeCell ref="R1:S1"/>
    <mergeCell ref="L2:M2"/>
    <mergeCell ref="Q2:R2"/>
    <mergeCell ref="Y2:Z2"/>
    <mergeCell ref="L4:M4"/>
    <mergeCell ref="Q4:R4"/>
    <mergeCell ref="Y4:Z4"/>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J10:K10"/>
    <mergeCell ref="L10:M10"/>
    <mergeCell ref="N10:O10"/>
    <mergeCell ref="P10:Q10"/>
    <mergeCell ref="U10:W10"/>
    <mergeCell ref="X10:Z10"/>
    <mergeCell ref="J9:K9"/>
    <mergeCell ref="L9:M9"/>
    <mergeCell ref="N9:O9"/>
    <mergeCell ref="P9:Q9"/>
    <mergeCell ref="U9:W9"/>
    <mergeCell ref="X9:Z9"/>
    <mergeCell ref="J12:K12"/>
    <mergeCell ref="L12:M12"/>
    <mergeCell ref="N12:O12"/>
    <mergeCell ref="P12:Q12"/>
    <mergeCell ref="U12:W12"/>
    <mergeCell ref="X12:Z12"/>
    <mergeCell ref="J11:K11"/>
    <mergeCell ref="L11:M11"/>
    <mergeCell ref="N11:O11"/>
    <mergeCell ref="P11:Q11"/>
    <mergeCell ref="U11:W11"/>
    <mergeCell ref="X11:Z11"/>
    <mergeCell ref="J13:K13"/>
    <mergeCell ref="L13:M13"/>
    <mergeCell ref="N13:O13"/>
    <mergeCell ref="P13:Q13"/>
    <mergeCell ref="R13:Z14"/>
    <mergeCell ref="J14:K14"/>
    <mergeCell ref="L14:M14"/>
    <mergeCell ref="N14:O14"/>
    <mergeCell ref="P14:Q14"/>
    <mergeCell ref="J15:K15"/>
    <mergeCell ref="L15:M15"/>
    <mergeCell ref="N15:O15"/>
    <mergeCell ref="P15:Q15"/>
    <mergeCell ref="R15:Z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120</v>
      </c>
      <c r="G1" s="241" t="s">
        <v>3</v>
      </c>
      <c r="H1" s="235" t="s">
        <v>4</v>
      </c>
      <c r="I1" s="329" t="s">
        <v>5</v>
      </c>
      <c r="J1" s="261"/>
      <c r="K1" s="262" t="s">
        <v>253</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305" t="s">
        <v>252</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K1" sqref="K1:O1"/>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121</v>
      </c>
      <c r="G1" s="241" t="s">
        <v>3</v>
      </c>
      <c r="H1" s="235" t="s">
        <v>4</v>
      </c>
      <c r="I1" s="329" t="s">
        <v>5</v>
      </c>
      <c r="J1" s="261"/>
      <c r="K1" s="540" t="s">
        <v>383</v>
      </c>
      <c r="L1" s="541"/>
      <c r="M1" s="541"/>
      <c r="N1" s="541"/>
      <c r="O1" s="54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204</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409" t="s">
        <v>285</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5.75"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122</v>
      </c>
      <c r="G1" s="241" t="s">
        <v>3</v>
      </c>
      <c r="H1" s="235" t="s">
        <v>4</v>
      </c>
      <c r="I1" s="329" t="s">
        <v>5</v>
      </c>
      <c r="J1" s="261"/>
      <c r="K1" s="262" t="s">
        <v>270</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204</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409" t="s">
        <v>308</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8"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8"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8"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8"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8"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8"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8"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8"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8"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8"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8"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8"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123</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204</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409" t="s">
        <v>269</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8"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8"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8"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8"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8"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8"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8"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8"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8"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8"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8"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8"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124</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204</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409" t="s">
        <v>353</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8"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8"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8"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8"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8"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8"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8"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8"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8"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8"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8"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8"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K1" sqref="K1:O1"/>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125</v>
      </c>
      <c r="G1" s="241" t="s">
        <v>3</v>
      </c>
      <c r="H1" s="235" t="s">
        <v>4</v>
      </c>
      <c r="I1" s="329" t="s">
        <v>5</v>
      </c>
      <c r="J1" s="261"/>
      <c r="K1" s="262" t="s">
        <v>380</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360</v>
      </c>
      <c r="K7" s="267"/>
      <c r="L7" s="346" t="s">
        <v>361</v>
      </c>
      <c r="M7" s="267"/>
      <c r="N7" s="346" t="s">
        <v>29</v>
      </c>
      <c r="O7" s="267"/>
      <c r="P7" s="347" t="s">
        <v>29</v>
      </c>
      <c r="Q7" s="267"/>
      <c r="R7" s="159" t="s">
        <v>47</v>
      </c>
      <c r="S7" s="160"/>
      <c r="T7" s="237" t="s">
        <v>29</v>
      </c>
      <c r="U7" s="348" t="s">
        <v>48</v>
      </c>
      <c r="V7" s="348"/>
      <c r="W7" s="348"/>
      <c r="X7" s="349" t="s">
        <v>204</v>
      </c>
      <c r="Y7" s="350"/>
      <c r="Z7" s="351"/>
    </row>
    <row r="8" spans="1:30" ht="15.75" customHeight="1" x14ac:dyDescent="0.2">
      <c r="A8" s="161" t="s">
        <v>49</v>
      </c>
      <c r="B8" s="142" t="s">
        <v>29</v>
      </c>
      <c r="C8" s="142" t="s">
        <v>29</v>
      </c>
      <c r="D8" s="142" t="s">
        <v>29</v>
      </c>
      <c r="E8" s="142" t="s">
        <v>29</v>
      </c>
      <c r="F8" s="142" t="s">
        <v>29</v>
      </c>
      <c r="G8" s="239"/>
      <c r="H8" s="157" t="s">
        <v>50</v>
      </c>
      <c r="I8" s="163">
        <v>41841</v>
      </c>
      <c r="J8" s="341">
        <f>IF(((I8-C16)&gt;0),(I8-C16),"/")</f>
        <v>41841</v>
      </c>
      <c r="K8" s="336"/>
      <c r="L8" s="341">
        <f>IF(((I8-D16)&gt;0),(I8-D16),"/")</f>
        <v>41841</v>
      </c>
      <c r="M8" s="336"/>
      <c r="N8" s="341">
        <f>IF(((I8-E16)&gt;0),(I8-E16),"/")</f>
        <v>41841</v>
      </c>
      <c r="O8" s="336"/>
      <c r="P8" s="341">
        <f>IF(((I8-F16)&gt;0),(I8-F16),"/")</f>
        <v>41841</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66">
        <v>41841</v>
      </c>
      <c r="J9" s="355">
        <v>34</v>
      </c>
      <c r="K9" s="336"/>
      <c r="L9" s="356">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41848</v>
      </c>
      <c r="J11" s="341">
        <f>I11-C16</f>
        <v>41848</v>
      </c>
      <c r="K11" s="336"/>
      <c r="L11" s="341">
        <f>I11-D16</f>
        <v>41848</v>
      </c>
      <c r="M11" s="336"/>
      <c r="N11" s="341">
        <f>I11-E16</f>
        <v>41848</v>
      </c>
      <c r="O11" s="336"/>
      <c r="P11" s="362">
        <f>I11-F16</f>
        <v>41848</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66">
        <v>41848</v>
      </c>
      <c r="J12" s="355">
        <v>198</v>
      </c>
      <c r="K12" s="336"/>
      <c r="L12" s="356">
        <v>163</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409" t="s">
        <v>379</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8"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8"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8"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8"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8"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8"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8"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8"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8"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8"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8"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8"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R15" sqref="R15:Z27"/>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v>126</v>
      </c>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360</v>
      </c>
      <c r="K7" s="267"/>
      <c r="L7" s="346" t="s">
        <v>361</v>
      </c>
      <c r="M7" s="267"/>
      <c r="N7" s="346" t="s">
        <v>29</v>
      </c>
      <c r="O7" s="267"/>
      <c r="P7" s="347" t="s">
        <v>29</v>
      </c>
      <c r="Q7" s="267"/>
      <c r="R7" s="159" t="s">
        <v>47</v>
      </c>
      <c r="S7" s="160"/>
      <c r="T7" s="237" t="s">
        <v>29</v>
      </c>
      <c r="U7" s="348" t="s">
        <v>48</v>
      </c>
      <c r="V7" s="348"/>
      <c r="W7" s="348"/>
      <c r="X7" s="349" t="s">
        <v>204</v>
      </c>
      <c r="Y7" s="350"/>
      <c r="Z7" s="351"/>
    </row>
    <row r="8" spans="1:30" ht="15.75" customHeight="1" x14ac:dyDescent="0.2">
      <c r="A8" s="161" t="s">
        <v>49</v>
      </c>
      <c r="B8" s="142" t="s">
        <v>29</v>
      </c>
      <c r="C8" s="142" t="s">
        <v>29</v>
      </c>
      <c r="D8" s="142" t="s">
        <v>29</v>
      </c>
      <c r="E8" s="142" t="s">
        <v>29</v>
      </c>
      <c r="F8" s="142" t="s">
        <v>29</v>
      </c>
      <c r="G8" s="239"/>
      <c r="H8" s="157" t="s">
        <v>50</v>
      </c>
      <c r="I8" s="163">
        <v>41841</v>
      </c>
      <c r="J8" s="341">
        <f>IF(((I8-C16)&gt;0),(I8-C16),"/")</f>
        <v>41841</v>
      </c>
      <c r="K8" s="336"/>
      <c r="L8" s="341">
        <f>IF(((I8-D16)&gt;0),(I8-D16),"/")</f>
        <v>41841</v>
      </c>
      <c r="M8" s="336"/>
      <c r="N8" s="341">
        <f>IF(((I8-E16)&gt;0),(I8-E16),"/")</f>
        <v>41841</v>
      </c>
      <c r="O8" s="336"/>
      <c r="P8" s="341">
        <f>IF(((I8-F16)&gt;0),(I8-F16),"/")</f>
        <v>41841</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66">
        <v>41841</v>
      </c>
      <c r="J9" s="355">
        <v>34</v>
      </c>
      <c r="K9" s="336"/>
      <c r="L9" s="356">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409" t="s">
        <v>366</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8"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8"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8"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8"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8"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8"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8"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8"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8"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8"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8"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8" customHeight="1" x14ac:dyDescent="0.2">
      <c r="A28" s="233"/>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B16" sqref="AB16"/>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55">
        <v>2014</v>
      </c>
      <c r="C1" s="132" t="s">
        <v>1</v>
      </c>
      <c r="D1" s="255"/>
      <c r="E1" s="132" t="s">
        <v>2</v>
      </c>
      <c r="F1" s="255">
        <v>128</v>
      </c>
      <c r="G1" s="259" t="s">
        <v>3</v>
      </c>
      <c r="H1" s="255" t="s">
        <v>4</v>
      </c>
      <c r="I1" s="329" t="s">
        <v>5</v>
      </c>
      <c r="J1" s="261"/>
      <c r="K1" s="262" t="s">
        <v>471</v>
      </c>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57" t="s">
        <v>34</v>
      </c>
      <c r="D6" s="257" t="s">
        <v>35</v>
      </c>
      <c r="E6" s="257" t="s">
        <v>36</v>
      </c>
      <c r="F6" s="257" t="s">
        <v>37</v>
      </c>
      <c r="G6" s="257" t="s">
        <v>38</v>
      </c>
      <c r="H6" s="190" t="s">
        <v>39</v>
      </c>
      <c r="I6" s="258"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360</v>
      </c>
      <c r="K7" s="267"/>
      <c r="L7" s="346" t="s">
        <v>361</v>
      </c>
      <c r="M7" s="267"/>
      <c r="N7" s="346" t="s">
        <v>29</v>
      </c>
      <c r="O7" s="267"/>
      <c r="P7" s="347" t="s">
        <v>29</v>
      </c>
      <c r="Q7" s="267"/>
      <c r="R7" s="159" t="s">
        <v>47</v>
      </c>
      <c r="S7" s="160"/>
      <c r="T7" s="256" t="s">
        <v>29</v>
      </c>
      <c r="U7" s="348" t="s">
        <v>48</v>
      </c>
      <c r="V7" s="348"/>
      <c r="W7" s="348"/>
      <c r="X7" s="349" t="s">
        <v>204</v>
      </c>
      <c r="Y7" s="350"/>
      <c r="Z7" s="351"/>
    </row>
    <row r="8" spans="1:30" ht="15.75" customHeight="1" x14ac:dyDescent="0.2">
      <c r="A8" s="161" t="s">
        <v>49</v>
      </c>
      <c r="B8" s="142" t="s">
        <v>29</v>
      </c>
      <c r="C8" s="142" t="s">
        <v>29</v>
      </c>
      <c r="D8" s="142" t="s">
        <v>29</v>
      </c>
      <c r="E8" s="142" t="s">
        <v>29</v>
      </c>
      <c r="F8" s="142" t="s">
        <v>29</v>
      </c>
      <c r="G8" s="257"/>
      <c r="H8" s="157" t="s">
        <v>50</v>
      </c>
      <c r="I8" s="163">
        <v>41841</v>
      </c>
      <c r="J8" s="341">
        <f>IF(((I8-C16)&gt;0),(I8-C16),"/")</f>
        <v>41841</v>
      </c>
      <c r="K8" s="336"/>
      <c r="L8" s="341">
        <f>IF(((I8-D16)&gt;0),(I8-D16),"/")</f>
        <v>41841</v>
      </c>
      <c r="M8" s="336"/>
      <c r="N8" s="341">
        <f>IF(((I8-E16)&gt;0),(I8-E16),"/")</f>
        <v>41841</v>
      </c>
      <c r="O8" s="336"/>
      <c r="P8" s="341">
        <f>IF(((I8-F16)&gt;0),(I8-F16),"/")</f>
        <v>41841</v>
      </c>
      <c r="Q8" s="336"/>
      <c r="R8" s="164" t="s">
        <v>51</v>
      </c>
      <c r="S8" s="165"/>
      <c r="T8" s="256"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57"/>
      <c r="H9" s="157" t="s">
        <v>53</v>
      </c>
      <c r="I9" s="166">
        <v>41841</v>
      </c>
      <c r="J9" s="355">
        <v>34</v>
      </c>
      <c r="K9" s="336"/>
      <c r="L9" s="356">
        <v>29</v>
      </c>
      <c r="M9" s="336"/>
      <c r="N9" s="356" t="s">
        <v>29</v>
      </c>
      <c r="O9" s="336"/>
      <c r="P9" s="357" t="s">
        <v>29</v>
      </c>
      <c r="Q9" s="336"/>
      <c r="R9" s="164" t="s">
        <v>54</v>
      </c>
      <c r="S9" s="165"/>
      <c r="T9" s="256"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57"/>
      <c r="H10" s="157" t="s">
        <v>56</v>
      </c>
      <c r="I10" s="167"/>
      <c r="J10" s="352" t="s">
        <v>29</v>
      </c>
      <c r="K10" s="336"/>
      <c r="L10" s="353" t="s">
        <v>29</v>
      </c>
      <c r="M10" s="336"/>
      <c r="N10" s="353" t="s">
        <v>29</v>
      </c>
      <c r="O10" s="336"/>
      <c r="P10" s="354" t="s">
        <v>29</v>
      </c>
      <c r="Q10" s="336"/>
      <c r="R10" s="164" t="s">
        <v>57</v>
      </c>
      <c r="S10" s="165"/>
      <c r="T10" s="256"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57"/>
      <c r="H11" s="157" t="s">
        <v>59</v>
      </c>
      <c r="I11" s="163">
        <v>40767</v>
      </c>
      <c r="J11" s="341">
        <f>I11-C16</f>
        <v>40767</v>
      </c>
      <c r="K11" s="336"/>
      <c r="L11" s="341">
        <f>I11-D16</f>
        <v>40767</v>
      </c>
      <c r="M11" s="336"/>
      <c r="N11" s="341">
        <f>I11-E16</f>
        <v>40767</v>
      </c>
      <c r="O11" s="336"/>
      <c r="P11" s="362">
        <f>I11-F16</f>
        <v>40767</v>
      </c>
      <c r="Q11" s="336"/>
      <c r="R11" s="164" t="s">
        <v>60</v>
      </c>
      <c r="S11" s="165"/>
      <c r="T11" s="256"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57"/>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57"/>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57"/>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57"/>
      <c r="H15" s="157" t="s">
        <v>68</v>
      </c>
      <c r="I15" s="167"/>
      <c r="J15" s="352" t="s">
        <v>29</v>
      </c>
      <c r="K15" s="336"/>
      <c r="L15" s="353" t="s">
        <v>29</v>
      </c>
      <c r="M15" s="336"/>
      <c r="N15" s="353" t="s">
        <v>29</v>
      </c>
      <c r="O15" s="336"/>
      <c r="P15" s="363" t="s">
        <v>29</v>
      </c>
      <c r="Q15" s="293"/>
      <c r="R15" s="409" t="s">
        <v>391</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9" ht="18"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9" ht="18"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9" ht="18"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9" ht="18" customHeight="1" x14ac:dyDescent="0.2">
      <c r="A20" s="372" t="s">
        <v>79</v>
      </c>
      <c r="B20" s="373"/>
      <c r="C20" s="122" t="s">
        <v>390</v>
      </c>
      <c r="D20" s="122" t="s">
        <v>390</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9" ht="18"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9" ht="18" customHeight="1" x14ac:dyDescent="0.2">
      <c r="A22" s="372" t="s">
        <v>81</v>
      </c>
      <c r="B22" s="373"/>
      <c r="C22" s="71" t="s">
        <v>464</v>
      </c>
      <c r="D22" s="71" t="s">
        <v>464</v>
      </c>
      <c r="E22" s="71" t="s">
        <v>29</v>
      </c>
      <c r="F22" s="71" t="s">
        <v>29</v>
      </c>
      <c r="G22" s="256"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9" ht="18" customHeight="1" x14ac:dyDescent="0.2">
      <c r="A23" s="372" t="s">
        <v>12</v>
      </c>
      <c r="B23" s="373"/>
      <c r="C23" s="71">
        <v>185702462</v>
      </c>
      <c r="D23" s="71">
        <v>185702460</v>
      </c>
      <c r="E23" s="71" t="s">
        <v>29</v>
      </c>
      <c r="F23" s="71" t="s">
        <v>29</v>
      </c>
      <c r="G23" s="256"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9" ht="18" customHeight="1" x14ac:dyDescent="0.2">
      <c r="A24" s="372" t="s">
        <v>84</v>
      </c>
      <c r="B24" s="373"/>
      <c r="C24" s="71" t="s">
        <v>29</v>
      </c>
      <c r="D24" s="71" t="s">
        <v>29</v>
      </c>
      <c r="E24" s="71" t="s">
        <v>29</v>
      </c>
      <c r="F24" s="71" t="s">
        <v>29</v>
      </c>
      <c r="G24" s="256"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9" ht="18" customHeight="1" x14ac:dyDescent="0.2">
      <c r="A25" s="372" t="s">
        <v>11</v>
      </c>
      <c r="B25" s="373"/>
      <c r="C25" s="71" t="s">
        <v>29</v>
      </c>
      <c r="D25" s="71" t="s">
        <v>29</v>
      </c>
      <c r="E25" s="71" t="s">
        <v>29</v>
      </c>
      <c r="F25" s="71" t="s">
        <v>29</v>
      </c>
      <c r="G25" s="256"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9" ht="18" customHeight="1" x14ac:dyDescent="0.2">
      <c r="A26" s="374" t="s">
        <v>85</v>
      </c>
      <c r="B26" s="375"/>
      <c r="C26" s="71" t="s">
        <v>29</v>
      </c>
      <c r="D26" s="71" t="s">
        <v>29</v>
      </c>
      <c r="E26" s="71" t="s">
        <v>29</v>
      </c>
      <c r="F26" s="71" t="s">
        <v>29</v>
      </c>
      <c r="G26" s="256"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9" ht="18" customHeight="1" x14ac:dyDescent="0.2">
      <c r="A27" s="378" t="s">
        <v>87</v>
      </c>
      <c r="B27" s="379"/>
      <c r="C27" s="71" t="s">
        <v>29</v>
      </c>
      <c r="D27" s="71" t="s">
        <v>29</v>
      </c>
      <c r="E27" s="71" t="s">
        <v>29</v>
      </c>
      <c r="F27" s="71" t="s">
        <v>29</v>
      </c>
      <c r="G27" s="256"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9" ht="18" customHeight="1" x14ac:dyDescent="0.2">
      <c r="A28" s="254"/>
      <c r="B28" s="7"/>
      <c r="C28" s="4"/>
      <c r="D28" s="4"/>
      <c r="E28" s="4"/>
      <c r="F28" s="4"/>
      <c r="G28" s="4"/>
      <c r="H28" s="46"/>
      <c r="I28" s="4"/>
      <c r="J28" s="4"/>
      <c r="K28" s="4"/>
      <c r="L28" s="4"/>
      <c r="M28" s="4"/>
      <c r="N28" s="4"/>
      <c r="O28" s="4"/>
      <c r="P28" s="46"/>
      <c r="Q28" s="46"/>
      <c r="R28" s="53"/>
      <c r="S28" s="30"/>
      <c r="T28" s="4"/>
      <c r="U28" s="4"/>
      <c r="V28" s="4"/>
      <c r="W28" s="26"/>
      <c r="X28" s="4"/>
      <c r="Y28" s="4"/>
      <c r="Z28" s="4"/>
      <c r="AA28" s="249"/>
      <c r="AB28" s="249"/>
      <c r="AC28" s="249"/>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L22:M22"/>
    <mergeCell ref="N22:O22"/>
    <mergeCell ref="P22:Q22"/>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pageSetup orientation="portrait"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8"/>
  <sheetViews>
    <sheetView workbookViewId="0">
      <selection activeCell="AC16" sqref="AC16"/>
    </sheetView>
  </sheetViews>
  <sheetFormatPr defaultColWidth="11.85546875" defaultRowHeight="18" customHeight="1" x14ac:dyDescent="0.2"/>
  <cols>
    <col min="1" max="1" width="9.140625" style="25" customWidth="1"/>
    <col min="2" max="2" width="6.28515625" style="25" customWidth="1"/>
    <col min="3" max="3" width="9.28515625" style="25" customWidth="1"/>
    <col min="4" max="4" width="6.85546875" style="25" customWidth="1"/>
    <col min="5" max="5" width="8" style="25" customWidth="1"/>
    <col min="6" max="6" width="6.85546875" style="25" customWidth="1"/>
    <col min="7" max="7" width="7.85546875" style="25" customWidth="1"/>
    <col min="8" max="8" width="13.42578125" style="25" customWidth="1"/>
    <col min="9" max="9" width="6.5703125" style="25" customWidth="1"/>
    <col min="10" max="10" width="6.42578125" style="25" customWidth="1"/>
    <col min="11" max="12" width="4.42578125" style="25" customWidth="1"/>
    <col min="13" max="16" width="5" style="25" customWidth="1"/>
    <col min="17" max="17" width="4.85546875" style="25" customWidth="1"/>
    <col min="18" max="18" width="5" style="25" customWidth="1"/>
    <col min="19" max="19" width="8.28515625" style="25" customWidth="1"/>
    <col min="20" max="20" width="6.42578125" style="25" customWidth="1"/>
    <col min="21" max="21" width="8.42578125" style="25" customWidth="1"/>
    <col min="22" max="22" width="9.42578125" style="25" customWidth="1"/>
    <col min="23" max="23" width="10.140625" style="25" customWidth="1"/>
    <col min="24" max="24" width="6.42578125" style="25" customWidth="1"/>
    <col min="25" max="25" width="4.28515625" style="25" customWidth="1"/>
    <col min="26" max="26" width="3.7109375" style="25" customWidth="1"/>
    <col min="27" max="27" width="5.7109375" style="25" customWidth="1"/>
    <col min="28" max="29" width="11.85546875" style="25"/>
    <col min="30" max="30" width="12.5703125" style="25" customWidth="1"/>
    <col min="31" max="16384" width="11.85546875" style="25"/>
  </cols>
  <sheetData>
    <row r="1" spans="1:30" ht="12.75" x14ac:dyDescent="0.2">
      <c r="A1" s="132" t="s">
        <v>0</v>
      </c>
      <c r="B1" s="235">
        <v>2014</v>
      </c>
      <c r="C1" s="132" t="s">
        <v>1</v>
      </c>
      <c r="D1" s="235"/>
      <c r="E1" s="132" t="s">
        <v>2</v>
      </c>
      <c r="F1" s="235"/>
      <c r="G1" s="241" t="s">
        <v>3</v>
      </c>
      <c r="H1" s="235" t="s">
        <v>4</v>
      </c>
      <c r="I1" s="329" t="s">
        <v>5</v>
      </c>
      <c r="J1" s="261"/>
      <c r="K1" s="262"/>
      <c r="L1" s="261"/>
      <c r="M1" s="261"/>
      <c r="N1" s="261"/>
      <c r="O1" s="261"/>
      <c r="P1" s="333" t="s">
        <v>6</v>
      </c>
      <c r="Q1" s="261"/>
      <c r="R1" s="334"/>
      <c r="S1" s="272"/>
      <c r="T1" s="135"/>
      <c r="U1" s="135"/>
      <c r="V1" s="135"/>
      <c r="W1" s="135"/>
      <c r="X1" s="135"/>
      <c r="Y1" s="135"/>
      <c r="Z1" s="136"/>
    </row>
    <row r="2" spans="1:30" ht="27.75" customHeight="1" x14ac:dyDescent="0.2">
      <c r="A2" s="137" t="s">
        <v>8</v>
      </c>
      <c r="B2" s="138" t="s">
        <v>9</v>
      </c>
      <c r="C2" s="138" t="s">
        <v>10</v>
      </c>
      <c r="D2" s="138" t="s">
        <v>11</v>
      </c>
      <c r="E2" s="138" t="s">
        <v>12</v>
      </c>
      <c r="F2" s="138" t="s">
        <v>13</v>
      </c>
      <c r="G2" s="138" t="s">
        <v>14</v>
      </c>
      <c r="H2" s="138" t="s">
        <v>15</v>
      </c>
      <c r="I2" s="138" t="s">
        <v>16</v>
      </c>
      <c r="J2" s="138" t="s">
        <v>17</v>
      </c>
      <c r="K2" s="138" t="s">
        <v>18</v>
      </c>
      <c r="L2" s="335" t="s">
        <v>19</v>
      </c>
      <c r="M2" s="267"/>
      <c r="N2" s="138" t="s">
        <v>20</v>
      </c>
      <c r="O2" s="138" t="s">
        <v>21</v>
      </c>
      <c r="P2" s="138" t="s">
        <v>22</v>
      </c>
      <c r="Q2" s="335" t="s">
        <v>23</v>
      </c>
      <c r="R2" s="336"/>
      <c r="S2" s="139" t="s">
        <v>24</v>
      </c>
      <c r="T2" s="139" t="s">
        <v>25</v>
      </c>
      <c r="U2" s="140" t="s">
        <v>99</v>
      </c>
      <c r="V2" s="139" t="s">
        <v>92</v>
      </c>
      <c r="W2" s="139" t="s">
        <v>93</v>
      </c>
      <c r="X2" s="139" t="s">
        <v>27</v>
      </c>
      <c r="Y2" s="337" t="s">
        <v>28</v>
      </c>
      <c r="Z2" s="270"/>
      <c r="AA2" s="31" t="s">
        <v>89</v>
      </c>
      <c r="AB2" s="31" t="s">
        <v>91</v>
      </c>
      <c r="AC2" s="32" t="s">
        <v>90</v>
      </c>
      <c r="AD2" s="31" t="s">
        <v>95</v>
      </c>
    </row>
    <row r="3" spans="1:30" ht="15.75" customHeight="1" x14ac:dyDescent="0.2">
      <c r="A3" s="71" t="s">
        <v>29</v>
      </c>
      <c r="B3" s="71" t="s">
        <v>29</v>
      </c>
      <c r="C3" s="71" t="s">
        <v>29</v>
      </c>
      <c r="D3" s="71" t="s">
        <v>29</v>
      </c>
      <c r="E3" s="71" t="s">
        <v>29</v>
      </c>
      <c r="F3" s="71" t="s">
        <v>29</v>
      </c>
      <c r="G3" s="71" t="s">
        <v>29</v>
      </c>
      <c r="H3" s="71" t="s">
        <v>29</v>
      </c>
      <c r="I3" s="71" t="s">
        <v>29</v>
      </c>
      <c r="J3" s="71" t="s">
        <v>29</v>
      </c>
      <c r="K3" s="71" t="s">
        <v>29</v>
      </c>
      <c r="L3" s="141" t="s">
        <v>29</v>
      </c>
      <c r="M3" s="141" t="s">
        <v>29</v>
      </c>
      <c r="N3" s="71" t="s">
        <v>29</v>
      </c>
      <c r="O3" s="71" t="s">
        <v>29</v>
      </c>
      <c r="P3" s="142" t="s">
        <v>29</v>
      </c>
      <c r="Q3" s="142" t="s">
        <v>29</v>
      </c>
      <c r="R3" s="142" t="s">
        <v>29</v>
      </c>
      <c r="S3" s="142" t="s">
        <v>29</v>
      </c>
      <c r="T3" s="142" t="s">
        <v>29</v>
      </c>
      <c r="U3" s="71" t="s">
        <v>29</v>
      </c>
      <c r="V3" s="71" t="s">
        <v>29</v>
      </c>
      <c r="W3" s="71" t="s">
        <v>29</v>
      </c>
      <c r="X3" s="142" t="s">
        <v>29</v>
      </c>
      <c r="Y3" s="143" t="s">
        <v>29</v>
      </c>
      <c r="Z3" s="143" t="s">
        <v>29</v>
      </c>
    </row>
    <row r="4" spans="1:30" ht="27.75" customHeight="1" x14ac:dyDescent="0.2">
      <c r="A4" s="68" t="s">
        <v>30</v>
      </c>
      <c r="B4" s="139" t="s">
        <v>9</v>
      </c>
      <c r="C4" s="139" t="s">
        <v>10</v>
      </c>
      <c r="D4" s="139" t="s">
        <v>11</v>
      </c>
      <c r="E4" s="139" t="s">
        <v>12</v>
      </c>
      <c r="F4" s="139" t="s">
        <v>13</v>
      </c>
      <c r="G4" s="139" t="s">
        <v>14</v>
      </c>
      <c r="H4" s="139" t="s">
        <v>15</v>
      </c>
      <c r="I4" s="139" t="s">
        <v>16</v>
      </c>
      <c r="J4" s="139" t="s">
        <v>31</v>
      </c>
      <c r="K4" s="139" t="s">
        <v>32</v>
      </c>
      <c r="L4" s="338" t="s">
        <v>19</v>
      </c>
      <c r="M4" s="336"/>
      <c r="N4" s="139" t="s">
        <v>20</v>
      </c>
      <c r="O4" s="139" t="s">
        <v>21</v>
      </c>
      <c r="P4" s="139" t="s">
        <v>22</v>
      </c>
      <c r="Q4" s="338" t="s">
        <v>23</v>
      </c>
      <c r="R4" s="336"/>
      <c r="S4" s="139" t="s">
        <v>24</v>
      </c>
      <c r="T4" s="139" t="s">
        <v>25</v>
      </c>
      <c r="U4" s="139" t="s">
        <v>26</v>
      </c>
      <c r="V4" s="139" t="s">
        <v>92</v>
      </c>
      <c r="W4" s="139" t="s">
        <v>93</v>
      </c>
      <c r="X4" s="139" t="s">
        <v>27</v>
      </c>
      <c r="Y4" s="338" t="s">
        <v>28</v>
      </c>
      <c r="Z4" s="272"/>
      <c r="AA4" s="31" t="s">
        <v>89</v>
      </c>
      <c r="AB4" s="31" t="s">
        <v>91</v>
      </c>
      <c r="AC4" s="32" t="s">
        <v>90</v>
      </c>
      <c r="AD4" s="31" t="s">
        <v>95</v>
      </c>
    </row>
    <row r="5" spans="1:30" ht="15.75" customHeight="1" x14ac:dyDescent="0.2">
      <c r="A5" s="71" t="s">
        <v>29</v>
      </c>
      <c r="B5" s="71" t="s">
        <v>29</v>
      </c>
      <c r="C5" s="71" t="s">
        <v>29</v>
      </c>
      <c r="D5" s="71" t="s">
        <v>29</v>
      </c>
      <c r="E5" s="71" t="s">
        <v>29</v>
      </c>
      <c r="F5" s="71" t="s">
        <v>29</v>
      </c>
      <c r="G5" s="71" t="s">
        <v>29</v>
      </c>
      <c r="H5" s="71" t="s">
        <v>29</v>
      </c>
      <c r="I5" s="80" t="s">
        <v>29</v>
      </c>
      <c r="J5" s="80" t="s">
        <v>29</v>
      </c>
      <c r="K5" s="80" t="s">
        <v>29</v>
      </c>
      <c r="L5" s="91" t="s">
        <v>29</v>
      </c>
      <c r="M5" s="91" t="s">
        <v>29</v>
      </c>
      <c r="N5" s="80" t="s">
        <v>29</v>
      </c>
      <c r="O5" s="80" t="s">
        <v>29</v>
      </c>
      <c r="P5" s="145" t="s">
        <v>29</v>
      </c>
      <c r="Q5" s="145" t="s">
        <v>29</v>
      </c>
      <c r="R5" s="142" t="s">
        <v>29</v>
      </c>
      <c r="S5" s="142" t="s">
        <v>29</v>
      </c>
      <c r="T5" s="142" t="s">
        <v>29</v>
      </c>
      <c r="U5" s="71" t="s">
        <v>29</v>
      </c>
      <c r="V5" s="71" t="s">
        <v>29</v>
      </c>
      <c r="W5" s="71" t="s">
        <v>29</v>
      </c>
      <c r="X5" s="142" t="s">
        <v>29</v>
      </c>
      <c r="Y5" s="142" t="s">
        <v>29</v>
      </c>
      <c r="Z5" s="142" t="s">
        <v>29</v>
      </c>
    </row>
    <row r="6" spans="1:30" ht="16.5" customHeight="1" x14ac:dyDescent="0.2">
      <c r="A6" s="149" t="s">
        <v>33</v>
      </c>
      <c r="B6" s="139" t="s">
        <v>9</v>
      </c>
      <c r="C6" s="239" t="s">
        <v>34</v>
      </c>
      <c r="D6" s="239" t="s">
        <v>35</v>
      </c>
      <c r="E6" s="239" t="s">
        <v>36</v>
      </c>
      <c r="F6" s="239" t="s">
        <v>37</v>
      </c>
      <c r="G6" s="239" t="s">
        <v>38</v>
      </c>
      <c r="H6" s="190" t="s">
        <v>39</v>
      </c>
      <c r="I6" s="240" t="s">
        <v>9</v>
      </c>
      <c r="J6" s="339" t="s">
        <v>40</v>
      </c>
      <c r="K6" s="339"/>
      <c r="L6" s="339" t="s">
        <v>41</v>
      </c>
      <c r="M6" s="339"/>
      <c r="N6" s="339" t="s">
        <v>42</v>
      </c>
      <c r="O6" s="339"/>
      <c r="P6" s="339" t="s">
        <v>43</v>
      </c>
      <c r="Q6" s="339"/>
      <c r="R6" s="35"/>
      <c r="S6" s="340" t="s">
        <v>44</v>
      </c>
      <c r="T6" s="275"/>
      <c r="U6" s="275"/>
      <c r="V6" s="275"/>
      <c r="W6" s="275"/>
      <c r="X6" s="275"/>
      <c r="Y6" s="275"/>
      <c r="Z6" s="336"/>
    </row>
    <row r="7" spans="1:30" ht="15.75" customHeight="1" x14ac:dyDescent="0.2">
      <c r="A7" s="154" t="s">
        <v>45</v>
      </c>
      <c r="B7" s="142"/>
      <c r="C7" s="155"/>
      <c r="D7" s="155"/>
      <c r="E7" s="155"/>
      <c r="F7" s="155"/>
      <c r="G7" s="156" t="e">
        <f>AVERAGE(C7:F7)</f>
        <v>#DIV/0!</v>
      </c>
      <c r="H7" s="157" t="s">
        <v>46</v>
      </c>
      <c r="I7" s="158"/>
      <c r="J7" s="276" t="s">
        <v>29</v>
      </c>
      <c r="K7" s="267"/>
      <c r="L7" s="346" t="s">
        <v>29</v>
      </c>
      <c r="M7" s="267"/>
      <c r="N7" s="346" t="s">
        <v>29</v>
      </c>
      <c r="O7" s="267"/>
      <c r="P7" s="347" t="s">
        <v>29</v>
      </c>
      <c r="Q7" s="267"/>
      <c r="R7" s="159" t="s">
        <v>47</v>
      </c>
      <c r="S7" s="160"/>
      <c r="T7" s="237" t="s">
        <v>29</v>
      </c>
      <c r="U7" s="348" t="s">
        <v>48</v>
      </c>
      <c r="V7" s="348"/>
      <c r="W7" s="348"/>
      <c r="X7" s="349" t="s">
        <v>29</v>
      </c>
      <c r="Y7" s="350"/>
      <c r="Z7" s="351"/>
    </row>
    <row r="8" spans="1:30" ht="15.75" customHeight="1" x14ac:dyDescent="0.2">
      <c r="A8" s="161" t="s">
        <v>49</v>
      </c>
      <c r="B8" s="142" t="s">
        <v>29</v>
      </c>
      <c r="C8" s="142" t="s">
        <v>29</v>
      </c>
      <c r="D8" s="142" t="s">
        <v>29</v>
      </c>
      <c r="E8" s="142" t="s">
        <v>29</v>
      </c>
      <c r="F8" s="142" t="s">
        <v>29</v>
      </c>
      <c r="G8" s="239"/>
      <c r="H8" s="157" t="s">
        <v>50</v>
      </c>
      <c r="I8" s="163">
        <v>40756</v>
      </c>
      <c r="J8" s="341">
        <f>IF(((I8-C16)&gt;0),(I8-C16),"/")</f>
        <v>40756</v>
      </c>
      <c r="K8" s="336"/>
      <c r="L8" s="341">
        <f>IF(((I8-D16)&gt;0),(I8-D16),"/")</f>
        <v>40756</v>
      </c>
      <c r="M8" s="336"/>
      <c r="N8" s="341">
        <f>IF(((I8-E16)&gt;0),(I8-E16),"/")</f>
        <v>40756</v>
      </c>
      <c r="O8" s="336"/>
      <c r="P8" s="341">
        <f>IF(((I8-F16)&gt;0),(I8-F16),"/")</f>
        <v>40756</v>
      </c>
      <c r="Q8" s="336"/>
      <c r="R8" s="164" t="s">
        <v>51</v>
      </c>
      <c r="S8" s="165"/>
      <c r="T8" s="237" t="s">
        <v>29</v>
      </c>
      <c r="U8" s="342" t="s">
        <v>52</v>
      </c>
      <c r="V8" s="342"/>
      <c r="W8" s="342"/>
      <c r="X8" s="343" t="s">
        <v>29</v>
      </c>
      <c r="Y8" s="344"/>
      <c r="Z8" s="345"/>
    </row>
    <row r="9" spans="1:30" ht="15.75" customHeight="1" x14ac:dyDescent="0.2">
      <c r="A9" s="161" t="s">
        <v>49</v>
      </c>
      <c r="B9" s="142" t="s">
        <v>29</v>
      </c>
      <c r="C9" s="142" t="s">
        <v>29</v>
      </c>
      <c r="D9" s="142" t="s">
        <v>29</v>
      </c>
      <c r="E9" s="142" t="s">
        <v>29</v>
      </c>
      <c r="F9" s="142" t="s">
        <v>29</v>
      </c>
      <c r="G9" s="239"/>
      <c r="H9" s="157" t="s">
        <v>53</v>
      </c>
      <c r="I9" s="179"/>
      <c r="J9" s="355" t="s">
        <v>29</v>
      </c>
      <c r="K9" s="336"/>
      <c r="L9" s="356" t="s">
        <v>29</v>
      </c>
      <c r="M9" s="336"/>
      <c r="N9" s="356" t="s">
        <v>29</v>
      </c>
      <c r="O9" s="336"/>
      <c r="P9" s="357" t="s">
        <v>29</v>
      </c>
      <c r="Q9" s="336"/>
      <c r="R9" s="164" t="s">
        <v>54</v>
      </c>
      <c r="S9" s="165"/>
      <c r="T9" s="237" t="s">
        <v>29</v>
      </c>
      <c r="U9" s="342" t="s">
        <v>55</v>
      </c>
      <c r="V9" s="342"/>
      <c r="W9" s="342"/>
      <c r="X9" s="343" t="s">
        <v>29</v>
      </c>
      <c r="Y9" s="344"/>
      <c r="Z9" s="345"/>
    </row>
    <row r="10" spans="1:30" ht="15" customHeight="1" x14ac:dyDescent="0.2">
      <c r="A10" s="161" t="s">
        <v>49</v>
      </c>
      <c r="B10" s="142" t="s">
        <v>29</v>
      </c>
      <c r="C10" s="142" t="s">
        <v>29</v>
      </c>
      <c r="D10" s="142" t="s">
        <v>29</v>
      </c>
      <c r="E10" s="142" t="s">
        <v>29</v>
      </c>
      <c r="F10" s="142" t="s">
        <v>29</v>
      </c>
      <c r="G10" s="239"/>
      <c r="H10" s="157" t="s">
        <v>56</v>
      </c>
      <c r="I10" s="167"/>
      <c r="J10" s="352" t="s">
        <v>29</v>
      </c>
      <c r="K10" s="336"/>
      <c r="L10" s="353" t="s">
        <v>29</v>
      </c>
      <c r="M10" s="336"/>
      <c r="N10" s="353" t="s">
        <v>29</v>
      </c>
      <c r="O10" s="336"/>
      <c r="P10" s="354" t="s">
        <v>29</v>
      </c>
      <c r="Q10" s="336"/>
      <c r="R10" s="164" t="s">
        <v>57</v>
      </c>
      <c r="S10" s="165"/>
      <c r="T10" s="237" t="s">
        <v>29</v>
      </c>
      <c r="U10" s="342" t="s">
        <v>58</v>
      </c>
      <c r="V10" s="342"/>
      <c r="W10" s="342"/>
      <c r="X10" s="343" t="s">
        <v>29</v>
      </c>
      <c r="Y10" s="344"/>
      <c r="Z10" s="345"/>
    </row>
    <row r="11" spans="1:30" ht="15" customHeight="1" x14ac:dyDescent="0.2">
      <c r="A11" s="161" t="s">
        <v>49</v>
      </c>
      <c r="B11" s="142" t="s">
        <v>29</v>
      </c>
      <c r="C11" s="142" t="s">
        <v>29</v>
      </c>
      <c r="D11" s="142" t="s">
        <v>29</v>
      </c>
      <c r="E11" s="142" t="s">
        <v>29</v>
      </c>
      <c r="F11" s="142" t="s">
        <v>29</v>
      </c>
      <c r="G11" s="239"/>
      <c r="H11" s="157" t="s">
        <v>59</v>
      </c>
      <c r="I11" s="163">
        <v>40767</v>
      </c>
      <c r="J11" s="341">
        <f>I11-C16</f>
        <v>40767</v>
      </c>
      <c r="K11" s="336"/>
      <c r="L11" s="341">
        <f>I11-D16</f>
        <v>40767</v>
      </c>
      <c r="M11" s="336"/>
      <c r="N11" s="341">
        <f>I11-E16</f>
        <v>40767</v>
      </c>
      <c r="O11" s="336"/>
      <c r="P11" s="362">
        <f>I11-F16</f>
        <v>40767</v>
      </c>
      <c r="Q11" s="336"/>
      <c r="R11" s="164" t="s">
        <v>60</v>
      </c>
      <c r="S11" s="165"/>
      <c r="T11" s="237" t="s">
        <v>29</v>
      </c>
      <c r="U11" s="342" t="s">
        <v>61</v>
      </c>
      <c r="V11" s="342"/>
      <c r="W11" s="342"/>
      <c r="X11" s="343" t="s">
        <v>29</v>
      </c>
      <c r="Y11" s="344"/>
      <c r="Z11" s="345"/>
    </row>
    <row r="12" spans="1:30" ht="15.75" customHeight="1" x14ac:dyDescent="0.2">
      <c r="A12" s="161" t="s">
        <v>49</v>
      </c>
      <c r="B12" s="142" t="s">
        <v>29</v>
      </c>
      <c r="C12" s="142" t="s">
        <v>29</v>
      </c>
      <c r="D12" s="142" t="s">
        <v>29</v>
      </c>
      <c r="E12" s="142" t="s">
        <v>29</v>
      </c>
      <c r="F12" s="142" t="s">
        <v>29</v>
      </c>
      <c r="G12" s="239"/>
      <c r="H12" s="157" t="s">
        <v>62</v>
      </c>
      <c r="I12" s="179"/>
      <c r="J12" s="355" t="s">
        <v>29</v>
      </c>
      <c r="K12" s="336"/>
      <c r="L12" s="356" t="s">
        <v>29</v>
      </c>
      <c r="M12" s="336"/>
      <c r="N12" s="356" t="s">
        <v>29</v>
      </c>
      <c r="O12" s="336"/>
      <c r="P12" s="357" t="s">
        <v>29</v>
      </c>
      <c r="Q12" s="336"/>
      <c r="R12" s="164" t="s">
        <v>63</v>
      </c>
      <c r="S12" s="165"/>
      <c r="T12" s="168" t="s">
        <v>29</v>
      </c>
      <c r="U12" s="358" t="s">
        <v>64</v>
      </c>
      <c r="V12" s="358"/>
      <c r="W12" s="358"/>
      <c r="X12" s="359" t="s">
        <v>29</v>
      </c>
      <c r="Y12" s="360"/>
      <c r="Z12" s="361"/>
    </row>
    <row r="13" spans="1:30" ht="15.75" customHeight="1" x14ac:dyDescent="0.2">
      <c r="A13" s="161" t="s">
        <v>49</v>
      </c>
      <c r="B13" s="142" t="s">
        <v>29</v>
      </c>
      <c r="C13" s="142" t="s">
        <v>29</v>
      </c>
      <c r="D13" s="142" t="s">
        <v>29</v>
      </c>
      <c r="E13" s="142" t="s">
        <v>29</v>
      </c>
      <c r="F13" s="142" t="s">
        <v>29</v>
      </c>
      <c r="G13" s="239"/>
      <c r="H13" s="157" t="s">
        <v>65</v>
      </c>
      <c r="I13" s="167"/>
      <c r="J13" s="352" t="s">
        <v>29</v>
      </c>
      <c r="K13" s="336"/>
      <c r="L13" s="353" t="s">
        <v>29</v>
      </c>
      <c r="M13" s="336"/>
      <c r="N13" s="353" t="s">
        <v>29</v>
      </c>
      <c r="O13" s="336"/>
      <c r="P13" s="354" t="s">
        <v>29</v>
      </c>
      <c r="Q13" s="272"/>
      <c r="R13" s="329" t="s">
        <v>66</v>
      </c>
      <c r="S13" s="329"/>
      <c r="T13" s="329"/>
      <c r="U13" s="329"/>
      <c r="V13" s="329"/>
      <c r="W13" s="329"/>
      <c r="X13" s="329"/>
      <c r="Y13" s="329"/>
      <c r="Z13" s="329"/>
    </row>
    <row r="14" spans="1:30" ht="15.75" customHeight="1" x14ac:dyDescent="0.2">
      <c r="A14" s="161" t="s">
        <v>49</v>
      </c>
      <c r="B14" s="142" t="s">
        <v>29</v>
      </c>
      <c r="C14" s="142" t="s">
        <v>29</v>
      </c>
      <c r="D14" s="142" t="s">
        <v>29</v>
      </c>
      <c r="E14" s="142" t="s">
        <v>29</v>
      </c>
      <c r="F14" s="142" t="s">
        <v>29</v>
      </c>
      <c r="G14" s="239"/>
      <c r="H14" s="157" t="s">
        <v>67</v>
      </c>
      <c r="I14" s="167"/>
      <c r="J14" s="352" t="s">
        <v>29</v>
      </c>
      <c r="K14" s="336"/>
      <c r="L14" s="353" t="s">
        <v>29</v>
      </c>
      <c r="M14" s="336"/>
      <c r="N14" s="353" t="s">
        <v>29</v>
      </c>
      <c r="O14" s="336"/>
      <c r="P14" s="354" t="s">
        <v>29</v>
      </c>
      <c r="Q14" s="272"/>
      <c r="R14" s="329"/>
      <c r="S14" s="329"/>
      <c r="T14" s="329"/>
      <c r="U14" s="329"/>
      <c r="V14" s="329"/>
      <c r="W14" s="329"/>
      <c r="X14" s="329"/>
      <c r="Y14" s="329"/>
      <c r="Z14" s="329"/>
    </row>
    <row r="15" spans="1:30" ht="15.75" customHeight="1" x14ac:dyDescent="0.2">
      <c r="A15" s="161" t="s">
        <v>49</v>
      </c>
      <c r="B15" s="142" t="s">
        <v>29</v>
      </c>
      <c r="C15" s="142" t="s">
        <v>29</v>
      </c>
      <c r="D15" s="142" t="s">
        <v>29</v>
      </c>
      <c r="E15" s="142" t="s">
        <v>29</v>
      </c>
      <c r="F15" s="142" t="s">
        <v>29</v>
      </c>
      <c r="G15" s="239"/>
      <c r="H15" s="157" t="s">
        <v>68</v>
      </c>
      <c r="I15" s="167"/>
      <c r="J15" s="352" t="s">
        <v>29</v>
      </c>
      <c r="K15" s="336"/>
      <c r="L15" s="353" t="s">
        <v>29</v>
      </c>
      <c r="M15" s="336"/>
      <c r="N15" s="353" t="s">
        <v>29</v>
      </c>
      <c r="O15" s="336"/>
      <c r="P15" s="363" t="s">
        <v>29</v>
      </c>
      <c r="Q15" s="293"/>
      <c r="R15" s="409" t="s">
        <v>178</v>
      </c>
      <c r="S15" s="409"/>
      <c r="T15" s="409"/>
      <c r="U15" s="409"/>
      <c r="V15" s="409"/>
      <c r="W15" s="409"/>
      <c r="X15" s="409"/>
      <c r="Y15" s="409"/>
      <c r="Z15" s="410"/>
    </row>
    <row r="16" spans="1:30" ht="15.75" customHeight="1" x14ac:dyDescent="0.2">
      <c r="A16" s="171" t="s">
        <v>69</v>
      </c>
      <c r="B16" s="142"/>
      <c r="C16" s="155"/>
      <c r="D16" s="155"/>
      <c r="E16" s="155"/>
      <c r="F16" s="155"/>
      <c r="G16" s="156" t="e">
        <f>AVERAGE(C16:F16)</f>
        <v>#DIV/0!</v>
      </c>
      <c r="H16" s="157" t="s">
        <v>70</v>
      </c>
      <c r="I16" s="163">
        <v>40770</v>
      </c>
      <c r="J16" s="364">
        <f>I16-C16</f>
        <v>40770</v>
      </c>
      <c r="K16" s="336"/>
      <c r="L16" s="364">
        <f>I16-D16</f>
        <v>40770</v>
      </c>
      <c r="M16" s="336"/>
      <c r="N16" s="364">
        <f>I16-E16</f>
        <v>40770</v>
      </c>
      <c r="O16" s="272"/>
      <c r="P16" s="365">
        <f>I16-F16</f>
        <v>40770</v>
      </c>
      <c r="Q16" s="261"/>
      <c r="R16" s="411"/>
      <c r="S16" s="411"/>
      <c r="T16" s="411"/>
      <c r="U16" s="411"/>
      <c r="V16" s="411"/>
      <c r="W16" s="411"/>
      <c r="X16" s="411"/>
      <c r="Y16" s="411"/>
      <c r="Z16" s="412"/>
    </row>
    <row r="17" spans="1:26" ht="15.75" customHeight="1" x14ac:dyDescent="0.2">
      <c r="A17" s="338" t="s">
        <v>71</v>
      </c>
      <c r="B17" s="368"/>
      <c r="C17" s="172">
        <f>C16-C7</f>
        <v>0</v>
      </c>
      <c r="D17" s="172">
        <f>D16-D7</f>
        <v>0</v>
      </c>
      <c r="E17" s="172">
        <f>E16-E7</f>
        <v>0</v>
      </c>
      <c r="F17" s="172">
        <f>F16-F7</f>
        <v>0</v>
      </c>
      <c r="G17" s="173">
        <f>AVERAGE(C17:E17)</f>
        <v>0</v>
      </c>
      <c r="H17" s="157" t="s">
        <v>72</v>
      </c>
      <c r="I17" s="179"/>
      <c r="J17" s="357" t="s">
        <v>29</v>
      </c>
      <c r="K17" s="336"/>
      <c r="L17" s="356" t="s">
        <v>29</v>
      </c>
      <c r="M17" s="336"/>
      <c r="N17" s="366" t="s">
        <v>29</v>
      </c>
      <c r="O17" s="272"/>
      <c r="P17" s="367" t="s">
        <v>29</v>
      </c>
      <c r="Q17" s="261"/>
      <c r="R17" s="411"/>
      <c r="S17" s="411"/>
      <c r="T17" s="411"/>
      <c r="U17" s="411"/>
      <c r="V17" s="411"/>
      <c r="W17" s="411"/>
      <c r="X17" s="411"/>
      <c r="Y17" s="411"/>
      <c r="Z17" s="412"/>
    </row>
    <row r="18" spans="1:26" ht="15.75" customHeight="1" x14ac:dyDescent="0.2">
      <c r="A18" s="340" t="s">
        <v>73</v>
      </c>
      <c r="B18" s="340"/>
      <c r="C18" s="339" t="s">
        <v>40</v>
      </c>
      <c r="D18" s="339" t="s">
        <v>41</v>
      </c>
      <c r="E18" s="339" t="s">
        <v>42</v>
      </c>
      <c r="F18" s="339" t="s">
        <v>43</v>
      </c>
      <c r="G18" s="339" t="s">
        <v>38</v>
      </c>
      <c r="H18" s="167" t="s">
        <v>78</v>
      </c>
      <c r="I18" s="167"/>
      <c r="J18" s="354" t="s">
        <v>29</v>
      </c>
      <c r="K18" s="336"/>
      <c r="L18" s="353" t="s">
        <v>29</v>
      </c>
      <c r="M18" s="336"/>
      <c r="N18" s="370" t="s">
        <v>29</v>
      </c>
      <c r="O18" s="272"/>
      <c r="P18" s="371" t="s">
        <v>29</v>
      </c>
      <c r="Q18" s="261"/>
      <c r="R18" s="411"/>
      <c r="S18" s="411"/>
      <c r="T18" s="411"/>
      <c r="U18" s="411"/>
      <c r="V18" s="411"/>
      <c r="W18" s="411"/>
      <c r="X18" s="411"/>
      <c r="Y18" s="411"/>
      <c r="Z18" s="412"/>
    </row>
    <row r="19" spans="1:26" ht="15" customHeight="1" x14ac:dyDescent="0.2">
      <c r="A19" s="369"/>
      <c r="B19" s="369"/>
      <c r="C19" s="261"/>
      <c r="D19" s="261"/>
      <c r="E19" s="261"/>
      <c r="F19" s="261"/>
      <c r="G19" s="261"/>
      <c r="H19" s="167" t="s">
        <v>67</v>
      </c>
      <c r="I19" s="167"/>
      <c r="J19" s="354" t="s">
        <v>29</v>
      </c>
      <c r="K19" s="336"/>
      <c r="L19" s="353" t="s">
        <v>29</v>
      </c>
      <c r="M19" s="336"/>
      <c r="N19" s="370" t="s">
        <v>29</v>
      </c>
      <c r="O19" s="272"/>
      <c r="P19" s="371" t="s">
        <v>29</v>
      </c>
      <c r="Q19" s="261"/>
      <c r="R19" s="411"/>
      <c r="S19" s="411"/>
      <c r="T19" s="411"/>
      <c r="U19" s="411"/>
      <c r="V19" s="411"/>
      <c r="W19" s="411"/>
      <c r="X19" s="411"/>
      <c r="Y19" s="411"/>
      <c r="Z19" s="412"/>
    </row>
    <row r="20" spans="1:26" ht="15.75" customHeight="1" x14ac:dyDescent="0.2">
      <c r="A20" s="372" t="s">
        <v>79</v>
      </c>
      <c r="B20" s="373"/>
      <c r="C20" s="122" t="s">
        <v>29</v>
      </c>
      <c r="D20" s="122" t="s">
        <v>29</v>
      </c>
      <c r="E20" s="122" t="s">
        <v>29</v>
      </c>
      <c r="F20" s="122" t="s">
        <v>29</v>
      </c>
      <c r="G20" s="122" t="s">
        <v>29</v>
      </c>
      <c r="H20" s="157" t="s">
        <v>68</v>
      </c>
      <c r="I20" s="167"/>
      <c r="J20" s="354" t="s">
        <v>29</v>
      </c>
      <c r="K20" s="336"/>
      <c r="L20" s="353" t="s">
        <v>29</v>
      </c>
      <c r="M20" s="336"/>
      <c r="N20" s="370" t="s">
        <v>29</v>
      </c>
      <c r="O20" s="272"/>
      <c r="P20" s="371" t="s">
        <v>29</v>
      </c>
      <c r="Q20" s="261"/>
      <c r="R20" s="411"/>
      <c r="S20" s="411"/>
      <c r="T20" s="411"/>
      <c r="U20" s="411"/>
      <c r="V20" s="411"/>
      <c r="W20" s="411"/>
      <c r="X20" s="411"/>
      <c r="Y20" s="411"/>
      <c r="Z20" s="412"/>
    </row>
    <row r="21" spans="1:26" ht="15.75" customHeight="1" x14ac:dyDescent="0.2">
      <c r="A21" s="372" t="s">
        <v>46</v>
      </c>
      <c r="B21" s="373"/>
      <c r="C21" s="71" t="s">
        <v>29</v>
      </c>
      <c r="D21" s="71" t="s">
        <v>29</v>
      </c>
      <c r="E21" s="71" t="s">
        <v>29</v>
      </c>
      <c r="F21" s="71" t="s">
        <v>29</v>
      </c>
      <c r="G21" s="71" t="s">
        <v>29</v>
      </c>
      <c r="H21" s="176" t="s">
        <v>80</v>
      </c>
      <c r="I21" s="163">
        <v>40775</v>
      </c>
      <c r="J21" s="364">
        <f>I21-C16</f>
        <v>40775</v>
      </c>
      <c r="K21" s="336"/>
      <c r="L21" s="364">
        <f>I21-D16</f>
        <v>40775</v>
      </c>
      <c r="M21" s="336"/>
      <c r="N21" s="364">
        <f>I21-E16</f>
        <v>40775</v>
      </c>
      <c r="O21" s="272"/>
      <c r="P21" s="365">
        <f>I21-F16</f>
        <v>40775</v>
      </c>
      <c r="Q21" s="261"/>
      <c r="R21" s="411"/>
      <c r="S21" s="411"/>
      <c r="T21" s="411"/>
      <c r="U21" s="411"/>
      <c r="V21" s="411"/>
      <c r="W21" s="411"/>
      <c r="X21" s="411"/>
      <c r="Y21" s="411"/>
      <c r="Z21" s="412"/>
    </row>
    <row r="22" spans="1:26" ht="15.75" customHeight="1" x14ac:dyDescent="0.2">
      <c r="A22" s="372" t="s">
        <v>81</v>
      </c>
      <c r="B22" s="373"/>
      <c r="C22" s="71" t="s">
        <v>29</v>
      </c>
      <c r="D22" s="71" t="s">
        <v>29</v>
      </c>
      <c r="E22" s="71" t="s">
        <v>29</v>
      </c>
      <c r="F22" s="71" t="s">
        <v>29</v>
      </c>
      <c r="G22" s="237" t="s">
        <v>29</v>
      </c>
      <c r="H22" s="178" t="s">
        <v>82</v>
      </c>
      <c r="I22" s="179"/>
      <c r="J22" s="357" t="s">
        <v>29</v>
      </c>
      <c r="K22" s="336"/>
      <c r="L22" s="356" t="s">
        <v>29</v>
      </c>
      <c r="M22" s="336"/>
      <c r="N22" s="366" t="s">
        <v>29</v>
      </c>
      <c r="O22" s="272"/>
      <c r="P22" s="367" t="s">
        <v>29</v>
      </c>
      <c r="Q22" s="261"/>
      <c r="R22" s="411"/>
      <c r="S22" s="411"/>
      <c r="T22" s="411"/>
      <c r="U22" s="411"/>
      <c r="V22" s="411"/>
      <c r="W22" s="411"/>
      <c r="X22" s="411"/>
      <c r="Y22" s="411"/>
      <c r="Z22" s="412"/>
    </row>
    <row r="23" spans="1:26" ht="15.75" customHeight="1" x14ac:dyDescent="0.2">
      <c r="A23" s="372" t="s">
        <v>12</v>
      </c>
      <c r="B23" s="373"/>
      <c r="C23" s="71" t="s">
        <v>29</v>
      </c>
      <c r="D23" s="71" t="s">
        <v>29</v>
      </c>
      <c r="E23" s="71" t="s">
        <v>29</v>
      </c>
      <c r="F23" s="71" t="s">
        <v>29</v>
      </c>
      <c r="G23" s="237" t="s">
        <v>29</v>
      </c>
      <c r="H23" s="178" t="s">
        <v>83</v>
      </c>
      <c r="I23" s="179"/>
      <c r="J23" s="357" t="s">
        <v>29</v>
      </c>
      <c r="K23" s="336"/>
      <c r="L23" s="356" t="s">
        <v>29</v>
      </c>
      <c r="M23" s="336"/>
      <c r="N23" s="366" t="s">
        <v>29</v>
      </c>
      <c r="O23" s="272"/>
      <c r="P23" s="367" t="s">
        <v>29</v>
      </c>
      <c r="Q23" s="261"/>
      <c r="R23" s="411"/>
      <c r="S23" s="411"/>
      <c r="T23" s="411"/>
      <c r="U23" s="411"/>
      <c r="V23" s="411"/>
      <c r="W23" s="411"/>
      <c r="X23" s="411"/>
      <c r="Y23" s="411"/>
      <c r="Z23" s="412"/>
    </row>
    <row r="24" spans="1:26" ht="15.75" customHeight="1" x14ac:dyDescent="0.2">
      <c r="A24" s="372" t="s">
        <v>84</v>
      </c>
      <c r="B24" s="373"/>
      <c r="C24" s="71" t="s">
        <v>29</v>
      </c>
      <c r="D24" s="71" t="s">
        <v>29</v>
      </c>
      <c r="E24" s="71" t="s">
        <v>29</v>
      </c>
      <c r="F24" s="71" t="s">
        <v>29</v>
      </c>
      <c r="G24" s="237" t="s">
        <v>29</v>
      </c>
      <c r="H24" s="178" t="s">
        <v>67</v>
      </c>
      <c r="I24" s="167"/>
      <c r="J24" s="354" t="s">
        <v>29</v>
      </c>
      <c r="K24" s="336"/>
      <c r="L24" s="372" t="s">
        <v>29</v>
      </c>
      <c r="M24" s="336"/>
      <c r="N24" s="380" t="s">
        <v>29</v>
      </c>
      <c r="O24" s="272"/>
      <c r="P24" s="371" t="s">
        <v>29</v>
      </c>
      <c r="Q24" s="261"/>
      <c r="R24" s="411"/>
      <c r="S24" s="411"/>
      <c r="T24" s="411"/>
      <c r="U24" s="411"/>
      <c r="V24" s="411"/>
      <c r="W24" s="411"/>
      <c r="X24" s="411"/>
      <c r="Y24" s="411"/>
      <c r="Z24" s="412"/>
    </row>
    <row r="25" spans="1:26" ht="15.75" customHeight="1" x14ac:dyDescent="0.2">
      <c r="A25" s="372" t="s">
        <v>11</v>
      </c>
      <c r="B25" s="373"/>
      <c r="C25" s="71" t="s">
        <v>29</v>
      </c>
      <c r="D25" s="71" t="s">
        <v>29</v>
      </c>
      <c r="E25" s="71" t="s">
        <v>29</v>
      </c>
      <c r="F25" s="71" t="s">
        <v>29</v>
      </c>
      <c r="G25" s="237" t="s">
        <v>29</v>
      </c>
      <c r="H25" s="178" t="s">
        <v>68</v>
      </c>
      <c r="I25" s="167"/>
      <c r="J25" s="354" t="s">
        <v>29</v>
      </c>
      <c r="K25" s="336"/>
      <c r="L25" s="372" t="s">
        <v>29</v>
      </c>
      <c r="M25" s="336"/>
      <c r="N25" s="380" t="s">
        <v>29</v>
      </c>
      <c r="O25" s="272"/>
      <c r="P25" s="371" t="s">
        <v>29</v>
      </c>
      <c r="Q25" s="261"/>
      <c r="R25" s="411"/>
      <c r="S25" s="411"/>
      <c r="T25" s="411"/>
      <c r="U25" s="411"/>
      <c r="V25" s="411"/>
      <c r="W25" s="411"/>
      <c r="X25" s="411"/>
      <c r="Y25" s="411"/>
      <c r="Z25" s="412"/>
    </row>
    <row r="26" spans="1:26" ht="15.75" customHeight="1" x14ac:dyDescent="0.2">
      <c r="A26" s="374" t="s">
        <v>85</v>
      </c>
      <c r="B26" s="375"/>
      <c r="C26" s="71" t="s">
        <v>29</v>
      </c>
      <c r="D26" s="71" t="s">
        <v>29</v>
      </c>
      <c r="E26" s="71" t="s">
        <v>29</v>
      </c>
      <c r="F26" s="71" t="s">
        <v>29</v>
      </c>
      <c r="G26" s="237" t="s">
        <v>29</v>
      </c>
      <c r="H26" s="178" t="s">
        <v>86</v>
      </c>
      <c r="I26" s="179"/>
      <c r="J26" s="357" t="s">
        <v>29</v>
      </c>
      <c r="K26" s="336"/>
      <c r="L26" s="376" t="s">
        <v>29</v>
      </c>
      <c r="M26" s="336"/>
      <c r="N26" s="377" t="s">
        <v>29</v>
      </c>
      <c r="O26" s="272"/>
      <c r="P26" s="367" t="s">
        <v>29</v>
      </c>
      <c r="Q26" s="261"/>
      <c r="R26" s="411"/>
      <c r="S26" s="411"/>
      <c r="T26" s="411"/>
      <c r="U26" s="411"/>
      <c r="V26" s="411"/>
      <c r="W26" s="411"/>
      <c r="X26" s="411"/>
      <c r="Y26" s="411"/>
      <c r="Z26" s="412"/>
    </row>
    <row r="27" spans="1:26" ht="15.75" customHeight="1" x14ac:dyDescent="0.2">
      <c r="A27" s="378" t="s">
        <v>87</v>
      </c>
      <c r="B27" s="379"/>
      <c r="C27" s="71" t="s">
        <v>29</v>
      </c>
      <c r="D27" s="71" t="s">
        <v>29</v>
      </c>
      <c r="E27" s="71" t="s">
        <v>29</v>
      </c>
      <c r="F27" s="71" t="s">
        <v>29</v>
      </c>
      <c r="G27" s="237" t="s">
        <v>29</v>
      </c>
      <c r="H27" s="178" t="s">
        <v>88</v>
      </c>
      <c r="I27" s="179"/>
      <c r="J27" s="357" t="s">
        <v>29</v>
      </c>
      <c r="K27" s="336"/>
      <c r="L27" s="356" t="s">
        <v>29</v>
      </c>
      <c r="M27" s="336"/>
      <c r="N27" s="366" t="s">
        <v>29</v>
      </c>
      <c r="O27" s="272"/>
      <c r="P27" s="367" t="s">
        <v>29</v>
      </c>
      <c r="Q27" s="261"/>
      <c r="R27" s="411"/>
      <c r="S27" s="411"/>
      <c r="T27" s="411"/>
      <c r="U27" s="411"/>
      <c r="V27" s="411"/>
      <c r="W27" s="411"/>
      <c r="X27" s="411"/>
      <c r="Y27" s="411"/>
      <c r="Z27" s="412"/>
    </row>
    <row r="28" spans="1:26" ht="15.75" customHeight="1" x14ac:dyDescent="0.2">
      <c r="A28" s="63"/>
      <c r="B28" s="7"/>
      <c r="C28" s="4"/>
      <c r="D28" s="4"/>
      <c r="E28" s="4"/>
      <c r="F28" s="4"/>
      <c r="G28" s="4"/>
      <c r="H28" s="46"/>
      <c r="I28" s="4"/>
      <c r="J28" s="4"/>
      <c r="K28" s="4"/>
      <c r="L28" s="4"/>
      <c r="M28" s="4"/>
      <c r="N28" s="4"/>
      <c r="O28" s="4"/>
      <c r="P28" s="46"/>
      <c r="Q28" s="46"/>
      <c r="R28" s="53"/>
      <c r="S28" s="30"/>
      <c r="T28" s="4"/>
      <c r="U28" s="4"/>
      <c r="V28" s="4"/>
      <c r="W28" s="26"/>
      <c r="X28" s="4"/>
      <c r="Y28" s="4"/>
      <c r="Z28" s="4"/>
    </row>
  </sheetData>
  <mergeCells count="1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Z27"/>
    <mergeCell ref="J16:K16"/>
    <mergeCell ref="L16:M16"/>
    <mergeCell ref="N16:O16"/>
    <mergeCell ref="P16:Q16"/>
    <mergeCell ref="J13:K13"/>
    <mergeCell ref="L13:M13"/>
    <mergeCell ref="N13:O13"/>
    <mergeCell ref="P13:Q13"/>
    <mergeCell ref="R13:Z14"/>
    <mergeCell ref="J14:K14"/>
    <mergeCell ref="L14:M14"/>
    <mergeCell ref="N14:O14"/>
    <mergeCell ref="P14:Q14"/>
    <mergeCell ref="J12:K12"/>
    <mergeCell ref="L12:M12"/>
    <mergeCell ref="N12:O12"/>
    <mergeCell ref="P12:Q12"/>
    <mergeCell ref="U12:W12"/>
    <mergeCell ref="X12:Z12"/>
    <mergeCell ref="J11:K11"/>
    <mergeCell ref="L11:M11"/>
    <mergeCell ref="N11:O11"/>
    <mergeCell ref="P11:Q11"/>
    <mergeCell ref="U11:W11"/>
    <mergeCell ref="X11:Z11"/>
    <mergeCell ref="J10:K10"/>
    <mergeCell ref="L10:M10"/>
    <mergeCell ref="N10:O10"/>
    <mergeCell ref="P10:Q10"/>
    <mergeCell ref="U10:W10"/>
    <mergeCell ref="X10:Z10"/>
    <mergeCell ref="J9:K9"/>
    <mergeCell ref="L9:M9"/>
    <mergeCell ref="N9:O9"/>
    <mergeCell ref="P9:Q9"/>
    <mergeCell ref="U9:W9"/>
    <mergeCell ref="X9:Z9"/>
    <mergeCell ref="J6:K6"/>
    <mergeCell ref="L6:M6"/>
    <mergeCell ref="N6:O6"/>
    <mergeCell ref="P6:Q6"/>
    <mergeCell ref="S6:Z6"/>
    <mergeCell ref="J8:K8"/>
    <mergeCell ref="L8:M8"/>
    <mergeCell ref="N8:O8"/>
    <mergeCell ref="P8:Q8"/>
    <mergeCell ref="U8:W8"/>
    <mergeCell ref="X8:Z8"/>
    <mergeCell ref="J7:K7"/>
    <mergeCell ref="L7:M7"/>
    <mergeCell ref="N7:O7"/>
    <mergeCell ref="P7:Q7"/>
    <mergeCell ref="U7:W7"/>
    <mergeCell ref="X7:Z7"/>
    <mergeCell ref="I1:J1"/>
    <mergeCell ref="K1:O1"/>
    <mergeCell ref="P1:Q1"/>
    <mergeCell ref="R1:S1"/>
    <mergeCell ref="L2:M2"/>
    <mergeCell ref="Q2:R2"/>
    <mergeCell ref="Y2:Z2"/>
    <mergeCell ref="L4:M4"/>
    <mergeCell ref="Q4:R4"/>
    <mergeCell ref="Y4:Z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129</vt:i4>
      </vt:variant>
    </vt:vector>
  </HeadingPairs>
  <TitlesOfParts>
    <vt:vector size="129" baseType="lpstr">
      <vt:lpstr>Ex</vt:lpstr>
      <vt:lpstr>Site1</vt:lpstr>
      <vt:lpstr>Site2</vt:lpstr>
      <vt:lpstr>Site3</vt:lpstr>
      <vt:lpstr>Site4</vt:lpstr>
      <vt:lpstr>Site5</vt:lpstr>
      <vt:lpstr>Site6</vt:lpstr>
      <vt:lpstr>Site7</vt:lpstr>
      <vt:lpstr>Site8</vt:lpstr>
      <vt:lpstr>Site9</vt:lpstr>
      <vt:lpstr>Site10</vt:lpstr>
      <vt:lpstr>Site11</vt:lpstr>
      <vt:lpstr>Site12</vt:lpstr>
      <vt:lpstr>Site13</vt:lpstr>
      <vt:lpstr>Site14</vt:lpstr>
      <vt:lpstr>Site15</vt:lpstr>
      <vt:lpstr>Site16</vt:lpstr>
      <vt:lpstr>Site17</vt:lpstr>
      <vt:lpstr>Site18</vt:lpstr>
      <vt:lpstr>Site19</vt:lpstr>
      <vt:lpstr>Site20</vt:lpstr>
      <vt:lpstr>Site21</vt:lpstr>
      <vt:lpstr>Site22</vt:lpstr>
      <vt:lpstr>Site23</vt:lpstr>
      <vt:lpstr>Site24</vt:lpstr>
      <vt:lpstr>Site25</vt:lpstr>
      <vt:lpstr>Site26</vt:lpstr>
      <vt:lpstr>Site27</vt:lpstr>
      <vt:lpstr>Site28</vt:lpstr>
      <vt:lpstr>Site29</vt:lpstr>
      <vt:lpstr>Site30</vt:lpstr>
      <vt:lpstr>Site31</vt:lpstr>
      <vt:lpstr>Site32</vt:lpstr>
      <vt:lpstr>Site33</vt:lpstr>
      <vt:lpstr>Site34</vt:lpstr>
      <vt:lpstr>Site35</vt:lpstr>
      <vt:lpstr>Site36</vt:lpstr>
      <vt:lpstr>Site37</vt:lpstr>
      <vt:lpstr>Site38</vt:lpstr>
      <vt:lpstr>Site39</vt:lpstr>
      <vt:lpstr>Site40</vt:lpstr>
      <vt:lpstr>Site41</vt:lpstr>
      <vt:lpstr>Site42</vt:lpstr>
      <vt:lpstr>Site43</vt:lpstr>
      <vt:lpstr>Site44</vt:lpstr>
      <vt:lpstr>Site45</vt:lpstr>
      <vt:lpstr>Site46</vt:lpstr>
      <vt:lpstr>Site47</vt:lpstr>
      <vt:lpstr>Site48</vt:lpstr>
      <vt:lpstr>Site49</vt:lpstr>
      <vt:lpstr>Site50</vt:lpstr>
      <vt:lpstr>Site51</vt:lpstr>
      <vt:lpstr>Site52</vt:lpstr>
      <vt:lpstr>Site53</vt:lpstr>
      <vt:lpstr>Site54</vt:lpstr>
      <vt:lpstr>Site55</vt:lpstr>
      <vt:lpstr>Site56</vt:lpstr>
      <vt:lpstr>Site57</vt:lpstr>
      <vt:lpstr>Site58</vt:lpstr>
      <vt:lpstr>Site59</vt:lpstr>
      <vt:lpstr>Site60</vt:lpstr>
      <vt:lpstr>Site61</vt:lpstr>
      <vt:lpstr>Site62</vt:lpstr>
      <vt:lpstr>Site63</vt:lpstr>
      <vt:lpstr>Site64</vt:lpstr>
      <vt:lpstr>Site65</vt:lpstr>
      <vt:lpstr>Site66</vt:lpstr>
      <vt:lpstr>Site67</vt:lpstr>
      <vt:lpstr>Site68</vt:lpstr>
      <vt:lpstr>Site69</vt:lpstr>
      <vt:lpstr>Site70</vt:lpstr>
      <vt:lpstr>Site71</vt:lpstr>
      <vt:lpstr>Site72</vt:lpstr>
      <vt:lpstr>Site73</vt:lpstr>
      <vt:lpstr>Site74</vt:lpstr>
      <vt:lpstr>Site75</vt:lpstr>
      <vt:lpstr>Site76</vt:lpstr>
      <vt:lpstr>Site77</vt:lpstr>
      <vt:lpstr>Site78</vt:lpstr>
      <vt:lpstr>Site79</vt:lpstr>
      <vt:lpstr>Site80</vt:lpstr>
      <vt:lpstr>Site81</vt:lpstr>
      <vt:lpstr>Site82</vt:lpstr>
      <vt:lpstr>Site83</vt:lpstr>
      <vt:lpstr>Site84</vt:lpstr>
      <vt:lpstr>Site85</vt:lpstr>
      <vt:lpstr>Site86</vt:lpstr>
      <vt:lpstr>Site87</vt:lpstr>
      <vt:lpstr>Site88</vt:lpstr>
      <vt:lpstr>Site89</vt:lpstr>
      <vt:lpstr>Site90</vt:lpstr>
      <vt:lpstr>Site91</vt:lpstr>
      <vt:lpstr>Site92</vt:lpstr>
      <vt:lpstr>Site93</vt:lpstr>
      <vt:lpstr>Site94</vt:lpstr>
      <vt:lpstr>Site95</vt:lpstr>
      <vt:lpstr>Site96</vt:lpstr>
      <vt:lpstr>Site97</vt:lpstr>
      <vt:lpstr>Site98</vt:lpstr>
      <vt:lpstr>Site99</vt:lpstr>
      <vt:lpstr>Site100</vt:lpstr>
      <vt:lpstr>Site101</vt:lpstr>
      <vt:lpstr>Site102</vt:lpstr>
      <vt:lpstr>Site103</vt:lpstr>
      <vt:lpstr>Site104</vt:lpstr>
      <vt:lpstr>Site105</vt:lpstr>
      <vt:lpstr>Site106</vt:lpstr>
      <vt:lpstr>Site107</vt:lpstr>
      <vt:lpstr>Site108</vt:lpstr>
      <vt:lpstr>Site109</vt:lpstr>
      <vt:lpstr>Site110</vt:lpstr>
      <vt:lpstr>Site111</vt:lpstr>
      <vt:lpstr>Site112</vt:lpstr>
      <vt:lpstr>Site113</vt:lpstr>
      <vt:lpstr>Site114</vt:lpstr>
      <vt:lpstr>Site115</vt:lpstr>
      <vt:lpstr>Site116</vt:lpstr>
      <vt:lpstr>Site 117</vt:lpstr>
      <vt:lpstr>Site 118</vt:lpstr>
      <vt:lpstr>Site 119</vt:lpstr>
      <vt:lpstr>Site 120</vt:lpstr>
      <vt:lpstr>Site 121</vt:lpstr>
      <vt:lpstr>Site 122</vt:lpstr>
      <vt:lpstr>Site 123</vt:lpstr>
      <vt:lpstr>Site 124</vt:lpstr>
      <vt:lpstr>Site 125</vt:lpstr>
      <vt:lpstr>Site 126</vt:lpstr>
      <vt:lpstr>Site 127</vt:lpstr>
      <vt:lpstr>Cabin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dc:creator>
  <cp:lastModifiedBy>erik hedlin</cp:lastModifiedBy>
  <dcterms:created xsi:type="dcterms:W3CDTF">2014-05-31T17:13:42Z</dcterms:created>
  <dcterms:modified xsi:type="dcterms:W3CDTF">2015-01-07T00:20:58Z</dcterms:modified>
</cp:coreProperties>
</file>