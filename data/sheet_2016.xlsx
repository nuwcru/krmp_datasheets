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hieu\Desktop\Maitrise\Rankin 2016\Data\"/>
    </mc:Choice>
  </mc:AlternateContent>
  <bookViews>
    <workbookView xWindow="0" yWindow="0" windowWidth="19200" windowHeight="7455" firstSheet="143" activeTab="151"/>
  </bookViews>
  <sheets>
    <sheet name="ex" sheetId="1" r:id="rId1"/>
    <sheet name="Site1" sheetId="2" r:id="rId2"/>
    <sheet name="Site2" sheetId="3" r:id="rId3"/>
    <sheet name="Site3" sheetId="4" r:id="rId4"/>
    <sheet name="Site4" sheetId="5" r:id="rId5"/>
    <sheet name="Site5" sheetId="6" r:id="rId6"/>
    <sheet name="Site6" sheetId="7" r:id="rId7"/>
    <sheet name="Site7" sheetId="8" r:id="rId8"/>
    <sheet name="Site8" sheetId="9" r:id="rId9"/>
    <sheet name="Site9" sheetId="10" r:id="rId10"/>
    <sheet name="Site 10" sheetId="150" r:id="rId11"/>
    <sheet name="Site11" sheetId="12" r:id="rId12"/>
    <sheet name="Site12" sheetId="13" r:id="rId13"/>
    <sheet name="Site13" sheetId="14" r:id="rId14"/>
    <sheet name="Site14" sheetId="15" r:id="rId15"/>
    <sheet name="Site15" sheetId="31" r:id="rId16"/>
    <sheet name="Site16" sheetId="17" r:id="rId17"/>
    <sheet name="Site17" sheetId="18" r:id="rId18"/>
    <sheet name="Site18" sheetId="19" r:id="rId19"/>
    <sheet name="Site19" sheetId="20" r:id="rId20"/>
    <sheet name="Site 20" sheetId="21" r:id="rId21"/>
    <sheet name="Site21" sheetId="22" r:id="rId22"/>
    <sheet name="Site 22" sheetId="23" r:id="rId23"/>
    <sheet name="Site23" sheetId="24" r:id="rId24"/>
    <sheet name="Site 24" sheetId="25" r:id="rId25"/>
    <sheet name="Site25" sheetId="26" r:id="rId26"/>
    <sheet name="Site26" sheetId="27" r:id="rId27"/>
    <sheet name="Site27" sheetId="28" r:id="rId28"/>
    <sheet name="Site28" sheetId="29" r:id="rId29"/>
    <sheet name="Site29" sheetId="30" r:id="rId30"/>
    <sheet name="Site 30" sheetId="16" r:id="rId31"/>
    <sheet name="Site31" sheetId="32" r:id="rId32"/>
    <sheet name="Site32" sheetId="33" r:id="rId33"/>
    <sheet name="Site33" sheetId="34" r:id="rId34"/>
    <sheet name="Site34" sheetId="35" r:id="rId35"/>
    <sheet name="Site35" sheetId="36" r:id="rId36"/>
    <sheet name="Site36" sheetId="37" r:id="rId37"/>
    <sheet name="Site 37" sheetId="38" r:id="rId38"/>
    <sheet name="Site38" sheetId="39" r:id="rId39"/>
    <sheet name="Site39" sheetId="40" r:id="rId40"/>
    <sheet name="Site 40" sheetId="41" r:id="rId41"/>
    <sheet name="Site41" sheetId="42" r:id="rId42"/>
    <sheet name="Site42" sheetId="43" r:id="rId43"/>
    <sheet name="Site43" sheetId="44" r:id="rId44"/>
    <sheet name="Site 44" sheetId="45" r:id="rId45"/>
    <sheet name="Site45" sheetId="46" r:id="rId46"/>
    <sheet name="Site46" sheetId="47" r:id="rId47"/>
    <sheet name="Site47" sheetId="48" r:id="rId48"/>
    <sheet name="Site48" sheetId="49" r:id="rId49"/>
    <sheet name="Site49" sheetId="50" r:id="rId50"/>
    <sheet name="Site50" sheetId="51" r:id="rId51"/>
    <sheet name="Site 51" sheetId="52" r:id="rId52"/>
    <sheet name="Site52" sheetId="53" r:id="rId53"/>
    <sheet name="Site53" sheetId="54" r:id="rId54"/>
    <sheet name="Site54" sheetId="55" r:id="rId55"/>
    <sheet name="Site55" sheetId="56" r:id="rId56"/>
    <sheet name="Site56" sheetId="57" r:id="rId57"/>
    <sheet name="Site57" sheetId="58" r:id="rId58"/>
    <sheet name="Site58" sheetId="59" r:id="rId59"/>
    <sheet name="Site59" sheetId="60" r:id="rId60"/>
    <sheet name="Site60" sheetId="61" r:id="rId61"/>
    <sheet name="Site61" sheetId="62" r:id="rId62"/>
    <sheet name="Site62" sheetId="63" r:id="rId63"/>
    <sheet name="Site63" sheetId="64" r:id="rId64"/>
    <sheet name="Site64" sheetId="65" r:id="rId65"/>
    <sheet name="Site65" sheetId="66" r:id="rId66"/>
    <sheet name="Site66" sheetId="67" r:id="rId67"/>
    <sheet name="Site67" sheetId="68" r:id="rId68"/>
    <sheet name="Site68" sheetId="69" r:id="rId69"/>
    <sheet name="Site69" sheetId="70" r:id="rId70"/>
    <sheet name="Site70" sheetId="71" r:id="rId71"/>
    <sheet name="Site71" sheetId="72" r:id="rId72"/>
    <sheet name="Site72" sheetId="73" r:id="rId73"/>
    <sheet name="Site73" sheetId="74" r:id="rId74"/>
    <sheet name="Site74" sheetId="75" r:id="rId75"/>
    <sheet name="Site75" sheetId="76" r:id="rId76"/>
    <sheet name="Site 76 " sheetId="77" r:id="rId77"/>
    <sheet name="Site77" sheetId="78" r:id="rId78"/>
    <sheet name="Site78" sheetId="79" r:id="rId79"/>
    <sheet name="Site79" sheetId="80" r:id="rId80"/>
    <sheet name="Site80" sheetId="81" r:id="rId81"/>
    <sheet name="Site81" sheetId="82" r:id="rId82"/>
    <sheet name="Site82" sheetId="83" r:id="rId83"/>
    <sheet name="Site83" sheetId="84" r:id="rId84"/>
    <sheet name="Site84" sheetId="85" r:id="rId85"/>
    <sheet name="Site85" sheetId="86" r:id="rId86"/>
    <sheet name="Site86" sheetId="87" r:id="rId87"/>
    <sheet name="Site87" sheetId="88" r:id="rId88"/>
    <sheet name="Site88" sheetId="89" r:id="rId89"/>
    <sheet name="Site89" sheetId="90" r:id="rId90"/>
    <sheet name="Site90" sheetId="91" r:id="rId91"/>
    <sheet name="Site91" sheetId="92" r:id="rId92"/>
    <sheet name="Site92" sheetId="93" r:id="rId93"/>
    <sheet name="Site93" sheetId="94" r:id="rId94"/>
    <sheet name="Site94" sheetId="95" r:id="rId95"/>
    <sheet name="Site95" sheetId="96" r:id="rId96"/>
    <sheet name="Site96" sheetId="97" r:id="rId97"/>
    <sheet name="Site97" sheetId="98" r:id="rId98"/>
    <sheet name="Site98" sheetId="99" r:id="rId99"/>
    <sheet name="Site99" sheetId="100" r:id="rId100"/>
    <sheet name="Site100" sheetId="101" r:id="rId101"/>
    <sheet name="Site101" sheetId="102" r:id="rId102"/>
    <sheet name="Site102" sheetId="103" r:id="rId103"/>
    <sheet name="Site103" sheetId="104" r:id="rId104"/>
    <sheet name="Site104" sheetId="105" r:id="rId105"/>
    <sheet name="Site 105" sheetId="106" r:id="rId106"/>
    <sheet name="Site106" sheetId="107" r:id="rId107"/>
    <sheet name="Site107" sheetId="108" r:id="rId108"/>
    <sheet name="Site108" sheetId="109" r:id="rId109"/>
    <sheet name="Site109" sheetId="110" r:id="rId110"/>
    <sheet name="Site110" sheetId="111" r:id="rId111"/>
    <sheet name="Site111" sheetId="112" r:id="rId112"/>
    <sheet name="Site112" sheetId="113" r:id="rId113"/>
    <sheet name="Site113" sheetId="114" r:id="rId114"/>
    <sheet name="Site114" sheetId="115" r:id="rId115"/>
    <sheet name="Site115" sheetId="116" r:id="rId116"/>
    <sheet name="Site116" sheetId="117" r:id="rId117"/>
    <sheet name="Site117" sheetId="118" r:id="rId118"/>
    <sheet name="Site118" sheetId="119" r:id="rId119"/>
    <sheet name="Site119" sheetId="120" r:id="rId120"/>
    <sheet name="Site120" sheetId="121" r:id="rId121"/>
    <sheet name="Site121" sheetId="122" r:id="rId122"/>
    <sheet name="Site122" sheetId="123" r:id="rId123"/>
    <sheet name="Site123" sheetId="124" r:id="rId124"/>
    <sheet name="Site125" sheetId="125" r:id="rId125"/>
    <sheet name="Site126" sheetId="126" r:id="rId126"/>
    <sheet name="Site127" sheetId="127" r:id="rId127"/>
    <sheet name="Site 128" sheetId="128" r:id="rId128"/>
    <sheet name="Site 129" sheetId="129" r:id="rId129"/>
    <sheet name="Site 130" sheetId="130" r:id="rId130"/>
    <sheet name="Site 131" sheetId="131" r:id="rId131"/>
    <sheet name="Site 132" sheetId="132" r:id="rId132"/>
    <sheet name="Site133" sheetId="133" r:id="rId133"/>
    <sheet name="Site 134" sheetId="134" r:id="rId134"/>
    <sheet name="Site 135" sheetId="135" r:id="rId135"/>
    <sheet name="Site 136" sheetId="136" r:id="rId136"/>
    <sheet name="Site 137" sheetId="137" r:id="rId137"/>
    <sheet name="Site 138" sheetId="138" r:id="rId138"/>
    <sheet name="Site 139" sheetId="139" r:id="rId139"/>
    <sheet name="Site 140" sheetId="140" r:id="rId140"/>
    <sheet name="Site 141" sheetId="141" r:id="rId141"/>
    <sheet name="Site 142" sheetId="142" r:id="rId142"/>
    <sheet name="Site 143" sheetId="143" r:id="rId143"/>
    <sheet name="Site 144" sheetId="144" r:id="rId144"/>
    <sheet name="Site 145" sheetId="145" r:id="rId145"/>
    <sheet name="Site 146" sheetId="146" r:id="rId146"/>
    <sheet name="Site 147" sheetId="147" r:id="rId147"/>
    <sheet name="Site 148" sheetId="148" r:id="rId148"/>
    <sheet name="Site 149" sheetId="149" r:id="rId149"/>
    <sheet name="Site 151" sheetId="151" r:id="rId150"/>
    <sheet name="Site 152" sheetId="152" r:id="rId151"/>
    <sheet name="Site 153" sheetId="153" r:id="rId152"/>
  </sheets>
  <calcPr calcId="152511"/>
</workbook>
</file>

<file path=xl/calcChain.xml><?xml version="1.0" encoding="utf-8"?>
<calcChain xmlns="http://schemas.openxmlformats.org/spreadsheetml/2006/main">
  <c r="G16" i="153" l="1"/>
  <c r="G7" i="153"/>
  <c r="G16" i="152"/>
  <c r="G7" i="152"/>
  <c r="G16" i="151"/>
  <c r="G7" i="151"/>
  <c r="G16" i="150"/>
  <c r="G7" i="150"/>
  <c r="G16" i="149"/>
  <c r="G7" i="149"/>
  <c r="I16" i="148"/>
  <c r="I7" i="148"/>
  <c r="G16" i="147"/>
  <c r="G7" i="147"/>
  <c r="G16" i="146"/>
  <c r="G7" i="146"/>
  <c r="G16" i="145"/>
  <c r="G7" i="145"/>
  <c r="G16" i="144"/>
  <c r="G7" i="144"/>
  <c r="G16" i="143"/>
  <c r="G7" i="143"/>
  <c r="G16" i="142"/>
  <c r="G7" i="142"/>
  <c r="G16" i="141"/>
  <c r="G7" i="141"/>
  <c r="G16" i="140"/>
  <c r="G7" i="140"/>
  <c r="G16" i="139"/>
  <c r="G7" i="139"/>
  <c r="G16" i="138"/>
  <c r="G7" i="138"/>
  <c r="G16" i="137"/>
  <c r="G7" i="137"/>
  <c r="G16" i="136"/>
  <c r="G7" i="136"/>
  <c r="G16" i="135"/>
  <c r="G7" i="135"/>
  <c r="G16" i="134"/>
  <c r="G7" i="134"/>
  <c r="G16" i="133"/>
  <c r="G7" i="133"/>
  <c r="G16" i="132"/>
  <c r="G7" i="132"/>
  <c r="G16" i="131"/>
  <c r="G7" i="131"/>
  <c r="G16" i="130"/>
  <c r="G7" i="130"/>
  <c r="G16" i="129"/>
  <c r="G7" i="129"/>
  <c r="G16" i="128"/>
  <c r="G7" i="128"/>
  <c r="G16" i="127"/>
  <c r="G7" i="127"/>
  <c r="G16" i="126"/>
  <c r="G7" i="126"/>
  <c r="G16" i="125"/>
  <c r="G7" i="125"/>
  <c r="G16" i="124"/>
  <c r="G7" i="124"/>
  <c r="G16" i="123"/>
  <c r="G7" i="123"/>
  <c r="G16" i="122"/>
  <c r="G7" i="122"/>
  <c r="G16" i="121"/>
  <c r="G7" i="121"/>
  <c r="G16" i="120"/>
  <c r="G7" i="120"/>
  <c r="G16" i="119"/>
  <c r="G7" i="119"/>
  <c r="G16" i="118"/>
  <c r="G7" i="118"/>
  <c r="G16" i="117"/>
  <c r="G7" i="117"/>
  <c r="G16" i="116"/>
  <c r="G7" i="116"/>
  <c r="G16" i="115"/>
  <c r="G7" i="115"/>
  <c r="G16" i="114"/>
  <c r="G7" i="114"/>
  <c r="G16" i="113"/>
  <c r="G7" i="113"/>
  <c r="G16" i="112"/>
  <c r="G7" i="112"/>
  <c r="G16" i="111"/>
  <c r="G7" i="111"/>
  <c r="D7" i="111"/>
  <c r="E7" i="111" s="1"/>
  <c r="G16" i="110"/>
  <c r="G7" i="110"/>
  <c r="G16" i="109"/>
  <c r="G7" i="109"/>
  <c r="G16" i="108"/>
  <c r="G7" i="108"/>
  <c r="G16" i="107"/>
  <c r="G7" i="107"/>
  <c r="G16" i="106"/>
  <c r="G7" i="106"/>
  <c r="G16" i="105"/>
  <c r="G7" i="105"/>
  <c r="G16" i="104"/>
  <c r="G7" i="104"/>
  <c r="G16" i="103"/>
  <c r="G7" i="103"/>
  <c r="G16" i="102"/>
  <c r="G7" i="102"/>
  <c r="G16" i="101"/>
  <c r="G7" i="101"/>
  <c r="D7" i="101"/>
  <c r="E7" i="101" s="1"/>
  <c r="G16" i="100"/>
  <c r="G7" i="100"/>
  <c r="G16" i="99"/>
  <c r="G7" i="99"/>
  <c r="G16" i="98"/>
  <c r="G7" i="98"/>
  <c r="G16" i="97"/>
  <c r="G7" i="97"/>
  <c r="G16" i="96"/>
  <c r="G7" i="96"/>
  <c r="G16" i="95"/>
  <c r="G7" i="95"/>
  <c r="G16" i="94"/>
  <c r="G7" i="94"/>
  <c r="G16" i="93"/>
  <c r="G7" i="93"/>
  <c r="G16" i="92"/>
  <c r="G7" i="92"/>
  <c r="G16" i="91"/>
  <c r="G7" i="91"/>
  <c r="G16" i="90"/>
  <c r="G7" i="90"/>
  <c r="D7" i="90"/>
  <c r="G16" i="89"/>
  <c r="G7" i="89"/>
  <c r="G16" i="88"/>
  <c r="G7" i="88"/>
  <c r="G16" i="87"/>
  <c r="G7" i="87"/>
  <c r="G16" i="86"/>
  <c r="G7" i="86"/>
  <c r="E7" i="86"/>
  <c r="D7" i="86"/>
  <c r="C7" i="86"/>
  <c r="G16" i="85"/>
  <c r="G7" i="85"/>
  <c r="G16" i="84"/>
  <c r="G7" i="84"/>
  <c r="G16" i="83"/>
  <c r="G7" i="83"/>
  <c r="G16" i="82"/>
  <c r="G7" i="82"/>
  <c r="G16" i="81"/>
  <c r="G7" i="81"/>
  <c r="G16" i="80"/>
  <c r="G7" i="80"/>
  <c r="G16" i="79"/>
  <c r="G7" i="79"/>
  <c r="G16" i="78"/>
  <c r="G7" i="78"/>
  <c r="G16" i="77"/>
  <c r="G7" i="77"/>
  <c r="G16" i="76"/>
  <c r="G7" i="76"/>
  <c r="G16" i="75"/>
  <c r="G7" i="75"/>
  <c r="G16" i="74"/>
  <c r="G7" i="74"/>
  <c r="G16" i="73"/>
  <c r="G7" i="73"/>
  <c r="G16" i="72"/>
  <c r="G7" i="72"/>
  <c r="G16" i="71"/>
  <c r="G7" i="71"/>
  <c r="G16" i="70"/>
  <c r="G7" i="70"/>
  <c r="G16" i="69"/>
  <c r="G7" i="69"/>
  <c r="G16" i="68"/>
  <c r="G7" i="68"/>
  <c r="G16" i="67"/>
  <c r="G7" i="67"/>
  <c r="G16" i="66"/>
  <c r="G7" i="66"/>
  <c r="G16" i="65"/>
  <c r="G7" i="65"/>
  <c r="G16" i="64"/>
  <c r="G7" i="64"/>
  <c r="G16" i="63"/>
  <c r="G7" i="63"/>
  <c r="G16" i="62"/>
  <c r="G7" i="62"/>
  <c r="G16" i="61"/>
  <c r="G7" i="61"/>
  <c r="G16" i="60"/>
  <c r="G7" i="60"/>
  <c r="G16" i="59"/>
  <c r="G7" i="59"/>
  <c r="G16" i="58"/>
  <c r="G7" i="58"/>
  <c r="G16" i="57"/>
  <c r="G7" i="57"/>
  <c r="G16" i="56"/>
  <c r="G7" i="56"/>
  <c r="G16" i="55"/>
  <c r="G7" i="55"/>
  <c r="G16" i="54"/>
  <c r="G7" i="54"/>
  <c r="D7" i="54"/>
  <c r="E7" i="54" s="1"/>
  <c r="F7" i="54" s="1"/>
  <c r="G16" i="53"/>
  <c r="G7" i="53"/>
  <c r="G16" i="52"/>
  <c r="G7" i="52"/>
  <c r="G16" i="51"/>
  <c r="G7" i="51"/>
  <c r="G16" i="50"/>
  <c r="G7" i="50"/>
  <c r="G16" i="49"/>
  <c r="G7" i="49"/>
  <c r="G16" i="48"/>
  <c r="G7" i="48"/>
  <c r="G16" i="47"/>
  <c r="G7" i="47"/>
  <c r="G16" i="46"/>
  <c r="G7" i="46"/>
  <c r="G16" i="45"/>
  <c r="G7" i="45"/>
  <c r="G16" i="44"/>
  <c r="G7" i="44"/>
  <c r="G16" i="43"/>
  <c r="G7" i="43"/>
  <c r="G16" i="42"/>
  <c r="G7" i="42"/>
  <c r="D7" i="42"/>
  <c r="E7" i="42" s="1"/>
  <c r="G16" i="41"/>
  <c r="G7" i="41"/>
  <c r="G16" i="40"/>
  <c r="G7" i="40"/>
  <c r="G16" i="39"/>
  <c r="G7" i="39"/>
  <c r="G17" i="38"/>
  <c r="G8" i="38"/>
  <c r="G16" i="37"/>
  <c r="G7" i="37"/>
  <c r="G16" i="36"/>
  <c r="G7" i="36"/>
  <c r="G16" i="35"/>
  <c r="G7" i="35"/>
  <c r="G16" i="34"/>
  <c r="G7" i="34"/>
  <c r="G16" i="33"/>
  <c r="G7" i="33"/>
  <c r="G17" i="32"/>
  <c r="G8" i="32"/>
  <c r="D8" i="32"/>
  <c r="G16" i="31"/>
  <c r="G7" i="31"/>
  <c r="E7" i="31"/>
  <c r="F7" i="31" s="1"/>
  <c r="D7" i="31"/>
  <c r="G16" i="30"/>
  <c r="G7" i="30"/>
  <c r="G16" i="29"/>
  <c r="G7" i="29"/>
  <c r="G16" i="28"/>
  <c r="G7" i="28"/>
  <c r="G16" i="27"/>
  <c r="G7" i="27"/>
  <c r="G16" i="26"/>
  <c r="G7" i="26"/>
  <c r="G16" i="25"/>
  <c r="G7" i="25"/>
  <c r="G18" i="24"/>
  <c r="G9" i="24"/>
  <c r="G16" i="23"/>
  <c r="G7" i="23"/>
  <c r="G16" i="22"/>
  <c r="G7" i="22"/>
  <c r="G16" i="21"/>
  <c r="G7" i="21"/>
  <c r="G17" i="20"/>
  <c r="G8" i="20"/>
  <c r="G16" i="19"/>
  <c r="G7" i="19"/>
  <c r="G16" i="18"/>
  <c r="G7" i="18"/>
  <c r="G16" i="17"/>
  <c r="G7" i="17"/>
  <c r="G16" i="16"/>
  <c r="G7" i="16"/>
  <c r="G16" i="15"/>
  <c r="G7" i="15"/>
  <c r="G16" i="14"/>
  <c r="G7" i="14"/>
  <c r="G16" i="13"/>
  <c r="G7" i="13"/>
  <c r="G16" i="12"/>
  <c r="G7" i="12"/>
  <c r="G16" i="10"/>
  <c r="G7" i="10"/>
  <c r="G16" i="9"/>
  <c r="J8" i="9"/>
  <c r="G7" i="9"/>
  <c r="G16" i="8"/>
  <c r="G7" i="8"/>
  <c r="G16" i="7"/>
  <c r="G7" i="7"/>
  <c r="G16" i="6"/>
  <c r="G7" i="6"/>
  <c r="G16" i="5"/>
  <c r="G7" i="5"/>
  <c r="G16" i="4"/>
  <c r="G7" i="4"/>
  <c r="D7" i="4"/>
  <c r="E7" i="4" s="1"/>
  <c r="G16" i="3"/>
  <c r="G7" i="3"/>
  <c r="G16" i="2"/>
  <c r="G7" i="2"/>
  <c r="G16" i="1"/>
  <c r="G7" i="1"/>
</calcChain>
</file>

<file path=xl/comments1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D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No confirmation…blue and green were missing on august 4…assumed they died in night before because of fresh chicks remain in nest…camera did not captured it on picture</t>
        </r>
      </text>
    </comment>
    <comment ref="E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No confirmation…blue and green were missing on august 4…assumed they died in night before because of fresh chicks remain in nest…camera did not captured it on picture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  <comment ref="E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  <comment ref="F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J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J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</t>
        </r>
      </text>
    </comment>
    <comment ref="L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Mathieu:</t>
        </r>
        <r>
          <rPr>
            <sz val="9"/>
            <color rgb="FF000000"/>
            <rFont val="Arial"/>
            <family val="2"/>
          </rPr>
          <t xml:space="preserve">
estimation</t>
        </r>
      </text>
    </comment>
    <comment ref="N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Mathieu:</t>
        </r>
        <r>
          <rPr>
            <sz val="9"/>
            <color rgb="FF000000"/>
            <rFont val="Arial"/>
            <family val="2"/>
          </rPr>
          <t xml:space="preserve">
estimation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F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E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Rectrices lenght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C1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weight at first visit</t>
        </r>
      </text>
    </comment>
    <comment ref="D2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from rain</t>
        </r>
      </text>
    </comment>
    <comment ref="E27" authorId="0" shapeId="0">
      <text>
        <r>
          <rPr>
            <sz val="10"/>
            <color theme="1"/>
            <rFont val="Arial"/>
            <family val="2"/>
          </rPr>
          <t>Died wet, probably from rain and exposure</t>
        </r>
      </text>
    </comment>
    <comment ref="F2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found dead in nest on aug 3…seem to died from previous night</t>
        </r>
      </text>
    </comment>
  </commentList>
</comments>
</file>

<file path=xl/comments8.xml><?xml version="1.0" encoding="utf-8"?>
<comments xmlns="http://schemas.openxmlformats.org/spreadsheetml/2006/main">
  <authors>
    <author>Mathieu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Mathieu:</t>
        </r>
        <r>
          <rPr>
            <sz val="9"/>
            <color indexed="81"/>
            <rFont val="Tahoma"/>
            <family val="2"/>
          </rPr>
          <t xml:space="preserve">
was 81k, changed to 51k</t>
        </r>
      </text>
    </comment>
  </commentList>
</comments>
</file>

<file path=xl/comments9.xml><?xml version="1.0" encoding="utf-8"?>
<comments xmlns="http://schemas.openxmlformats.org/spreadsheetml/2006/main">
  <authors>
    <author>Mathieu</author>
    <author/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Mathieu:</t>
        </r>
        <r>
          <rPr>
            <sz val="9"/>
            <color indexed="81"/>
            <rFont val="Tahoma"/>
            <family val="2"/>
          </rPr>
          <t xml:space="preserve">
breeding female in 2016 for this site</t>
        </r>
      </text>
    </comment>
    <comment ref="C18" authorId="1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weight at first visit</t>
        </r>
      </text>
    </comment>
    <comment ref="D18" authorId="1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 from rectrices lenght</t>
        </r>
      </text>
    </comment>
    <comment ref="E18" authorId="1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 from rectrices lenght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E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J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estmation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N13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date of death missing on cam…between july 25 and 28 th</t>
        </r>
      </text>
    </comment>
    <comment ref="E2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Estimation: information missing on cam, died between july 25 and 28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J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  <comment ref="L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C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esitmation based on rectrices lenght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C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weight at first visit</t>
        </r>
      </text>
    </comment>
    <comment ref="C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from the rain, then got carried out the nest by female</t>
        </r>
      </text>
    </comment>
    <comment ref="D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from the rain, then got carried out the nest by female</t>
        </r>
      </text>
    </comment>
    <comment ref="E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Got killed by female and fed to blue and red ( caught on reconyx)</t>
        </r>
      </text>
    </comment>
    <comment ref="F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Just died in the nest…starvation?</t>
        </r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D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cam…layed at 11:55 pm</t>
        </r>
      </text>
    </comment>
    <comment ref="F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E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rectrices lenght</t>
        </r>
      </text>
    </comment>
    <comment ref="F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rectrices lenght</t>
        </r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J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  <comment ref="L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  <comment ref="N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  <comment ref="P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J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  <comment ref="L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  <comment ref="N8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from feather developement</t>
        </r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  <comment ref="C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weight at first visit</t>
        </r>
      </text>
    </comment>
    <comment ref="F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dead in the nest aroun 4 am (reconyx)</t>
        </r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C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rectrices lenght on 3rd visit</t>
        </r>
      </text>
    </comment>
    <comment ref="D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rectrices lenght on 3rd visit</t>
        </r>
      </text>
    </comment>
    <comment ref="E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rectrices lenght on 3rd visit</t>
        </r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N21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during blood sample</t>
        </r>
      </text>
    </comment>
    <comment ref="C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from the rain</t>
        </r>
      </text>
    </comment>
    <comment ref="E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during blood sample…probably of toracic asphyxiation</t>
        </r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F3" authorId="0" shapeId="0">
      <text>
        <r>
          <rPr>
            <b/>
            <sz val="9"/>
            <color rgb="FF000000"/>
            <rFont val="Arial"/>
            <family val="2"/>
          </rPr>
          <t xml:space="preserve">Philippe:
</t>
        </r>
        <r>
          <rPr>
            <sz val="9"/>
            <color rgb="FF000000"/>
            <rFont val="Arial"/>
            <family val="2"/>
          </rPr>
          <t>was 01A</t>
        </r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D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seems like fox predation (fox seen on reconyx, no more BLUE after that)</t>
        </r>
      </text>
    </comment>
    <comment ref="F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from the rain</t>
        </r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  <comment ref="C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from the rain</t>
        </r>
      </text>
    </comment>
    <comment ref="E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from the rain</t>
        </r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C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weight</t>
        </r>
      </text>
    </comment>
    <comment ref="E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early in the morning…no appearant reason, probably cold and/or rain</t>
        </r>
      </text>
    </comment>
    <comment ref="F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early in the morning…no appearant reason, probably cold and/or rain</t>
        </r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33 day incubation for last egg</t>
        </r>
      </text>
    </comment>
    <comment ref="C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Preadation by wolverine</t>
        </r>
      </text>
    </comment>
    <comment ref="D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Preadation by wolverine</t>
        </r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based on weight at first visit</t>
        </r>
      </text>
    </comment>
    <comment ref="D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rectrices lenght</t>
        </r>
      </text>
    </comment>
    <comment ref="L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rectrices lenght</t>
        </r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D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  <comment ref="C1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estimation based on weight at first visit</t>
        </r>
      </text>
    </comment>
    <comment ref="P22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looks really weak…probably gonna die</t>
        </r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D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C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Estimated</t>
        </r>
      </text>
    </comment>
    <comment ref="F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  <comment ref="E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died from the rain</t>
        </r>
      </text>
    </comment>
    <comment ref="F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Mathieu:</t>
        </r>
        <r>
          <rPr>
            <sz val="9"/>
            <color rgb="FF000000"/>
            <rFont val="Arial"/>
            <family val="2"/>
          </rPr>
          <t xml:space="preserve">
died from the rain</t>
        </r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F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  <comment ref="C16" authorId="0" shapeId="0">
      <text>
        <r>
          <rPr>
            <b/>
            <sz val="9"/>
            <color rgb="FF000000"/>
            <rFont val="Arial"/>
            <family val="2"/>
          </rPr>
          <t xml:space="preserve">Alexandre Paiement:
</t>
        </r>
        <r>
          <rPr>
            <sz val="9"/>
            <color rgb="FF000000"/>
            <rFont val="Arial"/>
            <family val="2"/>
          </rPr>
          <t>No pictures to confirm, based on visit on july 11</t>
        </r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E7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Confirmed on cam</t>
        </r>
      </text>
    </comment>
    <comment ref="C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probably died from the rain…disapeared between aug 3., 8pm and aug. 4, 1 am</t>
        </r>
      </text>
    </comment>
    <comment ref="D26" authorId="0" shapeId="0">
      <text>
        <r>
          <rPr>
            <b/>
            <sz val="9"/>
            <color rgb="FF000000"/>
            <rFont val="Arial"/>
            <family val="2"/>
          </rPr>
          <t xml:space="preserve">Mathieu:
</t>
        </r>
        <r>
          <rPr>
            <sz val="9"/>
            <color rgb="FF000000"/>
            <rFont val="Arial"/>
            <family val="2"/>
          </rPr>
          <t>probably died from the rain…disapeared between aug 3., 8pm and aug. 4, 1 am</t>
        </r>
      </text>
    </comment>
  </commentList>
</comments>
</file>

<file path=xl/sharedStrings.xml><?xml version="1.0" encoding="utf-8"?>
<sst xmlns="http://schemas.openxmlformats.org/spreadsheetml/2006/main" count="49942" uniqueCount="675">
  <si>
    <t>Year</t>
  </si>
  <si>
    <t>Territory</t>
  </si>
  <si>
    <t>Site</t>
  </si>
  <si>
    <t>Visit</t>
  </si>
  <si>
    <t>Coords (xx.xxxx)</t>
  </si>
  <si>
    <t>Species</t>
  </si>
  <si>
    <t>Male Age/Sex</t>
  </si>
  <si>
    <t>Date</t>
  </si>
  <si>
    <t>Encounter History</t>
  </si>
  <si>
    <t>Banded by</t>
  </si>
  <si>
    <t>USFW #</t>
  </si>
  <si>
    <t>BB #</t>
  </si>
  <si>
    <t>Method</t>
  </si>
  <si>
    <t>Encounter by</t>
  </si>
  <si>
    <t>Recruit Y or N</t>
  </si>
  <si>
    <t>Trap wt   (g)</t>
  </si>
  <si>
    <t>Keel   (1-5)</t>
  </si>
  <si>
    <t>Tarsus (mm)                 L        W</t>
  </si>
  <si>
    <t>Wing   (mm)</t>
  </si>
  <si>
    <t>Tail   (mm)</t>
  </si>
  <si>
    <t>Foot          (mm)</t>
  </si>
  <si>
    <t>Culmen (mm)    L        W</t>
  </si>
  <si>
    <t>Halux        (mm)</t>
  </si>
  <si>
    <t>Length        (mm)</t>
  </si>
  <si>
    <t>Feather          (Yr-XX-F)</t>
  </si>
  <si>
    <t>Blood1 (Yr-XX) (time)</t>
  </si>
  <si>
    <t>Blood2 (Yr-XX) (time)</t>
  </si>
  <si>
    <t>Axillary        (mm)</t>
  </si>
  <si>
    <t>Swab                     C          P</t>
  </si>
  <si>
    <t>crop</t>
  </si>
  <si>
    <t>Geolocator # deployed</t>
  </si>
  <si>
    <t>Geolocator # retreived</t>
  </si>
  <si>
    <t>Geolocator present? (Y/N)</t>
  </si>
  <si>
    <t>/</t>
  </si>
  <si>
    <t>Female Age/Sex</t>
  </si>
  <si>
    <t>Trap wt (g)</t>
  </si>
  <si>
    <t>Feather          (Yr-XX)</t>
  </si>
  <si>
    <t>Egg Stage</t>
  </si>
  <si>
    <t>Egg #1</t>
  </si>
  <si>
    <t>Egg #2</t>
  </si>
  <si>
    <t>Egg #3</t>
  </si>
  <si>
    <t>Egg #4</t>
  </si>
  <si>
    <t>Mean</t>
  </si>
  <si>
    <t>Samples</t>
  </si>
  <si>
    <t>Chick #1</t>
  </si>
  <si>
    <t>Chick #2</t>
  </si>
  <si>
    <t>Chick #3</t>
  </si>
  <si>
    <t>Chick #4</t>
  </si>
  <si>
    <t>Site Summary</t>
  </si>
  <si>
    <t>Layed</t>
  </si>
  <si>
    <t>Color</t>
  </si>
  <si>
    <t># eggs layed</t>
  </si>
  <si>
    <t>Aspect</t>
  </si>
  <si>
    <t>Stage</t>
  </si>
  <si>
    <t>Age #1</t>
  </si>
  <si>
    <t># eggs addled</t>
  </si>
  <si>
    <t>Wall L</t>
  </si>
  <si>
    <t>Weight #1</t>
  </si>
  <si>
    <t># chicks hatched</t>
  </si>
  <si>
    <t>Wall R</t>
  </si>
  <si>
    <t>Blood #1 - 40ul</t>
  </si>
  <si>
    <t># chicks banded</t>
  </si>
  <si>
    <t>Roof</t>
  </si>
  <si>
    <t>Age #2</t>
  </si>
  <si>
    <t># chicks fledged</t>
  </si>
  <si>
    <t>Drainage</t>
  </si>
  <si>
    <t>Weight #2</t>
  </si>
  <si>
    <t># chicks died</t>
  </si>
  <si>
    <t>Date nestbox</t>
  </si>
  <si>
    <t>Blood #2 - 1 ml</t>
  </si>
  <si>
    <t>Notes</t>
  </si>
  <si>
    <t>Pharyngeal swab</t>
  </si>
  <si>
    <t>Cloacal swab</t>
  </si>
  <si>
    <t>Hatched</t>
  </si>
  <si>
    <t>Age #3</t>
  </si>
  <si>
    <t>Hatch-Lay</t>
  </si>
  <si>
    <t>Weight #3</t>
  </si>
  <si>
    <t>Nestlings</t>
  </si>
  <si>
    <t>Blood #3 - 1 ml</t>
  </si>
  <si>
    <t>Age-Sex</t>
  </si>
  <si>
    <t>Age #4</t>
  </si>
  <si>
    <t>Date banded</t>
  </si>
  <si>
    <t>Weight #4</t>
  </si>
  <si>
    <t>Blood #4 - 1.5 ml</t>
  </si>
  <si>
    <t>BB#</t>
  </si>
  <si>
    <t>Date died</t>
  </si>
  <si>
    <t>Feather</t>
  </si>
  <si>
    <t>Age when died</t>
  </si>
  <si>
    <t>Carcass collected</t>
  </si>
  <si>
    <t>62.86825/092.25588</t>
  </si>
  <si>
    <t>PEFA</t>
  </si>
  <si>
    <t>Treatment</t>
  </si>
  <si>
    <t>Supplement</t>
  </si>
  <si>
    <t>Recapture</t>
  </si>
  <si>
    <t>MT</t>
  </si>
  <si>
    <t>04M</t>
  </si>
  <si>
    <t>Pigeon</t>
  </si>
  <si>
    <t>no</t>
  </si>
  <si>
    <t>?</t>
  </si>
  <si>
    <t>39E</t>
  </si>
  <si>
    <t>Picture</t>
  </si>
  <si>
    <t>Red</t>
  </si>
  <si>
    <t>Blue</t>
  </si>
  <si>
    <t>Green</t>
  </si>
  <si>
    <t>White</t>
  </si>
  <si>
    <t>unhatched</t>
  </si>
  <si>
    <r>
      <t>May 23:</t>
    </r>
    <r>
      <rPr>
        <sz val="10"/>
        <color rgb="FF000000"/>
        <rFont val="Times New Roman"/>
        <family val="1"/>
      </rPr>
      <t xml:space="preserve"> PEFA pair, chasing ravens.</t>
    </r>
    <r>
      <rPr>
        <b/>
        <sz val="10"/>
        <color rgb="FF000000"/>
        <rFont val="Times New Roman"/>
        <family val="1"/>
      </rPr>
      <t xml:space="preserve"> June 2:</t>
    </r>
    <r>
      <rPr>
        <sz val="10"/>
        <color rgb="FF000000"/>
        <rFont val="Times New Roman"/>
        <family val="1"/>
      </rPr>
      <t xml:space="preserve"> Male trapped, was already banded (Recapture, bird was banded by Mat Tetreault in 2014 as a Juvenile). Blue band added. </t>
    </r>
    <r>
      <rPr>
        <b/>
        <sz val="10"/>
        <color rgb="FF000000"/>
        <rFont val="Times New Roman"/>
        <family val="1"/>
      </rPr>
      <t xml:space="preserve">June 12: </t>
    </r>
    <r>
      <rPr>
        <sz val="10"/>
        <color rgb="FF000000"/>
        <rFont val="Times New Roman"/>
        <family val="1"/>
      </rPr>
      <t xml:space="preserve">PEFA pair, 3 eggs, deployed cam + RG (NO I BUTTON). Both banded ; Female have BB on right leg, male have BB on left leg. </t>
    </r>
    <r>
      <rPr>
        <b/>
        <sz val="10"/>
        <color rgb="FF000000"/>
        <rFont val="Times New Roman"/>
        <family val="1"/>
      </rPr>
      <t xml:space="preserve">June 21: </t>
    </r>
    <r>
      <rPr>
        <sz val="10"/>
        <color rgb="FF000000"/>
        <rFont val="Times New Roman"/>
        <family val="1"/>
      </rPr>
      <t xml:space="preserve">PEFA pair, 4 eggs, changed batt+ m.c, RG: 3mm </t>
    </r>
    <r>
      <rPr>
        <b/>
        <sz val="10"/>
        <color rgb="FF000000"/>
        <rFont val="Times New Roman"/>
        <family val="1"/>
      </rPr>
      <t>July 3</t>
    </r>
    <r>
      <rPr>
        <sz val="10"/>
        <color rgb="FF000000"/>
        <rFont val="Times New Roman"/>
        <family val="1"/>
      </rPr>
      <t>: PEFA pair + 4 eggs, Batt+ Memory changed, Rg: 0,25cm. J</t>
    </r>
    <r>
      <rPr>
        <b/>
        <sz val="10"/>
        <color rgb="FF000000"/>
        <rFont val="Times New Roman"/>
        <family val="1"/>
      </rPr>
      <t xml:space="preserve">uly 13: </t>
    </r>
    <r>
      <rPr>
        <sz val="10"/>
        <color rgb="FF000000"/>
        <rFont val="Times New Roman"/>
        <family val="1"/>
      </rPr>
      <t xml:space="preserve">PEFA pair, 4 eggs, all piping, 1 cracked, changed batt + m.c, RG: Empty.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PEFA female, 3 chicks, 1 egg cracked and piping, Changed B+m.c, Rg: traces. Tarsus (mm): R: 19.77, B: 19.23, G: 18.31, Crop all empty, SUPLLEMENTED-visit-5D- gave 3 quails (780 g). </t>
    </r>
    <r>
      <rPr>
        <b/>
        <sz val="10"/>
        <color rgb="FF000000"/>
        <rFont val="Times New Roman"/>
        <family val="1"/>
      </rPr>
      <t xml:space="preserve">July 22: </t>
    </r>
    <r>
      <rPr>
        <sz val="10"/>
        <color rgb="FF000000"/>
        <rFont val="Times New Roman"/>
        <family val="1"/>
      </rPr>
      <t xml:space="preserve">PEFA pair, 4 chicks, B + m.c changed, RG: 1,5cm, SUPPLEMENTATION-visit-10D; 4 quails gien (920 g). </t>
    </r>
    <r>
      <rPr>
        <b/>
        <sz val="10"/>
        <color rgb="FF000000"/>
        <rFont val="Times New Roman"/>
        <family val="1"/>
      </rPr>
      <t xml:space="preserve">July 27: </t>
    </r>
    <r>
      <rPr>
        <sz val="10"/>
        <color rgb="FF000000"/>
        <rFont val="Times New Roman"/>
        <family val="1"/>
      </rPr>
      <t xml:space="preserve">PEFA pair, 3 chicks, changed b+m.c, RG: 0,4cm. SUPPLEMENT-15D:  5 Q (1092g).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 xml:space="preserve">PEfA female, 3 chicks, changed b + m.c, RG: empty SUPPLEMENT-20D: 5Q (1250 g).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 xml:space="preserve"> PEFA female, 3 chicks, changed b + m.c, RG: 3. 7 cm, SUPPLEMENT-25D; 6Q ( 1400 g).</t>
    </r>
    <r>
      <rPr>
        <b/>
        <sz val="10"/>
        <color rgb="FF000000"/>
        <rFont val="Times New Roman"/>
        <family val="1"/>
      </rPr>
      <t xml:space="preserve">August 11: </t>
    </r>
    <r>
      <rPr>
        <sz val="10"/>
        <color rgb="FF000000"/>
        <rFont val="Times New Roman"/>
        <family val="1"/>
      </rPr>
      <t>PEFA female, 3 chicks, Retrieved cam + RG</t>
    </r>
  </si>
  <si>
    <t>Blood #1 - 0.5 ml</t>
  </si>
  <si>
    <t>y(2m05)</t>
  </si>
  <si>
    <t>y(11m26)</t>
  </si>
  <si>
    <t>y(15m44)</t>
  </si>
  <si>
    <t>Rectrices (mm)</t>
  </si>
  <si>
    <t>23/m</t>
  </si>
  <si>
    <t>22/f</t>
  </si>
  <si>
    <t>red</t>
  </si>
  <si>
    <t>blue</t>
  </si>
  <si>
    <t>green</t>
  </si>
  <si>
    <t>KH</t>
  </si>
  <si>
    <t>Age #5</t>
  </si>
  <si>
    <t>Weight #5</t>
  </si>
  <si>
    <t>Age #6</t>
  </si>
  <si>
    <t>Weight #6</t>
  </si>
  <si>
    <r>
      <t xml:space="preserve">May 23: </t>
    </r>
    <r>
      <rPr>
        <sz val="10"/>
        <color rgb="FF000000"/>
        <rFont val="Times New Roman"/>
        <family val="1"/>
      </rPr>
      <t xml:space="preserve">no bird seen, went back to town. </t>
    </r>
    <r>
      <rPr>
        <b/>
        <sz val="10"/>
        <color rgb="FF000000"/>
        <rFont val="Times New Roman"/>
        <family val="1"/>
      </rPr>
      <t xml:space="preserve">June 23 (Copter survey): </t>
    </r>
    <r>
      <rPr>
        <sz val="10"/>
        <color rgb="FF000000"/>
        <rFont val="Times New Roman"/>
        <family val="1"/>
      </rPr>
      <t>Emoty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 </t>
    </r>
  </si>
  <si>
    <t>62.82726/091.93349</t>
  </si>
  <si>
    <r>
      <t xml:space="preserve"> May 22:</t>
    </r>
    <r>
      <rPr>
        <sz val="10"/>
        <color rgb="FF000000"/>
        <rFont val="Times New Roman"/>
        <family val="1"/>
      </rPr>
      <t xml:space="preserve"> PEFA pair, tried trapping, no interest. Lots of birds (PEFA ) seen fighting between 75 and 3.</t>
    </r>
    <r>
      <rPr>
        <b/>
        <sz val="10"/>
        <color rgb="FF000000"/>
        <rFont val="Times New Roman"/>
        <family val="1"/>
      </rPr>
      <t xml:space="preserve"> May 27: </t>
    </r>
    <r>
      <rPr>
        <sz val="10"/>
        <color rgb="FF000000"/>
        <rFont val="Times New Roman"/>
        <family val="1"/>
      </rPr>
      <t xml:space="preserve"> Could see 1 PEFA perched on top. Tried trapping pair at site, no interest. </t>
    </r>
    <r>
      <rPr>
        <b/>
        <sz val="10"/>
        <color rgb="FF000000"/>
        <rFont val="Times New Roman"/>
        <family val="1"/>
      </rPr>
      <t xml:space="preserve">June 2: </t>
    </r>
    <r>
      <rPr>
        <sz val="10"/>
        <color rgb="FF000000"/>
        <rFont val="Times New Roman"/>
        <family val="1"/>
      </rPr>
      <t>PEFA pair + 1 intruder. Tried trapping for 1h. Femle got caught but brok free when approched. Ledge seems  to be over white rock patch</t>
    </r>
    <r>
      <rPr>
        <b/>
        <sz val="10"/>
        <color rgb="FF000000"/>
        <rFont val="Times New Roman"/>
        <family val="1"/>
      </rPr>
      <t xml:space="preserve">. June 4: </t>
    </r>
    <r>
      <rPr>
        <sz val="10"/>
        <color rgb="FF000000"/>
        <rFont val="Times New Roman"/>
        <family val="1"/>
      </rPr>
      <t xml:space="preserve"> PEFA pair, tried trapping without success.  </t>
    </r>
    <r>
      <rPr>
        <b/>
        <sz val="10"/>
        <color rgb="FF000000"/>
        <rFont val="Times New Roman"/>
        <family val="1"/>
      </rPr>
      <t>June 13:</t>
    </r>
    <r>
      <rPr>
        <sz val="10"/>
        <color rgb="FF000000"/>
        <rFont val="Times New Roman"/>
        <family val="1"/>
      </rPr>
      <t xml:space="preserve"> PEFA pair, 3 eggs, deployed cam + RG. Male banded July 6 : PEFA pair + 4 eggs, Batterie + Mem card changed on a small camera, RG: trace.. </t>
    </r>
    <r>
      <rPr>
        <b/>
        <sz val="10"/>
        <color rgb="FF000000"/>
        <rFont val="Times New Roman"/>
        <family val="1"/>
      </rPr>
      <t xml:space="preserve">July 19: </t>
    </r>
    <r>
      <rPr>
        <sz val="10"/>
        <color rgb="FF000000"/>
        <rFont val="Times New Roman"/>
        <family val="1"/>
      </rPr>
      <t xml:space="preserve"> PEFA pair + 1 intruder, 3 chicks + 1 yolky egg, B+m.c changed, RG: 0, 2 cm, SUPPLEMNTATION-visit-5D, gave 4 quails (730 g). </t>
    </r>
    <r>
      <rPr>
        <b/>
        <sz val="10"/>
        <color rgb="FF000000"/>
        <rFont val="Times New Roman"/>
        <family val="1"/>
      </rPr>
      <t xml:space="preserve">July 24: </t>
    </r>
    <r>
      <rPr>
        <sz val="10"/>
        <color rgb="FF000000"/>
        <rFont val="Times New Roman"/>
        <family val="1"/>
      </rPr>
      <t xml:space="preserve">PEFA pair, 3 chicks + 1 dead egg, changed b + m.c, RG : 0,2 cm. SUPPLEMENT-visit-10D; 4 quails given ( 840 g). </t>
    </r>
    <r>
      <rPr>
        <b/>
        <sz val="10"/>
        <color rgb="FF000000"/>
        <rFont val="Times New Roman"/>
        <family val="1"/>
      </rPr>
      <t xml:space="preserve">July 29: </t>
    </r>
    <r>
      <rPr>
        <sz val="10"/>
        <color rgb="FF000000"/>
        <rFont val="Times New Roman"/>
        <family val="1"/>
      </rPr>
      <t xml:space="preserve"> PEFA pair, 3 chicks, changed b + m.c, RG: traces, SUPPLEMENT-15D; 5 quails (980 g). </t>
    </r>
    <r>
      <rPr>
        <b/>
        <sz val="10"/>
        <color rgb="FF000000"/>
        <rFont val="Times New Roman"/>
        <family val="1"/>
      </rPr>
      <t xml:space="preserve">August 4: </t>
    </r>
    <r>
      <rPr>
        <sz val="10"/>
        <color rgb="FF000000"/>
        <rFont val="Times New Roman"/>
        <family val="1"/>
      </rPr>
      <t xml:space="preserve"> PEFA female, 1 chicks (Blue and Green missing)...fresh meat and feather shaft in nest...assuming chicks are dead from rain last night. changed b + m.c, RG: 4.9 cm, SUPPLEMENT-20D; 3 q (480 g). </t>
    </r>
    <r>
      <rPr>
        <b/>
        <sz val="10"/>
        <color rgb="FF000000"/>
        <rFont val="Times New Roman"/>
        <family val="1"/>
      </rPr>
      <t xml:space="preserve">August 8: </t>
    </r>
    <r>
      <rPr>
        <sz val="10"/>
        <color rgb="FF000000"/>
        <rFont val="Times New Roman"/>
        <family val="1"/>
      </rPr>
      <t xml:space="preserve"> PEFA female, 1 chick, b + m.c, RG: 0,2 cm, SUPPLEMENT-25D (blood and band)-gave 2 quails (467 g), </t>
    </r>
    <r>
      <rPr>
        <b/>
        <sz val="10"/>
        <color rgb="FF000000"/>
        <rFont val="Times New Roman"/>
        <family val="1"/>
      </rPr>
      <t>Aug 13:</t>
    </r>
    <r>
      <rPr>
        <sz val="10"/>
        <color rgb="FF000000"/>
        <rFont val="Times New Roman"/>
        <family val="1"/>
      </rPr>
      <t xml:space="preserve"> PEFA female territorial, 1 chick, camera removed, no iButton, RG=0, SUPPLEMENT-30D.</t>
    </r>
  </si>
  <si>
    <t>y ( 2 m 5s)</t>
  </si>
  <si>
    <t>n</t>
  </si>
  <si>
    <t>23/F</t>
  </si>
  <si>
    <t>missing</t>
  </si>
  <si>
    <t>AP</t>
  </si>
  <si>
    <t>Blood#2-0.5 ml</t>
  </si>
  <si>
    <t>13-Aug</t>
  </si>
  <si>
    <t>62.84338/092.29485</t>
  </si>
  <si>
    <t>recapture</t>
  </si>
  <si>
    <t>06H</t>
  </si>
  <si>
    <t>23K</t>
  </si>
  <si>
    <t>reconyx</t>
  </si>
  <si>
    <r>
      <t xml:space="preserve">May 24: </t>
    </r>
    <r>
      <rPr>
        <sz val="10"/>
        <color rgb="FF000000"/>
        <rFont val="Times New Roman"/>
        <family val="1"/>
      </rPr>
      <t xml:space="preserve">1 PEFA flew by and left quickly. </t>
    </r>
    <r>
      <rPr>
        <b/>
        <sz val="10"/>
        <color rgb="FF000000"/>
        <rFont val="Times New Roman"/>
        <family val="1"/>
      </rPr>
      <t xml:space="preserve">May 28: </t>
    </r>
    <r>
      <rPr>
        <sz val="10"/>
        <color rgb="FF000000"/>
        <rFont val="Times New Roman"/>
        <family val="1"/>
      </rPr>
      <t xml:space="preserve">PEFA pair, caught male, recapture. </t>
    </r>
    <r>
      <rPr>
        <b/>
        <sz val="10"/>
        <color rgb="FF000000"/>
        <rFont val="Times New Roman"/>
        <family val="1"/>
      </rPr>
      <t xml:space="preserve">June 9: </t>
    </r>
    <r>
      <rPr>
        <sz val="10"/>
        <color rgb="FF000000"/>
        <rFont val="Times New Roman"/>
        <family val="1"/>
      </rPr>
      <t xml:space="preserve"> Different cliff than 2015. PEFA pair, 1 egg, deployed cam + RG / I button (15: 45). </t>
    </r>
    <r>
      <rPr>
        <b/>
        <sz val="10"/>
        <color rgb="FF000000"/>
        <rFont val="Times New Roman"/>
        <family val="1"/>
      </rPr>
      <t xml:space="preserve"> June 19: </t>
    </r>
    <r>
      <rPr>
        <sz val="10"/>
        <color rgb="FF000000"/>
        <rFont val="Times New Roman"/>
        <family val="1"/>
      </rPr>
      <t xml:space="preserve"> PEFA pair, female incubating, 4 eggs, changed batt +mem. Card. Cam angle changed a bit. RG : traces. </t>
    </r>
    <r>
      <rPr>
        <b/>
        <sz val="10"/>
        <color rgb="FF000000"/>
        <rFont val="Times New Roman"/>
        <family val="1"/>
      </rPr>
      <t xml:space="preserve">June 28: </t>
    </r>
    <r>
      <rPr>
        <sz val="10"/>
        <color rgb="FF000000"/>
        <rFont val="Times New Roman"/>
        <family val="1"/>
      </rPr>
      <t xml:space="preserve"> PEFA pair, 2 eggs ( + 1 found cracked and empty at the bottom of cliff), the other one nowhere to be seen. Changed btt + m.c, RG: 12mm. July 8: PEFA pair + 2 eggs, Battery + Memory card Changed, RG: empty. </t>
    </r>
    <r>
      <rPr>
        <b/>
        <sz val="10"/>
        <color rgb="FF000000"/>
        <rFont val="Times New Roman"/>
        <family val="1"/>
      </rPr>
      <t xml:space="preserve">July 20: </t>
    </r>
    <r>
      <rPr>
        <sz val="10"/>
        <color rgb="FF000000"/>
        <rFont val="Times New Roman"/>
        <family val="1"/>
      </rPr>
      <t xml:space="preserve">PEFA pair, 2 chicks, changed B +m.c, RG: 0, SUPPLEMENTATION-visit-5D ; 2 quails given (414g). </t>
    </r>
    <r>
      <rPr>
        <b/>
        <sz val="10"/>
        <color rgb="FF000000"/>
        <rFont val="Times New Roman"/>
        <family val="1"/>
      </rPr>
      <t xml:space="preserve">July 25: </t>
    </r>
    <r>
      <rPr>
        <sz val="10"/>
        <color rgb="FF000000"/>
        <rFont val="Times New Roman"/>
        <family val="1"/>
      </rPr>
      <t xml:space="preserve"> PEFA female, 2 chicks, changed b+m.c, RG: 0,1cm, SUPPLEMENTATION-visit-10D; 2 quails given (474 g). </t>
    </r>
    <r>
      <rPr>
        <b/>
        <sz val="10"/>
        <color rgb="FF000000"/>
        <rFont val="Times New Roman"/>
        <family val="1"/>
      </rPr>
      <t xml:space="preserve">July 30: </t>
    </r>
    <r>
      <rPr>
        <sz val="10"/>
        <color rgb="FF000000"/>
        <rFont val="Times New Roman"/>
        <family val="1"/>
      </rPr>
      <t xml:space="preserve">PEFA pair, 2 chicks, changed b +m.c, RG: 0, SUPPLEMENTATION-visit-15D; 4 quails (780 g). </t>
    </r>
    <r>
      <rPr>
        <b/>
        <sz val="10"/>
        <color rgb="FF000000"/>
        <rFont val="Times New Roman"/>
        <family val="1"/>
      </rPr>
      <t xml:space="preserve">August 5: </t>
    </r>
    <r>
      <rPr>
        <sz val="10"/>
        <color rgb="FF000000"/>
        <rFont val="Times New Roman"/>
        <family val="1"/>
      </rPr>
      <t xml:space="preserve">PEFA pair, 2 chicks, b+m.c changed, RG: 4 cm, SUPPLEMENTATION-20D; 4Q (940 g). </t>
    </r>
    <r>
      <rPr>
        <b/>
        <sz val="10"/>
        <color rgb="FF000000"/>
        <rFont val="Times New Roman"/>
        <family val="1"/>
      </rPr>
      <t xml:space="preserve">August 9: </t>
    </r>
    <r>
      <rPr>
        <sz val="10"/>
        <color rgb="FF000000"/>
        <rFont val="Times New Roman"/>
        <family val="1"/>
      </rPr>
      <t xml:space="preserve">PEFA female, 2 chicks, RG: 0,2 cm, changed b + m.c, SUPLLEMENT-25D-1047 grams given. </t>
    </r>
    <r>
      <rPr>
        <b/>
        <sz val="10"/>
        <color rgb="FF000000"/>
        <rFont val="Times New Roman"/>
        <family val="1"/>
      </rPr>
      <t xml:space="preserve">Aug 14: </t>
    </r>
    <r>
      <rPr>
        <sz val="10"/>
        <color rgb="FF000000"/>
        <rFont val="Times New Roman"/>
        <family val="1"/>
      </rPr>
      <t>PEFA pair territorial, weighed 2 chicks, removed camera and weather (iButton removed), RG=0, SUPPLEMENT-30D</t>
    </r>
  </si>
  <si>
    <t>y(0:45s)</t>
  </si>
  <si>
    <t>Rectrices</t>
  </si>
  <si>
    <t>&lt;0.1mm</t>
  </si>
  <si>
    <t>26/f</t>
  </si>
  <si>
    <t>24/m</t>
  </si>
  <si>
    <t>Blood #2 - 0.5 ml</t>
  </si>
  <si>
    <t>y</t>
  </si>
  <si>
    <t>14-Aug</t>
  </si>
  <si>
    <r>
      <t xml:space="preserve">May 26: </t>
    </r>
    <r>
      <rPr>
        <sz val="10"/>
        <color rgb="FF000000"/>
        <rFont val="Times New Roman"/>
        <family val="1"/>
      </rPr>
      <t>No bird seen.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June 13: </t>
    </r>
    <r>
      <rPr>
        <sz val="10"/>
        <color rgb="FF000000"/>
        <rFont val="Times New Roman"/>
        <family val="1"/>
      </rPr>
      <t>Empty.</t>
    </r>
    <r>
      <rPr>
        <b/>
        <sz val="10"/>
        <color rgb="FF000000"/>
        <rFont val="Times New Roman"/>
        <family val="1"/>
      </rPr>
      <t xml:space="preserve">  June 22 (Copter survey):</t>
    </r>
    <r>
      <rPr>
        <sz val="10"/>
        <color rgb="FF000000"/>
        <rFont val="Times New Roman"/>
        <family val="1"/>
      </rPr>
      <t xml:space="preserve"> Empty</t>
    </r>
  </si>
  <si>
    <t>62.84145/092.28509</t>
  </si>
  <si>
    <t>RLHA</t>
  </si>
  <si>
    <t>Tarsus (mm)</t>
  </si>
  <si>
    <t>25/F</t>
  </si>
  <si>
    <t>1857-13238</t>
  </si>
  <si>
    <r>
      <t xml:space="preserve">May 23: </t>
    </r>
    <r>
      <rPr>
        <sz val="10"/>
        <color rgb="FF000000"/>
        <rFont val="Times New Roman"/>
        <family val="1"/>
      </rPr>
      <t>No bird seen, lots of white wash.</t>
    </r>
    <r>
      <rPr>
        <b/>
        <sz val="10"/>
        <color rgb="FF000000"/>
        <rFont val="Times New Roman"/>
        <family val="1"/>
      </rPr>
      <t xml:space="preserve"> May 29:</t>
    </r>
    <r>
      <rPr>
        <sz val="10"/>
        <color rgb="FF000000"/>
        <rFont val="Times New Roman"/>
        <family val="1"/>
      </rPr>
      <t xml:space="preserve">No bird seen. </t>
    </r>
    <r>
      <rPr>
        <b/>
        <sz val="10"/>
        <color rgb="FF000000"/>
        <rFont val="Times New Roman"/>
        <family val="1"/>
      </rPr>
      <t xml:space="preserve"> May 31: </t>
    </r>
    <r>
      <rPr>
        <sz val="10"/>
        <color rgb="FF000000"/>
        <rFont val="Times New Roman"/>
        <family val="1"/>
      </rPr>
      <t xml:space="preserve"> No bird seen. </t>
    </r>
    <r>
      <rPr>
        <b/>
        <sz val="10"/>
        <color rgb="FF000000"/>
        <rFont val="Times New Roman"/>
        <family val="1"/>
      </rPr>
      <t xml:space="preserve">June 23 (Copter survey):  </t>
    </r>
    <r>
      <rPr>
        <sz val="10"/>
        <color rgb="FF000000"/>
        <rFont val="Times New Roman"/>
        <family val="1"/>
      </rPr>
      <t>Empty</t>
    </r>
  </si>
  <si>
    <t>Control</t>
  </si>
  <si>
    <t>smear</t>
  </si>
  <si>
    <t>hematocrit</t>
  </si>
  <si>
    <t>tot. solids</t>
  </si>
  <si>
    <t>01H</t>
  </si>
  <si>
    <t>Camera</t>
  </si>
  <si>
    <t>Alex</t>
  </si>
  <si>
    <t>tot. Solids</t>
  </si>
  <si>
    <t>18K</t>
  </si>
  <si>
    <r>
      <t xml:space="preserve">May 19: </t>
    </r>
    <r>
      <rPr>
        <sz val="10"/>
        <color rgb="FF000000"/>
        <rFont val="Times New Roman"/>
        <family val="1"/>
      </rPr>
      <t xml:space="preserve">PEFA pair, one banded bird at least.  </t>
    </r>
    <r>
      <rPr>
        <b/>
        <sz val="10"/>
        <color rgb="FF000000"/>
        <rFont val="Times New Roman"/>
        <family val="1"/>
      </rPr>
      <t xml:space="preserve">June 11: </t>
    </r>
    <r>
      <rPr>
        <sz val="10"/>
        <color rgb="FF000000"/>
        <rFont val="Times New Roman"/>
        <family val="1"/>
      </rPr>
      <t xml:space="preserve">PEFA pair, foun nest with 3 eggs, no WP taken. Deployed cam+ RG/ I button (11:30). </t>
    </r>
    <r>
      <rPr>
        <b/>
        <sz val="10"/>
        <color rgb="FF000000"/>
        <rFont val="Times New Roman"/>
        <family val="1"/>
      </rPr>
      <t xml:space="preserve">June 23 (Copter survey):  </t>
    </r>
    <r>
      <rPr>
        <sz val="10"/>
        <color rgb="FF000000"/>
        <rFont val="Times New Roman"/>
        <family val="1"/>
      </rPr>
      <t>PEFA ind. Banded, 3 eggs, changed batt +m.c</t>
    </r>
    <r>
      <rPr>
        <b/>
        <sz val="10"/>
        <color rgb="FF000000"/>
        <rFont val="Times New Roman"/>
        <family val="1"/>
      </rPr>
      <t xml:space="preserve"> July 4</t>
    </r>
    <r>
      <rPr>
        <sz val="10"/>
        <color rgb="FF000000"/>
        <rFont val="Times New Roman"/>
        <family val="1"/>
      </rPr>
      <t xml:space="preserve">: PEFA pair + 3 eggs, Batterie + memory card changed, Rg: Trace. </t>
    </r>
    <r>
      <rPr>
        <b/>
        <sz val="10"/>
        <color rgb="FF000000"/>
        <rFont val="Times New Roman"/>
        <family val="1"/>
      </rPr>
      <t xml:space="preserve">July 14 : </t>
    </r>
    <r>
      <rPr>
        <sz val="10"/>
        <color rgb="FF000000"/>
        <rFont val="Times New Roman"/>
        <family val="1"/>
      </rPr>
      <t xml:space="preserve">PEFA female + 3 chicks, battery + memcard changed, Rg: emtpy. RED: tarse=33.99, Weight=169, Crop=2/4. BLUE: T= 29,53. W=141 C= 1/3. GREEN: T=27.95, W=144, C=1/4. </t>
    </r>
    <r>
      <rPr>
        <b/>
        <sz val="10"/>
        <color rgb="FF000000"/>
        <rFont val="Times New Roman"/>
        <family val="1"/>
      </rPr>
      <t xml:space="preserve">July 18: </t>
    </r>
    <r>
      <rPr>
        <sz val="10"/>
        <color rgb="FF000000"/>
        <rFont val="Times New Roman"/>
        <family val="1"/>
      </rPr>
      <t xml:space="preserve">PEFA pair, 3 chicks, hanged m.c only, CONTROL-visit-10D. </t>
    </r>
    <r>
      <rPr>
        <b/>
        <sz val="10"/>
        <color rgb="FF000000"/>
        <rFont val="Times New Roman"/>
        <family val="1"/>
      </rPr>
      <t xml:space="preserve">July 24: </t>
    </r>
    <r>
      <rPr>
        <sz val="10"/>
        <color rgb="FF000000"/>
        <rFont val="Times New Roman"/>
        <family val="1"/>
      </rPr>
      <t xml:space="preserve">PEFA female, 3 chicks, changed b+m.c, Rg: 0,4 cm, CONTROL-visit-15D. Took blood on all chicks. </t>
    </r>
    <r>
      <rPr>
        <b/>
        <sz val="10"/>
        <color rgb="FF000000"/>
        <rFont val="Times New Roman"/>
        <family val="1"/>
      </rPr>
      <t xml:space="preserve">July 28: </t>
    </r>
    <r>
      <rPr>
        <sz val="10"/>
        <color rgb="FF000000"/>
        <rFont val="Times New Roman"/>
        <family val="1"/>
      </rPr>
      <t xml:space="preserve">PEFA female, 3 chicks, changed b +m.c, CONTROL-visit-20D. </t>
    </r>
    <r>
      <rPr>
        <b/>
        <sz val="10"/>
        <color rgb="FF000000"/>
        <rFont val="Times New Roman"/>
        <family val="1"/>
      </rPr>
      <t xml:space="preserve">August 4: </t>
    </r>
    <r>
      <rPr>
        <sz val="10"/>
        <color rgb="FF000000"/>
        <rFont val="Times New Roman"/>
        <family val="1"/>
      </rPr>
      <t xml:space="preserve">PEFA female, 3 chicks, changed b+m.c, RG: 4.7 cm CONTROL-25D.  </t>
    </r>
    <r>
      <rPr>
        <b/>
        <sz val="10"/>
        <color rgb="FF000000"/>
        <rFont val="Times New Roman"/>
        <family val="1"/>
      </rPr>
      <t xml:space="preserve">August 7: </t>
    </r>
    <r>
      <rPr>
        <sz val="10"/>
        <color rgb="FF000000"/>
        <rFont val="Times New Roman"/>
        <family val="1"/>
      </rPr>
      <t xml:space="preserve"> PEFA pair, 3 chicks, retrieved camera, CONTROL-30D (last visit)</t>
    </r>
  </si>
  <si>
    <t xml:space="preserve"> </t>
  </si>
  <si>
    <t>28/f</t>
  </si>
  <si>
    <t>27/f</t>
  </si>
  <si>
    <t>r</t>
  </si>
  <si>
    <t>b</t>
  </si>
  <si>
    <t>g</t>
  </si>
  <si>
    <t>62.74472/092.35995</t>
  </si>
  <si>
    <r>
      <t>May 25:</t>
    </r>
    <r>
      <rPr>
        <sz val="11"/>
        <color theme="1"/>
        <rFont val="Arial"/>
        <family val="2"/>
      </rPr>
      <t xml:space="preserve"> RLHA pair.  June 23 (copter survey): Found nest 300 m from original location. Took wp. RLHA pair, 5 eggs.</t>
    </r>
    <r>
      <rPr>
        <b/>
        <sz val="10"/>
        <color rgb="FF000000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 xml:space="preserve">Aug 17: </t>
    </r>
    <r>
      <rPr>
        <sz val="11"/>
        <color theme="1"/>
        <rFont val="Arial"/>
        <family val="2"/>
      </rPr>
      <t>coptersurvey, no adults, no chicks, signs of recent presence and thought to already fledge</t>
    </r>
  </si>
  <si>
    <t>Tarsus</t>
  </si>
  <si>
    <r>
      <t xml:space="preserve">May 19: </t>
    </r>
    <r>
      <rPr>
        <sz val="10"/>
        <color rgb="FF000000"/>
        <rFont val="Times New Roman"/>
        <family val="1"/>
      </rPr>
      <t>RLHA pair, aggressive calls, were sitting on cliff behind. New stick nest</t>
    </r>
    <r>
      <rPr>
        <b/>
        <sz val="10"/>
        <color rgb="FF000000"/>
        <rFont val="Times New Roman"/>
        <family val="1"/>
      </rPr>
      <t xml:space="preserve">. June 3: </t>
    </r>
    <r>
      <rPr>
        <sz val="10"/>
        <color rgb="FF000000"/>
        <rFont val="Times New Roman"/>
        <family val="1"/>
      </rPr>
      <t xml:space="preserve">RLHA pair, 5 eggs in nest. </t>
    </r>
    <r>
      <rPr>
        <b/>
        <sz val="10"/>
        <color rgb="FF000000"/>
        <rFont val="Times New Roman"/>
        <family val="1"/>
      </rPr>
      <t xml:space="preserve">June 11: </t>
    </r>
    <r>
      <rPr>
        <sz val="10"/>
        <color rgb="FF000000"/>
        <rFont val="Times New Roman"/>
        <family val="1"/>
      </rPr>
      <t xml:space="preserve">RLHA pair. </t>
    </r>
    <r>
      <rPr>
        <b/>
        <sz val="10"/>
        <color rgb="FF000000"/>
        <rFont val="Times New Roman"/>
        <family val="1"/>
      </rPr>
      <t xml:space="preserve">June 25: </t>
    </r>
    <r>
      <rPr>
        <sz val="10"/>
        <color rgb="FF000000"/>
        <rFont val="Times New Roman"/>
        <family val="1"/>
      </rPr>
      <t xml:space="preserve">RLHA pair. July 5 : RLHA pair + 5 chicks. 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>RLHA pair, 4 chicks. As arrived at nest, one chicks was on scrape 3 m down nest. Nest was to small and chicks to old to put them all back in so we let thm on scrape 3 m over nest with food that was in nest.</t>
    </r>
  </si>
  <si>
    <t>35/m</t>
  </si>
  <si>
    <t>35/f</t>
  </si>
  <si>
    <t>30/f</t>
  </si>
  <si>
    <t>62.81188/091.84276</t>
  </si>
  <si>
    <t>?6 E</t>
  </si>
  <si>
    <r>
      <t>May 22</t>
    </r>
    <r>
      <rPr>
        <sz val="10"/>
        <color rgb="FF000000"/>
        <rFont val="Times New Roman"/>
        <family val="1"/>
      </rPr>
      <t>: PEFA pair, tried trapping, very little interest.</t>
    </r>
    <r>
      <rPr>
        <b/>
        <sz val="10"/>
        <color rgb="FF000000"/>
        <rFont val="Times New Roman"/>
        <family val="1"/>
      </rPr>
      <t xml:space="preserve"> May 27: </t>
    </r>
    <r>
      <rPr>
        <sz val="10"/>
        <color rgb="FF000000"/>
        <rFont val="Times New Roman"/>
        <family val="1"/>
      </rPr>
      <t xml:space="preserve">PEFA pair at site. </t>
    </r>
    <r>
      <rPr>
        <b/>
        <sz val="10"/>
        <color rgb="FF000000"/>
        <rFont val="Times New Roman"/>
        <family val="1"/>
      </rPr>
      <t>June 2 : P</t>
    </r>
    <r>
      <rPr>
        <sz val="10"/>
        <color rgb="FF000000"/>
        <rFont val="Times New Roman"/>
        <family val="1"/>
      </rPr>
      <t>EFA pair, female flw inland when approached near cliff from 2014. Tried trapping on pigeon for 35 min without success.</t>
    </r>
    <r>
      <rPr>
        <b/>
        <sz val="10"/>
        <color rgb="FF000000"/>
        <rFont val="Times New Roman"/>
        <family val="1"/>
      </rPr>
      <t xml:space="preserve"> June 13: </t>
    </r>
    <r>
      <rPr>
        <sz val="10"/>
        <color rgb="FF000000"/>
        <rFont val="Times New Roman"/>
        <family val="1"/>
      </rPr>
      <t xml:space="preserve">PEFA pair, 4 eggs, site inland like 2014. Deployed cam+ RG (NO I BUTTON). July 6 : PEFA pair + 4 eggs, Batterie changed + Memory card changed, RG: 0,10 cm . </t>
    </r>
    <r>
      <rPr>
        <b/>
        <sz val="10"/>
        <color rgb="FF000000"/>
        <rFont val="Times New Roman"/>
        <family val="1"/>
      </rPr>
      <t xml:space="preserve">July 19: </t>
    </r>
    <r>
      <rPr>
        <sz val="10"/>
        <color rgb="FF000000"/>
        <rFont val="Times New Roman"/>
        <family val="1"/>
      </rPr>
      <t>NO PEFA, 1 cold egg...nest FAILED, no information on reconyx (cam stopped takig picture on 11/07</t>
    </r>
  </si>
  <si>
    <t>62.81462/091.84754</t>
  </si>
  <si>
    <r>
      <t>May 22:</t>
    </r>
    <r>
      <rPr>
        <sz val="10"/>
        <color rgb="FF000000"/>
        <rFont val="Times New Roman"/>
        <family val="1"/>
      </rPr>
      <t xml:space="preserve"> RLHA pair, territorial</t>
    </r>
    <r>
      <rPr>
        <b/>
        <sz val="10"/>
        <color rgb="FF000000"/>
        <rFont val="Times New Roman"/>
        <family val="1"/>
      </rPr>
      <t>. May 27:</t>
    </r>
    <r>
      <rPr>
        <sz val="10"/>
        <color rgb="FF000000"/>
        <rFont val="Times New Roman"/>
        <family val="1"/>
      </rPr>
      <t xml:space="preserve"> RLHA pair, territorial.</t>
    </r>
    <r>
      <rPr>
        <b/>
        <sz val="10"/>
        <color rgb="FF000000"/>
        <rFont val="Times New Roman"/>
        <family val="1"/>
      </rPr>
      <t>June 2:</t>
    </r>
    <r>
      <rPr>
        <sz val="10"/>
        <color rgb="FF000000"/>
        <rFont val="Times New Roman"/>
        <family val="1"/>
      </rPr>
      <t xml:space="preserve"> RLHA pair + 1 intruder, territorial pair screaming. Stick nest with 2 eggs, July 6 : RLHA pair + 4 eggs. </t>
    </r>
    <r>
      <rPr>
        <b/>
        <sz val="10"/>
        <color rgb="FF000000"/>
        <rFont val="Times New Roman"/>
        <family val="1"/>
      </rPr>
      <t>Aug. 13:</t>
    </r>
    <r>
      <rPr>
        <sz val="10"/>
        <color rgb="FF000000"/>
        <rFont val="Times New Roman"/>
        <family val="1"/>
      </rPr>
      <t xml:space="preserve"> RLHA pair territorial, 4 chicks, banded and weighed.</t>
    </r>
  </si>
  <si>
    <t>-/m</t>
  </si>
  <si>
    <t>-/f</t>
  </si>
  <si>
    <r>
      <t xml:space="preserve"> June 20 (copter survey): </t>
    </r>
    <r>
      <rPr>
        <sz val="10"/>
        <color rgb="FF000000"/>
        <rFont val="Times New Roman"/>
        <family val="1"/>
      </rPr>
      <t>Empty</t>
    </r>
  </si>
  <si>
    <t>30/m</t>
  </si>
  <si>
    <t>Smear</t>
  </si>
  <si>
    <t>Hematocrit</t>
  </si>
  <si>
    <t>Tot. Solids</t>
  </si>
  <si>
    <r>
      <rPr>
        <b/>
        <sz val="10"/>
        <color rgb="FF000000"/>
        <rFont val="Times New Roman"/>
        <family val="1"/>
      </rPr>
      <t xml:space="preserve">May 23: </t>
    </r>
    <r>
      <rPr>
        <sz val="10"/>
        <color rgb="FF000000"/>
        <rFont val="Times New Roman"/>
        <family val="1"/>
      </rPr>
      <t>No bird seen, had lunch there.</t>
    </r>
    <r>
      <rPr>
        <b/>
        <sz val="10"/>
        <color rgb="FF000000"/>
        <rFont val="Times New Roman"/>
        <family val="1"/>
      </rPr>
      <t xml:space="preserve"> May 31: </t>
    </r>
    <r>
      <rPr>
        <sz val="10"/>
        <color rgb="FF000000"/>
        <rFont val="Times New Roman"/>
        <family val="1"/>
      </rPr>
      <t xml:space="preserve"> No bird seen.</t>
    </r>
    <r>
      <rPr>
        <b/>
        <sz val="10"/>
        <color rgb="FF000000"/>
        <rFont val="Times New Roman"/>
        <family val="1"/>
      </rPr>
      <t xml:space="preserve"> June 8</t>
    </r>
    <r>
      <rPr>
        <sz val="10"/>
        <color rgb="FF000000"/>
        <rFont val="Times New Roman"/>
        <family val="1"/>
      </rPr>
      <t xml:space="preserve"> : Empty. </t>
    </r>
    <r>
      <rPr>
        <b/>
        <sz val="10"/>
        <color rgb="FF000000"/>
        <rFont val="Times New Roman"/>
        <family val="1"/>
      </rPr>
      <t xml:space="preserve"> June 23 (copter survey):  </t>
    </r>
    <r>
      <rPr>
        <sz val="10"/>
        <color rgb="FF000000"/>
        <rFont val="Times New Roman"/>
        <family val="1"/>
      </rPr>
      <t xml:space="preserve">Empty. </t>
    </r>
    <r>
      <rPr>
        <b/>
        <sz val="10"/>
        <color rgb="FF000000"/>
        <rFont val="Times New Roman"/>
        <family val="1"/>
      </rPr>
      <t xml:space="preserve">July 23: </t>
    </r>
    <r>
      <rPr>
        <sz val="10"/>
        <color rgb="FF000000"/>
        <rFont val="Times New Roman"/>
        <family val="1"/>
      </rPr>
      <t xml:space="preserve"> PEFA pair, territorial, looked everywhre for scrape without finding eggs / chicks, both birds where equally territorial from E to W of cliff, must check again, left after 1h30 of searching. </t>
    </r>
    <r>
      <rPr>
        <b/>
        <sz val="10"/>
        <color rgb="FF000000"/>
        <rFont val="Times New Roman"/>
        <family val="1"/>
      </rPr>
      <t xml:space="preserve">July 28: </t>
    </r>
    <r>
      <rPr>
        <sz val="10"/>
        <color rgb="FF000000"/>
        <rFont val="Times New Roman"/>
        <family val="1"/>
      </rPr>
      <t>PEFA pair, searched nest for 1h, no sign of nest...female landed at many different spot</t>
    </r>
  </si>
  <si>
    <r>
      <rPr>
        <b/>
        <sz val="10"/>
        <color rgb="FF000000"/>
        <rFont val="Times New Roman"/>
        <family val="1"/>
      </rPr>
      <t xml:space="preserve">May 23: </t>
    </r>
    <r>
      <rPr>
        <sz val="10"/>
        <color rgb="FF000000"/>
        <rFont val="Times New Roman"/>
        <family val="1"/>
      </rPr>
      <t xml:space="preserve"> RLHA pair, territorial. </t>
    </r>
    <r>
      <rPr>
        <b/>
        <sz val="10"/>
        <color rgb="FF000000"/>
        <rFont val="Times New Roman"/>
        <family val="1"/>
      </rPr>
      <t xml:space="preserve">June 8: </t>
    </r>
    <r>
      <rPr>
        <sz val="10"/>
        <color rgb="FF000000"/>
        <rFont val="Times New Roman"/>
        <family val="1"/>
      </rPr>
      <t xml:space="preserve">Empty. </t>
    </r>
    <r>
      <rPr>
        <b/>
        <sz val="10"/>
        <color rgb="FF000000"/>
        <rFont val="Times New Roman"/>
        <family val="1"/>
      </rPr>
      <t xml:space="preserve"> June 23 (copter survey):</t>
    </r>
    <r>
      <rPr>
        <sz val="10"/>
        <color rgb="FF000000"/>
        <rFont val="Times New Roman"/>
        <family val="1"/>
      </rPr>
      <t xml:space="preserve"> Territorial pair, cant fnd nest, had to go back pick up Kev.</t>
    </r>
  </si>
  <si>
    <r>
      <t>May 21:</t>
    </r>
    <r>
      <rPr>
        <sz val="10"/>
        <color rgb="FF000000"/>
        <rFont val="Times New Roman"/>
        <family val="1"/>
      </rPr>
      <t xml:space="preserve"> Rlha pair, territorial, 1 PEFA passing by. </t>
    </r>
    <r>
      <rPr>
        <b/>
        <sz val="10"/>
        <color rgb="FF000000"/>
        <rFont val="Times New Roman"/>
        <family val="1"/>
      </rPr>
      <t xml:space="preserve">June 9: </t>
    </r>
    <r>
      <rPr>
        <sz val="10"/>
        <color rgb="FF000000"/>
        <rFont val="Times New Roman"/>
        <family val="1"/>
      </rPr>
      <t xml:space="preserve">RLHA on nest. </t>
    </r>
    <r>
      <rPr>
        <b/>
        <sz val="10"/>
        <color rgb="FF000000"/>
        <rFont val="Times New Roman"/>
        <family val="1"/>
      </rPr>
      <t xml:space="preserve">June 15: </t>
    </r>
    <r>
      <rPr>
        <sz val="10"/>
        <color rgb="FF000000"/>
        <rFont val="Times New Roman"/>
        <family val="1"/>
      </rPr>
      <t xml:space="preserve"> RLHA still there.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RLHA female, fighting with PFA female, potentially injured, flew away (poorly) to the south , deployed stand for trapping,  4 chicks. </t>
    </r>
    <r>
      <rPr>
        <b/>
        <sz val="10"/>
        <color rgb="FF000000"/>
        <rFont val="Times New Roman"/>
        <family val="1"/>
      </rPr>
      <t xml:space="preserve">July 18: </t>
    </r>
    <r>
      <rPr>
        <sz val="10"/>
        <color rgb="FF000000"/>
        <rFont val="Times New Roman"/>
        <family val="1"/>
      </rPr>
      <t xml:space="preserve">RLHA ind, 4 chicks, nest still going but female nowhere to bee seen. </t>
    </r>
    <r>
      <rPr>
        <b/>
        <sz val="10"/>
        <color rgb="FF000000"/>
        <rFont val="Times New Roman"/>
        <family val="1"/>
      </rPr>
      <t>July 25:</t>
    </r>
    <r>
      <rPr>
        <sz val="10"/>
        <color rgb="FF000000"/>
        <rFont val="Times New Roman"/>
        <family val="1"/>
      </rPr>
      <t xml:space="preserve"> RLHA ind. , 4 chicks ( at least 20 days). </t>
    </r>
    <r>
      <rPr>
        <b/>
        <sz val="10"/>
        <color rgb="FF000000"/>
        <rFont val="Times New Roman"/>
        <family val="1"/>
      </rPr>
      <t>Aug 13:</t>
    </r>
    <r>
      <rPr>
        <sz val="10"/>
        <color rgb="FF000000"/>
        <rFont val="Times New Roman"/>
        <family val="1"/>
      </rPr>
      <t xml:space="preserve"> RLHA adult female seen and one fledged young flew from ground to horizon.</t>
    </r>
  </si>
  <si>
    <t>62.74252/092.17476</t>
  </si>
  <si>
    <r>
      <t xml:space="preserve">May 23: </t>
    </r>
    <r>
      <rPr>
        <sz val="10"/>
        <color rgb="FF000000"/>
        <rFont val="Times New Roman"/>
        <family val="1"/>
      </rPr>
      <t xml:space="preserve"> 1 PEFA seen flying, PEFA pair at site, 3rd bird came. </t>
    </r>
    <r>
      <rPr>
        <b/>
        <sz val="10"/>
        <color rgb="FF000000"/>
        <rFont val="Times New Roman"/>
        <family val="1"/>
      </rPr>
      <t xml:space="preserve">May 31:  </t>
    </r>
    <r>
      <rPr>
        <sz val="10"/>
        <color rgb="FF000000"/>
        <rFont val="Times New Roman"/>
        <family val="1"/>
      </rPr>
      <t xml:space="preserve"> PEFA pair at site. </t>
    </r>
    <r>
      <rPr>
        <b/>
        <sz val="10"/>
        <color rgb="FF000000"/>
        <rFont val="Times New Roman"/>
        <family val="1"/>
      </rPr>
      <t xml:space="preserve">June 8: </t>
    </r>
    <r>
      <rPr>
        <sz val="10"/>
        <color rgb="FF000000"/>
        <rFont val="Times New Roman"/>
        <family val="1"/>
      </rPr>
      <t xml:space="preserve">Different scrape than usual, bit more east. PEFA pair,1 egg. Deployed RG + I button (13:15). </t>
    </r>
    <r>
      <rPr>
        <b/>
        <sz val="10"/>
        <color rgb="FF000000"/>
        <rFont val="Times New Roman"/>
        <family val="1"/>
      </rPr>
      <t xml:space="preserve"> June 23 (copter survey):</t>
    </r>
    <r>
      <rPr>
        <sz val="10"/>
        <color rgb="FF000000"/>
        <rFont val="Times New Roman"/>
        <family val="1"/>
      </rPr>
      <t xml:space="preserve"> PEFA pair, 3 eggs, deployed cam. RG: traces. July 7 : PEFA pair + 4 eggs, batterie + mem.card changed Rg: empty.</t>
    </r>
    <r>
      <rPr>
        <b/>
        <sz val="10"/>
        <color rgb="FF000000"/>
        <rFont val="Times New Roman"/>
        <family val="1"/>
      </rPr>
      <t xml:space="preserve">July 18: </t>
    </r>
    <r>
      <rPr>
        <sz val="10"/>
        <color rgb="FF000000"/>
        <rFont val="Times New Roman"/>
        <family val="1"/>
      </rPr>
      <t xml:space="preserve"> PEFA pair, 4 chicks, Cam stopped taking picture before hatch date...so assumed they where born yesterday due to the weight, RG: 0. </t>
    </r>
    <r>
      <rPr>
        <b/>
        <sz val="10"/>
        <color rgb="FF000000"/>
        <rFont val="Times New Roman"/>
        <family val="1"/>
      </rPr>
      <t xml:space="preserve">July 23: </t>
    </r>
    <r>
      <rPr>
        <sz val="10"/>
        <color rgb="FF000000"/>
        <rFont val="Times New Roman"/>
        <family val="1"/>
      </rPr>
      <t xml:space="preserve">PEFA pair, 4 chhicks, changed b + m.c, RG: 0cm, CONTROL-visit-5D. </t>
    </r>
    <r>
      <rPr>
        <b/>
        <sz val="10"/>
        <color rgb="FF000000"/>
        <rFont val="Times New Roman"/>
        <family val="1"/>
      </rPr>
      <t>July 28</t>
    </r>
    <r>
      <rPr>
        <sz val="10"/>
        <color rgb="FF000000"/>
        <rFont val="Times New Roman"/>
        <family val="1"/>
      </rPr>
      <t xml:space="preserve"> PEFA female, 3 chicks (blue missing), changed b +m.c,RG: 0, CONTROL-visit-10D. </t>
    </r>
    <r>
      <rPr>
        <b/>
        <sz val="10"/>
        <color rgb="FF000000"/>
        <rFont val="Times New Roman"/>
        <family val="1"/>
      </rPr>
      <t xml:space="preserve">August 3: </t>
    </r>
    <r>
      <rPr>
        <sz val="10"/>
        <color rgb="FF000000"/>
        <rFont val="Times New Roman"/>
        <family val="1"/>
      </rPr>
      <t xml:space="preserve"> PEFA female, 2 chicks + 1 dead in nest (white), changed b + m.c, RG: 0, CONTROL-visit 15D---no blood taken. </t>
    </r>
    <r>
      <rPr>
        <b/>
        <sz val="10"/>
        <color rgb="FF000000"/>
        <rFont val="Times New Roman"/>
        <family val="1"/>
      </rPr>
      <t xml:space="preserve">August 7: </t>
    </r>
    <r>
      <rPr>
        <sz val="10"/>
        <color rgb="FF000000"/>
        <rFont val="Times New Roman"/>
        <family val="1"/>
      </rPr>
      <t xml:space="preserve">PEFA pair, 1 chick (green missing), b + m.c changed, RG: 0.8 cm, CONTROL-20D. </t>
    </r>
    <r>
      <rPr>
        <b/>
        <sz val="10"/>
        <color rgb="FF000000"/>
        <rFont val="Times New Roman"/>
        <family val="1"/>
      </rPr>
      <t>Aug 12:</t>
    </r>
    <r>
      <rPr>
        <sz val="10"/>
        <color rgb="FF000000"/>
        <rFont val="Times New Roman"/>
        <family val="1"/>
      </rPr>
      <t xml:space="preserve"> PEFA Pair, 1 chick, b + m.c changed, RG=0, CONTROL-25D. </t>
    </r>
    <r>
      <rPr>
        <b/>
        <sz val="10"/>
        <color rgb="FF000000"/>
        <rFont val="Times New Roman"/>
        <family val="1"/>
      </rPr>
      <t xml:space="preserve">Aug 17: </t>
    </r>
    <r>
      <rPr>
        <sz val="10"/>
        <color rgb="FF000000"/>
        <rFont val="Times New Roman"/>
        <family val="1"/>
      </rPr>
      <t xml:space="preserve"> copter visit, PEFA female territorial, weighed nestling, remove camera and RG (+ iButton), RG=0, CONTROL-30D.</t>
    </r>
  </si>
  <si>
    <t>x</t>
  </si>
  <si>
    <t>dead</t>
  </si>
  <si>
    <t>26/m</t>
  </si>
  <si>
    <t>white</t>
  </si>
  <si>
    <t>12-Aug</t>
  </si>
  <si>
    <t>04-Aug</t>
  </si>
  <si>
    <t>17-Aug</t>
  </si>
  <si>
    <t>062.85792/092.15467</t>
  </si>
  <si>
    <t>13-Aug-2016</t>
  </si>
  <si>
    <t>&gt;30</t>
  </si>
  <si>
    <t>&gt;30/m</t>
  </si>
  <si>
    <t>&gt;30/f</t>
  </si>
  <si>
    <t>CJN</t>
  </si>
  <si>
    <t>62.75277/092.23737</t>
  </si>
  <si>
    <r>
      <t>May 25</t>
    </r>
    <r>
      <rPr>
        <sz val="10"/>
        <color rgb="FF000000"/>
        <rFont val="Times New Roman"/>
        <family val="1"/>
      </rPr>
      <t>: RLHA pair</t>
    </r>
    <r>
      <rPr>
        <b/>
        <sz val="10"/>
        <color rgb="FF000000"/>
        <rFont val="Times New Roman"/>
        <family val="1"/>
      </rPr>
      <t xml:space="preserve">. June 8: </t>
    </r>
    <r>
      <rPr>
        <sz val="10"/>
        <color rgb="FF000000"/>
        <rFont val="Times New Roman"/>
        <family val="1"/>
      </rPr>
      <t xml:space="preserve">RLHA pair, female incubating. </t>
    </r>
    <r>
      <rPr>
        <b/>
        <sz val="10"/>
        <color rgb="FF000000"/>
        <rFont val="Times New Roman"/>
        <family val="1"/>
      </rPr>
      <t xml:space="preserve">June 15: </t>
    </r>
    <r>
      <rPr>
        <sz val="10"/>
        <color rgb="FF000000"/>
        <rFont val="Times New Roman"/>
        <family val="1"/>
      </rPr>
      <t xml:space="preserve">RLHA pair, female incubating, took WP </t>
    </r>
    <r>
      <rPr>
        <b/>
        <sz val="10"/>
        <color rgb="FF000000"/>
        <rFont val="Times New Roman"/>
        <family val="1"/>
      </rPr>
      <t>July 7:</t>
    </r>
    <r>
      <rPr>
        <sz val="10"/>
        <color rgb="FF000000"/>
        <rFont val="Times New Roman"/>
        <family val="1"/>
      </rPr>
      <t xml:space="preserve"> RLHA pair, still running. Good location for trapping. </t>
    </r>
    <r>
      <rPr>
        <b/>
        <sz val="10"/>
        <color rgb="FF000000"/>
        <rFont val="Times New Roman"/>
        <family val="1"/>
      </rPr>
      <t xml:space="preserve">July 18: </t>
    </r>
    <r>
      <rPr>
        <sz val="10"/>
        <color rgb="FF000000"/>
        <rFont val="Times New Roman"/>
        <family val="1"/>
      </rPr>
      <t xml:space="preserve">RLHA pair, 3 chicks, deployed stand for trapping. </t>
    </r>
    <r>
      <rPr>
        <b/>
        <sz val="10"/>
        <color rgb="FF000000"/>
        <rFont val="Times New Roman"/>
        <family val="1"/>
      </rPr>
      <t xml:space="preserve">August 7: </t>
    </r>
    <r>
      <rPr>
        <sz val="10"/>
        <color rgb="FF000000"/>
        <rFont val="Times New Roman"/>
        <family val="1"/>
      </rPr>
      <t xml:space="preserve"> RLHA female, 1 chick, banded it</t>
    </r>
  </si>
  <si>
    <t>F</t>
  </si>
  <si>
    <t>62.75735/ 092.25597</t>
  </si>
  <si>
    <t>62.76503/092.27883</t>
  </si>
  <si>
    <t>82K</t>
  </si>
  <si>
    <t>1065-hood + Habba</t>
  </si>
  <si>
    <t>New Capture</t>
  </si>
  <si>
    <t>AF</t>
  </si>
  <si>
    <t>83C</t>
  </si>
  <si>
    <t>1140-hood+habba</t>
  </si>
  <si>
    <r>
      <t xml:space="preserve">May 25: </t>
    </r>
    <r>
      <rPr>
        <sz val="10"/>
        <color rgb="FF000000"/>
        <rFont val="Times New Roman"/>
        <family val="1"/>
      </rPr>
      <t>PEFA pair + 1 intruder</t>
    </r>
    <r>
      <rPr>
        <b/>
        <sz val="10"/>
        <color rgb="FF000000"/>
        <rFont val="Times New Roman"/>
        <family val="1"/>
      </rPr>
      <t>. May 31: 2</t>
    </r>
    <r>
      <rPr>
        <sz val="10"/>
        <color rgb="FF000000"/>
        <rFont val="Times New Roman"/>
        <family val="1"/>
      </rPr>
      <t xml:space="preserve"> Females caught, 1 recapture and 1 new capture. </t>
    </r>
    <r>
      <rPr>
        <b/>
        <sz val="10"/>
        <color rgb="FF000000"/>
        <rFont val="Times New Roman"/>
        <family val="1"/>
      </rPr>
      <t xml:space="preserve">June 8: </t>
    </r>
    <r>
      <rPr>
        <sz val="10"/>
        <color rgb="FF000000"/>
        <rFont val="Times New Roman"/>
        <family val="1"/>
      </rPr>
      <t xml:space="preserve">PEFA pair,territorial but does not seem to have choose a scrape yet. Both looks quite big…unable to tell male from female.. </t>
    </r>
    <r>
      <rPr>
        <b/>
        <sz val="10"/>
        <color rgb="FF000000"/>
        <rFont val="Times New Roman"/>
        <family val="1"/>
      </rPr>
      <t xml:space="preserve">June 15: </t>
    </r>
    <r>
      <rPr>
        <sz val="10"/>
        <color rgb="FF000000"/>
        <rFont val="Times New Roman"/>
        <family val="1"/>
      </rPr>
      <t xml:space="preserve">PEFA female, banded, 3 eggs in nest (right next to nestbox). Depoyed cam + RG/I button (12:10). Check on cam if 4th egg for estimated lay date. </t>
    </r>
    <r>
      <rPr>
        <b/>
        <sz val="10"/>
        <color rgb="FF000000"/>
        <rFont val="Times New Roman"/>
        <family val="1"/>
      </rPr>
      <t xml:space="preserve"> June 23 (copter survey):  </t>
    </r>
    <r>
      <rPr>
        <sz val="10"/>
        <color rgb="FF000000"/>
        <rFont val="Times New Roman"/>
        <family val="1"/>
      </rPr>
      <t>PEFA pair, ? eggs(Alex forgot), changed batt but not m.c. RG: Traces July 7: PEFA female + 3 eggs, Mem card is 10%/16g, batterie 76 %, havent changed anything. Rg: empty..</t>
    </r>
    <r>
      <rPr>
        <b/>
        <sz val="10"/>
        <color rgb="FF000000"/>
        <rFont val="Times New Roman"/>
        <family val="1"/>
      </rPr>
      <t xml:space="preserve"> July 18: </t>
    </r>
    <r>
      <rPr>
        <sz val="10"/>
        <color rgb="FF000000"/>
        <rFont val="Times New Roman"/>
        <family val="1"/>
      </rPr>
      <t xml:space="preserve">Cam stopped taking picture before hatch...PEFA pair, 3 chicks  B+ m.c changed, RG: 0. SUPPLEMENTATION-visit-5d; 3 quails given (790 g). </t>
    </r>
    <r>
      <rPr>
        <b/>
        <sz val="10"/>
        <color rgb="FF000000"/>
        <rFont val="Times New Roman"/>
        <family val="1"/>
      </rPr>
      <t xml:space="preserve">July 23: </t>
    </r>
    <r>
      <rPr>
        <sz val="10"/>
        <color rgb="FF000000"/>
        <rFont val="Times New Roman"/>
        <family val="1"/>
      </rPr>
      <t xml:space="preserve"> PEFA female,  3 chicks, changed b + m.c, RG: 0.3 cm, SUPPLEMENTATION-visit-10D; 4 quails given (781 g). </t>
    </r>
    <r>
      <rPr>
        <b/>
        <sz val="10"/>
        <color rgb="FF000000"/>
        <rFont val="Times New Roman"/>
        <family val="1"/>
      </rPr>
      <t xml:space="preserve">July 28: </t>
    </r>
    <r>
      <rPr>
        <sz val="10"/>
        <color rgb="FF000000"/>
        <rFont val="Times New Roman"/>
        <family val="1"/>
      </rPr>
      <t>PEFA pair, 3 chicks, changed batt +m.c, RG: traces, SUPPLEMENTATION-visit-15D; 6 quails (1286g).</t>
    </r>
    <r>
      <rPr>
        <b/>
        <sz val="10"/>
        <color rgb="FF000000"/>
        <rFont val="Times New Roman"/>
        <family val="1"/>
      </rPr>
      <t xml:space="preserve"> August 3: </t>
    </r>
    <r>
      <rPr>
        <sz val="10"/>
        <color rgb="FF000000"/>
        <rFont val="Times New Roman"/>
        <family val="1"/>
      </rPr>
      <t xml:space="preserve">PEFA female, 3 chicks, changed b + m.c, RG: 1.1 cm. SUPPLEMENT-dayy 20- 5 quails (1280 g). </t>
    </r>
    <r>
      <rPr>
        <b/>
        <sz val="10"/>
        <color rgb="FF000000"/>
        <rFont val="Times New Roman"/>
        <family val="1"/>
      </rPr>
      <t xml:space="preserve">August 7: </t>
    </r>
    <r>
      <rPr>
        <sz val="10"/>
        <color rgb="FF000000"/>
        <rFont val="Times New Roman"/>
        <family val="1"/>
      </rPr>
      <t>PEFA pair, 3 chicks, b + m.c, RG: 5 cm, SUPPLEMENT-25D (blood and band)- 7Q (1501 g)May 25: PEFA pair + 1 intruder</t>
    </r>
    <r>
      <rPr>
        <b/>
        <sz val="10"/>
        <color rgb="FF000000"/>
        <rFont val="Times New Roman"/>
        <family val="1"/>
      </rPr>
      <t>. Aug 12:</t>
    </r>
    <r>
      <rPr>
        <sz val="10"/>
        <color rgb="FF000000"/>
        <rFont val="Times New Roman"/>
        <family val="1"/>
      </rPr>
      <t xml:space="preserve"> 1 PEFA adult, 3 chicks, camera removed, RG=0, weather station removed</t>
    </r>
  </si>
  <si>
    <t>y (1m04s)</t>
  </si>
  <si>
    <t>Rectrices(mm)</t>
  </si>
  <si>
    <t>23/f</t>
  </si>
  <si>
    <t>21/f</t>
  </si>
  <si>
    <t>May 25: No bird seen.</t>
  </si>
  <si>
    <t>62.76159/092.25610</t>
  </si>
  <si>
    <r>
      <t xml:space="preserve">May 25: </t>
    </r>
    <r>
      <rPr>
        <sz val="10"/>
        <color rgb="FF000000"/>
        <rFont val="Times New Roman"/>
        <family val="1"/>
      </rPr>
      <t>RLHA pair, territorial at site</t>
    </r>
    <r>
      <rPr>
        <b/>
        <sz val="10"/>
        <color rgb="FF000000"/>
        <rFont val="Times New Roman"/>
        <family val="1"/>
      </rPr>
      <t xml:space="preserve">. June 8: </t>
    </r>
    <r>
      <rPr>
        <sz val="10"/>
        <color rgb="FF000000"/>
        <rFont val="Times New Roman"/>
        <family val="1"/>
      </rPr>
      <t xml:space="preserve">RLHA pair, teritorial, cant find nest. </t>
    </r>
    <r>
      <rPr>
        <b/>
        <sz val="10"/>
        <color rgb="FF000000"/>
        <rFont val="Times New Roman"/>
        <family val="1"/>
      </rPr>
      <t xml:space="preserve"> June 23 (copter survey):</t>
    </r>
    <r>
      <rPr>
        <sz val="10"/>
        <color rgb="FF000000"/>
        <rFont val="Times New Roman"/>
        <family val="1"/>
      </rPr>
      <t xml:space="preserve"> RLHA pair, 3eggs, took wp. July 7 : RLHA pair + 2 chicks + 1 cracked egg with dead Siksik in the nest. Site need to be repel down.. </t>
    </r>
    <r>
      <rPr>
        <b/>
        <sz val="10"/>
        <color rgb="FF000000"/>
        <rFont val="Times New Roman"/>
        <family val="1"/>
      </rPr>
      <t xml:space="preserve">July 28: </t>
    </r>
    <r>
      <rPr>
        <sz val="10"/>
        <color rgb="FF000000"/>
        <rFont val="Times New Roman"/>
        <family val="1"/>
      </rPr>
      <t>RLHA female, 2 chicks, oldest have grown feathera on back</t>
    </r>
  </si>
  <si>
    <t>62.78399/092.29572</t>
  </si>
  <si>
    <r>
      <t xml:space="preserve">May 24: RLHA pair, aggressive calls, also PEFA ind. On top but flew away. June 5: RLHA pair, 2 eggs. Auhust 7: </t>
    </r>
    <r>
      <rPr>
        <sz val="10"/>
        <color rgb="FF000000"/>
        <rFont val="Times New Roman"/>
        <family val="1"/>
      </rPr>
      <t xml:space="preserve"> RLHA pair, 3 chicks, 2 oldest fledged in lake as arrived…retrieved them and banded them</t>
    </r>
  </si>
  <si>
    <t>M</t>
  </si>
  <si>
    <t>May 24: RLHA pair above site. June 8 : Empty</t>
  </si>
  <si>
    <t>62.79563/092.32358</t>
  </si>
  <si>
    <t>Pictures</t>
  </si>
  <si>
    <t>05B</t>
  </si>
  <si>
    <t>Mat and Kev</t>
  </si>
  <si>
    <r>
      <t xml:space="preserve">May 24: </t>
    </r>
    <r>
      <rPr>
        <sz val="10"/>
        <color rgb="FF000000"/>
        <rFont val="Times New Roman"/>
        <family val="1"/>
      </rPr>
      <t>PEFA ind. at site.</t>
    </r>
    <r>
      <rPr>
        <b/>
        <sz val="10"/>
        <color rgb="FF000000"/>
        <rFont val="Times New Roman"/>
        <family val="1"/>
      </rPr>
      <t xml:space="preserve">May 25: </t>
    </r>
    <r>
      <rPr>
        <sz val="10"/>
        <color rgb="FF000000"/>
        <rFont val="Times New Roman"/>
        <family val="1"/>
      </rPr>
      <t xml:space="preserve"> PEFA pair, tried trapping for 30 min, no interest. </t>
    </r>
    <r>
      <rPr>
        <b/>
        <sz val="10"/>
        <color rgb="FF000000"/>
        <rFont val="Times New Roman"/>
        <family val="1"/>
      </rPr>
      <t xml:space="preserve">June 3: </t>
    </r>
    <r>
      <rPr>
        <sz val="10"/>
        <color rgb="FF000000"/>
        <rFont val="Times New Roman"/>
        <family val="1"/>
      </rPr>
      <t>PEFA pair, tried trappinf, not interested. Female seemsfull of eggs</t>
    </r>
    <r>
      <rPr>
        <b/>
        <sz val="10"/>
        <color rgb="FF000000"/>
        <rFont val="Times New Roman"/>
        <family val="1"/>
      </rPr>
      <t xml:space="preserve">. June 8: </t>
    </r>
    <r>
      <rPr>
        <sz val="10"/>
        <color rgb="FF000000"/>
        <rFont val="Times New Roman"/>
        <family val="1"/>
      </rPr>
      <t xml:space="preserve">PEFA pair, 2 eggs, deployed cam + RG and I button (16: 20). </t>
    </r>
    <r>
      <rPr>
        <b/>
        <sz val="10"/>
        <color rgb="FF000000"/>
        <rFont val="Times New Roman"/>
        <family val="1"/>
      </rPr>
      <t xml:space="preserve"> June 23 (copter survey):</t>
    </r>
    <r>
      <rPr>
        <sz val="10"/>
        <color rgb="FF000000"/>
        <rFont val="Times New Roman"/>
        <family val="1"/>
      </rPr>
      <t xml:space="preserve"> PEFA pair, 4 eggs, chnaged b+ m.c, RG: traces July 7 : PEFA female + 4 eggs, Batterie still good, mem. card changed for a 4g, RG : 0,5 cm.</t>
    </r>
    <r>
      <rPr>
        <b/>
        <sz val="10"/>
        <color rgb="FF000000"/>
        <rFont val="Times New Roman"/>
        <family val="1"/>
      </rPr>
      <t xml:space="preserve"> July 18: </t>
    </r>
    <r>
      <rPr>
        <sz val="10"/>
        <color rgb="FF000000"/>
        <rFont val="Times New Roman"/>
        <family val="1"/>
      </rPr>
      <t xml:space="preserve">PEFA pair, 4 eggs, 2 cracked open, 1 of them with dead chick inside, no pippng...maybe failed? Changed b+m.c to make sure...RG: 0. </t>
    </r>
    <r>
      <rPr>
        <b/>
        <sz val="10"/>
        <color rgb="FF000000"/>
        <rFont val="Times New Roman"/>
        <family val="1"/>
      </rPr>
      <t xml:space="preserve">July 23:  </t>
    </r>
    <r>
      <rPr>
        <sz val="10"/>
        <color rgb="FF000000"/>
        <rFont val="Times New Roman"/>
        <family val="1"/>
      </rPr>
      <t>NO PEFA ata arrival, parents arrived 10 min after beginning of visit, 4 dead eggs, 2 of them cracked open. 2 intact eggs (cold and sun damaged) where let there but brought back two cracked ones, nest FAILED, brought back camera</t>
    </r>
  </si>
  <si>
    <r>
      <t xml:space="preserve">May 24: </t>
    </r>
    <r>
      <rPr>
        <sz val="10"/>
        <color rgb="FF000000"/>
        <rFont val="Times New Roman"/>
        <family val="1"/>
      </rPr>
      <t>RLHA pair, territorial, maybe pair from 72</t>
    </r>
    <r>
      <rPr>
        <b/>
        <sz val="10"/>
        <color rgb="FF000000"/>
        <rFont val="Times New Roman"/>
        <family val="1"/>
      </rPr>
      <t xml:space="preserve">? May 25: </t>
    </r>
    <r>
      <rPr>
        <sz val="10"/>
        <color rgb="FF000000"/>
        <rFont val="Times New Roman"/>
        <family val="1"/>
      </rPr>
      <t xml:space="preserve"> RLHA pair.</t>
    </r>
    <r>
      <rPr>
        <b/>
        <sz val="10"/>
        <color rgb="FF000000"/>
        <rFont val="Times New Roman"/>
        <family val="1"/>
      </rPr>
      <t xml:space="preserve"> June 23 (copter survey):</t>
    </r>
    <r>
      <rPr>
        <sz val="10"/>
        <color rgb="FF000000"/>
        <rFont val="Times New Roman"/>
        <family val="1"/>
      </rPr>
      <t xml:space="preserve"> RLHA female on nest, 5 eggs. </t>
    </r>
    <r>
      <rPr>
        <b/>
        <sz val="10"/>
        <color rgb="FF000000"/>
        <rFont val="Times New Roman"/>
        <family val="1"/>
      </rPr>
      <t>Aug 12:</t>
    </r>
    <r>
      <rPr>
        <sz val="10"/>
        <color rgb="FF000000"/>
        <rFont val="Times New Roman"/>
        <family val="1"/>
      </rPr>
      <t xml:space="preserve"> RLHA pair territorial, banded nestling which was feathered and flying.</t>
    </r>
  </si>
  <si>
    <t>Dylan B.</t>
  </si>
  <si>
    <t>62.78565/092.19209</t>
  </si>
  <si>
    <t>61E</t>
  </si>
  <si>
    <t>Alex's cam</t>
  </si>
  <si>
    <t>y (1min 30 sec</t>
  </si>
  <si>
    <t>y (&gt; 3 min)</t>
  </si>
  <si>
    <t>AA</t>
  </si>
  <si>
    <t>62.81912/092.25925</t>
  </si>
  <si>
    <t>New capture</t>
  </si>
  <si>
    <t>02M</t>
  </si>
  <si>
    <t>Enveloppe</t>
  </si>
  <si>
    <t>46E</t>
  </si>
  <si>
    <t>CORA</t>
  </si>
  <si>
    <r>
      <t xml:space="preserve">May 24: </t>
    </r>
    <r>
      <rPr>
        <sz val="10"/>
        <color rgb="FF000000"/>
        <rFont val="Times New Roman"/>
        <family val="1"/>
      </rPr>
      <t xml:space="preserve">CORA pair. </t>
    </r>
    <r>
      <rPr>
        <b/>
        <sz val="10"/>
        <color rgb="FF000000"/>
        <rFont val="Times New Roman"/>
        <family val="1"/>
      </rPr>
      <t xml:space="preserve">June 1: </t>
    </r>
    <r>
      <rPr>
        <sz val="10"/>
        <color rgb="FF000000"/>
        <rFont val="Times New Roman"/>
        <family val="1"/>
      </rPr>
      <t xml:space="preserve"> CORA still there. </t>
    </r>
    <r>
      <rPr>
        <b/>
        <sz val="10"/>
        <color rgb="FF000000"/>
        <rFont val="Times New Roman"/>
        <family val="1"/>
      </rPr>
      <t xml:space="preserve">June 15: </t>
    </r>
    <r>
      <rPr>
        <sz val="10"/>
        <color rgb="FF000000"/>
        <rFont val="Times New Roman"/>
        <family val="1"/>
      </rPr>
      <t xml:space="preserve"> CORA chicks in nest.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CORA, chick in nest. </t>
    </r>
    <r>
      <rPr>
        <b/>
        <sz val="10"/>
        <color rgb="FF000000"/>
        <rFont val="Times New Roman"/>
        <family val="1"/>
      </rPr>
      <t xml:space="preserve">July 26: </t>
    </r>
    <r>
      <rPr>
        <sz val="10"/>
        <color rgb="FF000000"/>
        <rFont val="Times New Roman"/>
        <family val="1"/>
      </rPr>
      <t>CORA (at least 5-6) everywhere around cliff</t>
    </r>
  </si>
  <si>
    <t>62.82976/-92.24797</t>
  </si>
  <si>
    <t>49E</t>
  </si>
  <si>
    <t>Mat's cam</t>
  </si>
  <si>
    <t>Mat and Cam</t>
  </si>
  <si>
    <r>
      <t xml:space="preserve">May 24: </t>
    </r>
    <r>
      <rPr>
        <sz val="10"/>
        <color rgb="FF000000"/>
        <rFont val="Times New Roman"/>
        <family val="1"/>
      </rPr>
      <t xml:space="preserve">PEFA female, banded, territorial. </t>
    </r>
    <r>
      <rPr>
        <b/>
        <sz val="10"/>
        <color rgb="FF000000"/>
        <rFont val="Times New Roman"/>
        <family val="1"/>
      </rPr>
      <t xml:space="preserve">June 1: </t>
    </r>
    <r>
      <rPr>
        <sz val="10"/>
        <color rgb="FF000000"/>
        <rFont val="Times New Roman"/>
        <family val="1"/>
      </rPr>
      <t xml:space="preserve">No bird seen, had lunch there. </t>
    </r>
    <r>
      <rPr>
        <b/>
        <sz val="10"/>
        <color rgb="FF000000"/>
        <rFont val="Times New Roman"/>
        <family val="1"/>
      </rPr>
      <t xml:space="preserve">June 15: </t>
    </r>
    <r>
      <rPr>
        <sz val="10"/>
        <color rgb="FF000000"/>
        <rFont val="Times New Roman"/>
        <family val="1"/>
      </rPr>
      <t xml:space="preserve"> PEFA female on site, not very territorial.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Empty. </t>
    </r>
    <r>
      <rPr>
        <b/>
        <sz val="10"/>
        <color rgb="FF000000"/>
        <rFont val="Times New Roman"/>
        <family val="1"/>
      </rPr>
      <t xml:space="preserve">July 26: FOUND NEST; </t>
    </r>
    <r>
      <rPr>
        <sz val="10"/>
        <color rgb="FF000000"/>
        <rFont val="Times New Roman"/>
        <family val="1"/>
      </rPr>
      <t xml:space="preserve">PEFA pair, scrape inaccessible, can see at least 2 chicks, maybe more...took wp. </t>
    </r>
    <r>
      <rPr>
        <b/>
        <sz val="10"/>
        <color rgb="FF000000"/>
        <rFont val="Times New Roman"/>
        <family val="1"/>
      </rPr>
      <t xml:space="preserve">July 28: </t>
    </r>
    <r>
      <rPr>
        <sz val="10"/>
        <color rgb="FF000000"/>
        <rFont val="Times New Roman"/>
        <family val="1"/>
      </rPr>
      <t>PEFA pair, took picture of female to get band</t>
    </r>
  </si>
  <si>
    <t>62.82932/092.24251</t>
  </si>
  <si>
    <t>62.84697/091.95907</t>
  </si>
  <si>
    <t>20H</t>
  </si>
  <si>
    <t>1947-19243</t>
  </si>
  <si>
    <t>24K</t>
  </si>
  <si>
    <r>
      <t xml:space="preserve">May 20: PEFA ind. May 27: Female caught. June 7: not same cliff as usual. PEFA pair, 1 egg, deployed cam+RG/I button (15:15). June 16 : </t>
    </r>
    <r>
      <rPr>
        <sz val="10"/>
        <color rgb="FF000000"/>
        <rFont val="Times New Roman"/>
        <family val="1"/>
      </rPr>
      <t xml:space="preserve">PEFA pair, 1 broken egg, found shell down the cliff, Camera+Rg+ibutton taken back. Verification on photo, Female trew the egg down the cliff. 4h00 after camera installation. </t>
    </r>
    <r>
      <rPr>
        <b/>
        <sz val="10"/>
        <color rgb="FF000000"/>
        <rFont val="Times New Roman"/>
        <family val="1"/>
      </rPr>
      <t xml:space="preserve"> July 12 : </t>
    </r>
    <r>
      <rPr>
        <sz val="10"/>
        <color rgb="FF000000"/>
        <rFont val="Times New Roman"/>
        <family val="1"/>
      </rPr>
      <t xml:space="preserve">Reverification, Nest havent fail, PEFA pair on 2 eggs, different scrape, same cliff. </t>
    </r>
    <r>
      <rPr>
        <b/>
        <sz val="10"/>
        <color rgb="FF000000"/>
        <rFont val="Times New Roman"/>
        <family val="1"/>
      </rPr>
      <t xml:space="preserve">July 17: </t>
    </r>
    <r>
      <rPr>
        <sz val="10"/>
        <color rgb="FF000000"/>
        <rFont val="Times New Roman"/>
        <family val="1"/>
      </rPr>
      <t xml:space="preserve">PEFA pair, 2 chicks, less than 5 days old. </t>
    </r>
    <r>
      <rPr>
        <b/>
        <sz val="10"/>
        <color rgb="FF000000"/>
        <rFont val="Times New Roman"/>
        <family val="1"/>
      </rPr>
      <t xml:space="preserve">July 22: </t>
    </r>
    <r>
      <rPr>
        <sz val="10"/>
        <color rgb="FF000000"/>
        <rFont val="Times New Roman"/>
        <family val="1"/>
      </rPr>
      <t xml:space="preserve">PEFA pair,  2 chicks. </t>
    </r>
    <r>
      <rPr>
        <b/>
        <sz val="10"/>
        <color rgb="FF000000"/>
        <rFont val="Times New Roman"/>
        <family val="1"/>
      </rPr>
      <t xml:space="preserve">Aug 1: </t>
    </r>
    <r>
      <rPr>
        <sz val="10"/>
        <color rgb="FF000000"/>
        <rFont val="Times New Roman"/>
        <family val="1"/>
      </rPr>
      <t xml:space="preserve"> Installed Reconyx , did not measured chicks.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 xml:space="preserve"> PEFA pair, 2 chicks, changed b + m.c. </t>
    </r>
    <r>
      <rPr>
        <b/>
        <sz val="10"/>
        <color rgb="FF000000"/>
        <rFont val="Times New Roman"/>
        <family val="1"/>
      </rPr>
      <t xml:space="preserve">August 11: </t>
    </r>
    <r>
      <rPr>
        <sz val="10"/>
        <color rgb="FF000000"/>
        <rFont val="Times New Roman"/>
        <family val="1"/>
      </rPr>
      <t>PEFA pair, 2 chicks, banded them, retrieved camera</t>
    </r>
  </si>
  <si>
    <t>m</t>
  </si>
  <si>
    <r>
      <t xml:space="preserve">May 23: </t>
    </r>
    <r>
      <rPr>
        <sz val="10"/>
        <color rgb="FF000000"/>
        <rFont val="Times New Roman"/>
        <family val="1"/>
      </rPr>
      <t xml:space="preserve">No bird defending but again RLHA pair about 500m toward 52-55 site didnt come at us and we were on top of 36, stayed there for 10 min, unnocupied. </t>
    </r>
    <r>
      <rPr>
        <b/>
        <sz val="10"/>
        <color rgb="FF000000"/>
        <rFont val="Times New Roman"/>
        <family val="1"/>
      </rPr>
      <t xml:space="preserve"> June 1: </t>
    </r>
    <r>
      <rPr>
        <sz val="10"/>
        <color rgb="FF000000"/>
        <rFont val="Times New Roman"/>
        <family val="1"/>
      </rPr>
      <t xml:space="preserve">RLHA pair seen by Kevin  July 8 : Territorial RLHA Pair. 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 xml:space="preserve"> RLHA pair, 4 chicks, all fledged in lake so we had to get them before banding</t>
    </r>
  </si>
  <si>
    <t>62.85799/092.17464</t>
  </si>
  <si>
    <t>unbanded</t>
  </si>
  <si>
    <t>PG</t>
  </si>
  <si>
    <t>51K (NEW BB, was 81K but band too old, almost erased, decided to change it)</t>
  </si>
  <si>
    <t>51K-2016-05-21</t>
  </si>
  <si>
    <t>&lt;30</t>
  </si>
  <si>
    <t>&lt;30/m</t>
  </si>
  <si>
    <r>
      <t xml:space="preserve">May 23: </t>
    </r>
    <r>
      <rPr>
        <sz val="10"/>
        <color rgb="FF000000"/>
        <rFont val="Times New Roman"/>
        <family val="1"/>
      </rPr>
      <t>No bird seen</t>
    </r>
    <r>
      <rPr>
        <b/>
        <sz val="10"/>
        <color rgb="FF000000"/>
        <rFont val="Times New Roman"/>
        <family val="1"/>
      </rPr>
      <t>. June 23 (copter survey):</t>
    </r>
    <r>
      <rPr>
        <sz val="10"/>
        <color rgb="FF000000"/>
        <rFont val="Times New Roman"/>
        <family val="1"/>
      </rPr>
      <t xml:space="preserve"> RLHA female on nest, 3 eggs.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 RLHA pair, female incubating. </t>
    </r>
    <r>
      <rPr>
        <b/>
        <sz val="10"/>
        <color rgb="FF000000"/>
        <rFont val="Times New Roman"/>
        <family val="1"/>
      </rPr>
      <t xml:space="preserve">July 18: </t>
    </r>
    <r>
      <rPr>
        <sz val="10"/>
        <color rgb="FF000000"/>
        <rFont val="Times New Roman"/>
        <family val="1"/>
      </rPr>
      <t>RLHA ind, 3 chicks, female came in nest with eider duckling (prey)</t>
    </r>
    <r>
      <rPr>
        <b/>
        <sz val="10"/>
        <color rgb="FF000000"/>
        <rFont val="Times New Roman"/>
        <family val="1"/>
      </rPr>
      <t xml:space="preserve">. July 30: </t>
    </r>
    <r>
      <rPr>
        <sz val="10"/>
        <color rgb="FF000000"/>
        <rFont val="Times New Roman"/>
        <family val="1"/>
      </rPr>
      <t xml:space="preserve"> RLHA pair, 2 chicks, banded them</t>
    </r>
  </si>
  <si>
    <t>25/m</t>
  </si>
  <si>
    <t>25/f</t>
  </si>
  <si>
    <t>1947-19267</t>
  </si>
  <si>
    <t>1857-13243</t>
  </si>
  <si>
    <r>
      <t xml:space="preserve">May 22: </t>
    </r>
    <r>
      <rPr>
        <sz val="10"/>
        <color rgb="FF000000"/>
        <rFont val="Times New Roman"/>
        <family val="1"/>
      </rPr>
      <t>Empty, PEFA pair at at site 41 within nesting territory 41 (M.T)</t>
    </r>
  </si>
  <si>
    <t>62.82875/091.94902</t>
  </si>
  <si>
    <r>
      <t xml:space="preserve"> May 22: </t>
    </r>
    <r>
      <rPr>
        <sz val="10"/>
        <color rgb="FF000000"/>
        <rFont val="Times New Roman"/>
        <family val="1"/>
      </rPr>
      <t xml:space="preserve">RLHA ind. Flushed from site, territorial but left quickly. </t>
    </r>
    <r>
      <rPr>
        <b/>
        <sz val="10"/>
        <color rgb="FF000000"/>
        <rFont val="Times New Roman"/>
        <family val="1"/>
      </rPr>
      <t xml:space="preserve">May 27:  </t>
    </r>
    <r>
      <rPr>
        <sz val="10"/>
        <color rgb="FF000000"/>
        <rFont val="Times New Roman"/>
        <family val="1"/>
      </rPr>
      <t xml:space="preserve">No birds seen. </t>
    </r>
    <r>
      <rPr>
        <b/>
        <sz val="10"/>
        <color rgb="FF000000"/>
        <rFont val="Times New Roman"/>
        <family val="1"/>
      </rPr>
      <t xml:space="preserve">June 4: </t>
    </r>
    <r>
      <rPr>
        <sz val="10"/>
        <color rgb="FF000000"/>
        <rFont val="Times New Roman"/>
        <family val="1"/>
      </rPr>
      <t xml:space="preserve">1 RLHA ,territorial, 2 eggs in nest, no birds incubating. </t>
    </r>
    <r>
      <rPr>
        <b/>
        <sz val="10"/>
        <color rgb="FF000000"/>
        <rFont val="Times New Roman"/>
        <family val="1"/>
      </rPr>
      <t xml:space="preserve">June 13: </t>
    </r>
    <r>
      <rPr>
        <sz val="10"/>
        <color rgb="FF000000"/>
        <rFont val="Times New Roman"/>
        <family val="1"/>
      </rPr>
      <t xml:space="preserve">RLHA pair, 4 eggs, took WP </t>
    </r>
    <r>
      <rPr>
        <b/>
        <sz val="10"/>
        <color rgb="FF000000"/>
        <rFont val="Times New Roman"/>
        <family val="1"/>
      </rPr>
      <t xml:space="preserve">July 19`: </t>
    </r>
    <r>
      <rPr>
        <sz val="10"/>
        <color rgb="FF000000"/>
        <rFont val="Times New Roman"/>
        <family val="1"/>
      </rPr>
      <t xml:space="preserve">RLHA pair,  4 chicks, deployed stand. </t>
    </r>
    <r>
      <rPr>
        <b/>
        <sz val="10"/>
        <color rgb="FF000000"/>
        <rFont val="Times New Roman"/>
        <family val="1"/>
      </rPr>
      <t xml:space="preserve">July 29: </t>
    </r>
    <r>
      <rPr>
        <sz val="10"/>
        <color rgb="FF000000"/>
        <rFont val="Times New Roman"/>
        <family val="1"/>
      </rPr>
      <t>RLHA pair, 3 chicks, banded chicks</t>
    </r>
  </si>
  <si>
    <t>?/F</t>
  </si>
  <si>
    <t>?/M</t>
  </si>
  <si>
    <t>1857-13237</t>
  </si>
  <si>
    <t>1857-13236</t>
  </si>
  <si>
    <t>1947-19263</t>
  </si>
  <si>
    <t>62.83111/091.96922</t>
  </si>
  <si>
    <t>47C</t>
  </si>
  <si>
    <t>75B</t>
  </si>
  <si>
    <t>RED</t>
  </si>
  <si>
    <t>BLUE</t>
  </si>
  <si>
    <t>GREEN</t>
  </si>
  <si>
    <r>
      <t xml:space="preserve">May 22: </t>
    </r>
    <r>
      <rPr>
        <sz val="10"/>
        <color rgb="FF000000"/>
        <rFont val="Times New Roman"/>
        <family val="1"/>
      </rPr>
      <t>PEFA pair, tried trapping briefly, no luck.</t>
    </r>
    <r>
      <rPr>
        <b/>
        <sz val="10"/>
        <color rgb="FF000000"/>
        <rFont val="Times New Roman"/>
        <family val="1"/>
      </rPr>
      <t xml:space="preserve"> May 27</t>
    </r>
    <r>
      <rPr>
        <sz val="10"/>
        <color rgb="FF000000"/>
        <rFont val="Times New Roman"/>
        <family val="1"/>
      </rPr>
      <t>:PEFA individual at site. Yelling call. 2 RLHA circling above site</t>
    </r>
    <r>
      <rPr>
        <b/>
        <sz val="10"/>
        <color rgb="FF000000"/>
        <rFont val="Times New Roman"/>
        <family val="1"/>
      </rPr>
      <t xml:space="preserve">. June 2: </t>
    </r>
    <r>
      <rPr>
        <sz val="10"/>
        <color rgb="FF000000"/>
        <rFont val="Times New Roman"/>
        <family val="1"/>
      </rPr>
      <t>1 PEFA flying around cliff.</t>
    </r>
    <r>
      <rPr>
        <b/>
        <sz val="10"/>
        <color rgb="FF000000"/>
        <rFont val="Times New Roman"/>
        <family val="1"/>
      </rPr>
      <t xml:space="preserve">  June 13:</t>
    </r>
    <r>
      <rPr>
        <sz val="10"/>
        <color rgb="FF000000"/>
        <rFont val="Times New Roman"/>
        <family val="1"/>
      </rPr>
      <t xml:space="preserve"> PEFA pair, 3 eggs, deployed cam</t>
    </r>
    <r>
      <rPr>
        <b/>
        <sz val="10"/>
        <color rgb="FF000000"/>
        <rFont val="Times New Roman"/>
        <family val="1"/>
      </rPr>
      <t xml:space="preserve"> + RG. July 6: P</t>
    </r>
    <r>
      <rPr>
        <sz val="10"/>
        <color rgb="FF000000"/>
        <rFont val="Times New Roman"/>
        <family val="1"/>
      </rPr>
      <t>EFA pair + 3 eggs, Batterie still good memory card deleted to make sure we dont miss hatch date</t>
    </r>
    <r>
      <rPr>
        <b/>
        <sz val="10"/>
        <color rgb="FF000000"/>
        <rFont val="Times New Roman"/>
        <family val="1"/>
      </rPr>
      <t xml:space="preserve">. July 19: </t>
    </r>
    <r>
      <rPr>
        <sz val="10"/>
        <color rgb="FF000000"/>
        <rFont val="Times New Roman"/>
        <family val="1"/>
      </rPr>
      <t xml:space="preserve"> PEFA apir, 3 chcks, changed b+m.c, RG: 0,2cm, CONTROL visit-5D. </t>
    </r>
    <r>
      <rPr>
        <b/>
        <sz val="10"/>
        <color rgb="FF000000"/>
        <rFont val="Times New Roman"/>
        <family val="1"/>
      </rPr>
      <t xml:space="preserve">July 24: </t>
    </r>
    <r>
      <rPr>
        <sz val="10"/>
        <color rgb="FF000000"/>
        <rFont val="Times New Roman"/>
        <family val="1"/>
      </rPr>
      <t xml:space="preserve">PEFA female, 3 chicks, changed b +m.c, RG: 1.2 cm, CONTROL-visi-10D. </t>
    </r>
    <r>
      <rPr>
        <b/>
        <sz val="10"/>
        <color rgb="FF000000"/>
        <rFont val="Times New Roman"/>
        <family val="1"/>
      </rPr>
      <t xml:space="preserve">July 29: </t>
    </r>
    <r>
      <rPr>
        <sz val="10"/>
        <color rgb="FF000000"/>
        <rFont val="Times New Roman"/>
        <family val="1"/>
      </rPr>
      <t xml:space="preserve">PEFA pair, 3 chicks, changed b + m.c, RG : empty. CONTROL-visit-15D. </t>
    </r>
    <r>
      <rPr>
        <b/>
        <sz val="10"/>
        <color rgb="FF000000"/>
        <rFont val="Times New Roman"/>
        <family val="1"/>
      </rPr>
      <t xml:space="preserve">August  4: </t>
    </r>
    <r>
      <rPr>
        <sz val="10"/>
        <color rgb="FF000000"/>
        <rFont val="Times New Roman"/>
        <family val="1"/>
      </rPr>
      <t xml:space="preserve"> PEFA female, 3 chicks, changed b + m.c, RG: 3,7 cm, CONTROL-20D.</t>
    </r>
    <r>
      <rPr>
        <b/>
        <sz val="10"/>
        <color rgb="FF000000"/>
        <rFont val="Times New Roman"/>
        <family val="1"/>
      </rPr>
      <t xml:space="preserve">August 8: </t>
    </r>
    <r>
      <rPr>
        <sz val="10"/>
        <color rgb="FF000000"/>
        <rFont val="Times New Roman"/>
        <family val="1"/>
      </rPr>
      <t xml:space="preserve">PEFA female, 3 chicks, b + m.c, RG: 0.2 cm, CONTROL-25D (blood and band). </t>
    </r>
    <r>
      <rPr>
        <b/>
        <sz val="10"/>
        <color rgb="FF000000"/>
        <rFont val="Times New Roman"/>
        <family val="1"/>
      </rPr>
      <t>Aug 13:</t>
    </r>
    <r>
      <rPr>
        <sz val="10"/>
        <color rgb="FF000000"/>
        <rFont val="Times New Roman"/>
        <family val="1"/>
      </rPr>
      <t xml:space="preserve"> PEFA Female territorial, 3 chicks, RG=0, no iButton, CONTROL-30D</t>
    </r>
  </si>
  <si>
    <t>Blood #1- 0.5 ml</t>
  </si>
  <si>
    <t>y(1:04s)</t>
  </si>
  <si>
    <t>22/m</t>
  </si>
  <si>
    <t>62.82767/-91.96640</t>
  </si>
  <si>
    <t>WITHE</t>
  </si>
  <si>
    <t>Just hatched</t>
  </si>
  <si>
    <r>
      <t xml:space="preserve">July 6 : </t>
    </r>
    <r>
      <rPr>
        <sz val="10"/>
        <color rgb="FF000000"/>
        <rFont val="Times New Roman"/>
        <family val="1"/>
      </rPr>
      <t xml:space="preserve">Site 42 (Old 76) is occupied by PEFA pair + 4 eggs. : Site 42 changed location, Now PEFA nest + 4 eggs. </t>
    </r>
    <r>
      <rPr>
        <b/>
        <sz val="10"/>
        <color rgb="FF000000"/>
        <rFont val="Times New Roman"/>
        <family val="1"/>
      </rPr>
      <t xml:space="preserve">July 19: </t>
    </r>
    <r>
      <rPr>
        <sz val="10"/>
        <color rgb="FF000000"/>
        <rFont val="Times New Roman"/>
        <family val="1"/>
      </rPr>
      <t xml:space="preserve">PEFA pair, 4 chicks, CONTROL-visit-5d, deployed cam + RG. </t>
    </r>
    <r>
      <rPr>
        <b/>
        <sz val="10"/>
        <color rgb="FF000000"/>
        <rFont val="Times New Roman"/>
        <family val="1"/>
      </rPr>
      <t xml:space="preserve">July 24: </t>
    </r>
    <r>
      <rPr>
        <sz val="10"/>
        <color rgb="FF000000"/>
        <rFont val="Times New Roman"/>
        <family val="1"/>
      </rPr>
      <t xml:space="preserve">NO PEFA adults, 4 chicks, control visit-5D, changed batt + m.c, RG: 0,7 cm. </t>
    </r>
    <r>
      <rPr>
        <b/>
        <sz val="10"/>
        <color rgb="FF000000"/>
        <rFont val="Times New Roman"/>
        <family val="1"/>
      </rPr>
      <t xml:space="preserve">July 29: </t>
    </r>
    <r>
      <rPr>
        <sz val="10"/>
        <color rgb="FF000000"/>
        <rFont val="Times New Roman"/>
        <family val="1"/>
      </rPr>
      <t xml:space="preserve">PEFA ind., 2 chicks (WHITE AND GREEN MISSING; green got killed by female and white died in the nest), changed b +m.c, RG: 0. CONTROL-visit-15D. </t>
    </r>
    <r>
      <rPr>
        <b/>
        <sz val="10"/>
        <color rgb="FF000000"/>
        <rFont val="Times New Roman"/>
        <family val="1"/>
      </rPr>
      <t>August 4: NEST FAILED...no traces of anything but feathers shaft 100 m from nest. Reconyx: died in the night between aug 1 and 2...seems like they died from rain</t>
    </r>
  </si>
  <si>
    <t>y (1:15s)</t>
  </si>
  <si>
    <r>
      <t xml:space="preserve">June 1: </t>
    </r>
    <r>
      <rPr>
        <sz val="10"/>
        <color rgb="FF000000"/>
        <rFont val="Times New Roman"/>
        <family val="1"/>
      </rPr>
      <t xml:space="preserve">Empty.  </t>
    </r>
    <r>
      <rPr>
        <b/>
        <sz val="10"/>
        <color rgb="FF000000"/>
        <rFont val="Times New Roman"/>
        <family val="1"/>
      </rPr>
      <t xml:space="preserve">June 9: </t>
    </r>
    <r>
      <rPr>
        <sz val="10"/>
        <color rgb="FF000000"/>
        <rFont val="Times New Roman"/>
        <family val="1"/>
      </rPr>
      <t>Empty</t>
    </r>
  </si>
  <si>
    <t>62.82213/ 091.90583</t>
  </si>
  <si>
    <r>
      <t xml:space="preserve">May 22: </t>
    </r>
    <r>
      <rPr>
        <sz val="10"/>
        <color rgb="FF000000"/>
        <rFont val="Times New Roman"/>
        <family val="1"/>
      </rPr>
      <t>RLHA pair, 1 ind. On nest.</t>
    </r>
    <r>
      <rPr>
        <b/>
        <sz val="10"/>
        <color rgb="FF000000"/>
        <rFont val="Times New Roman"/>
        <family val="1"/>
      </rPr>
      <t xml:space="preserve"> May 27: </t>
    </r>
    <r>
      <rPr>
        <sz val="10"/>
        <color rgb="FF000000"/>
        <rFont val="Times New Roman"/>
        <family val="1"/>
      </rPr>
      <t>RLHA ind. Was perched somewhere there, aggressive calls, fight with CORA</t>
    </r>
    <r>
      <rPr>
        <b/>
        <sz val="10"/>
        <color rgb="FF000000"/>
        <rFont val="Times New Roman"/>
        <family val="1"/>
      </rPr>
      <t xml:space="preserve">. June 2:  </t>
    </r>
    <r>
      <rPr>
        <sz val="10"/>
        <color rgb="FF000000"/>
        <rFont val="Times New Roman"/>
        <family val="1"/>
      </rPr>
      <t>RLHA flying and screaming, female incubating in nest</t>
    </r>
    <r>
      <rPr>
        <b/>
        <sz val="10"/>
        <color rgb="FF000000"/>
        <rFont val="Times New Roman"/>
        <family val="1"/>
      </rPr>
      <t>. June 4:</t>
    </r>
    <r>
      <rPr>
        <sz val="10"/>
        <color rgb="FF000000"/>
        <rFont val="Times New Roman"/>
        <family val="1"/>
      </rPr>
      <t xml:space="preserve"> RLHA pair, 3 eggs in nest. PEFA pair seen flying around.</t>
    </r>
    <r>
      <rPr>
        <b/>
        <sz val="10"/>
        <color rgb="FF000000"/>
        <rFont val="Times New Roman"/>
        <family val="1"/>
      </rPr>
      <t xml:space="preserve"> June 13:</t>
    </r>
    <r>
      <rPr>
        <sz val="10"/>
        <color rgb="FF000000"/>
        <rFont val="Times New Roman"/>
        <family val="1"/>
      </rPr>
      <t xml:space="preserve"> RLHA pair, took WP. </t>
    </r>
    <r>
      <rPr>
        <b/>
        <sz val="10"/>
        <color rgb="FF000000"/>
        <rFont val="Times New Roman"/>
        <family val="1"/>
      </rPr>
      <t xml:space="preserve">June 27: </t>
    </r>
    <r>
      <rPr>
        <sz val="10"/>
        <color rgb="FF000000"/>
        <rFont val="Times New Roman"/>
        <family val="1"/>
      </rPr>
      <t xml:space="preserve">Site number chnaged from 101 to 44. </t>
    </r>
    <r>
      <rPr>
        <b/>
        <sz val="10"/>
        <color rgb="FF000000"/>
        <rFont val="Times New Roman"/>
        <family val="1"/>
      </rPr>
      <t xml:space="preserve">July 29: </t>
    </r>
    <r>
      <rPr>
        <sz val="10"/>
        <color rgb="FF000000"/>
        <rFont val="Times New Roman"/>
        <family val="1"/>
      </rPr>
      <t>RLHA pair, at least 2 chicks, did not go into the nest</t>
    </r>
  </si>
  <si>
    <t>62.82541/091.92328</t>
  </si>
  <si>
    <r>
      <t xml:space="preserve">May 22: </t>
    </r>
    <r>
      <rPr>
        <sz val="10"/>
        <color rgb="FF000000"/>
        <rFont val="Times New Roman"/>
        <family val="1"/>
      </rPr>
      <t xml:space="preserve">RLHA pair territorial. </t>
    </r>
    <r>
      <rPr>
        <b/>
        <sz val="10"/>
        <color rgb="FF000000"/>
        <rFont val="Times New Roman"/>
        <family val="1"/>
      </rPr>
      <t xml:space="preserve">May 27: </t>
    </r>
    <r>
      <rPr>
        <sz val="10"/>
        <color rgb="FF000000"/>
        <rFont val="Times New Roman"/>
        <family val="1"/>
      </rPr>
      <t xml:space="preserve"> No bird seen. </t>
    </r>
    <r>
      <rPr>
        <b/>
        <sz val="10"/>
        <color rgb="FF000000"/>
        <rFont val="Times New Roman"/>
        <family val="1"/>
      </rPr>
      <t xml:space="preserve">June 2: </t>
    </r>
    <r>
      <rPr>
        <sz val="10"/>
        <color rgb="FF000000"/>
        <rFont val="Times New Roman"/>
        <family val="1"/>
      </rPr>
      <t xml:space="preserve">RLHA female incubating in stick nest. Male dark morph. </t>
    </r>
    <r>
      <rPr>
        <b/>
        <sz val="10"/>
        <color rgb="FF000000"/>
        <rFont val="Times New Roman"/>
        <family val="1"/>
      </rPr>
      <t xml:space="preserve">June 4: </t>
    </r>
    <r>
      <rPr>
        <sz val="10"/>
        <color rgb="FF000000"/>
        <rFont val="Times New Roman"/>
        <family val="1"/>
      </rPr>
      <t xml:space="preserve">RLHA pair, male dark morph, 3 eggs in nest. </t>
    </r>
    <r>
      <rPr>
        <b/>
        <sz val="10"/>
        <color rgb="FF000000"/>
        <rFont val="Times New Roman"/>
        <family val="1"/>
      </rPr>
      <t xml:space="preserve">June 13: </t>
    </r>
    <r>
      <rPr>
        <sz val="10"/>
        <color rgb="FF000000"/>
        <rFont val="Times New Roman"/>
        <family val="1"/>
      </rPr>
      <t xml:space="preserve"> RLHA pair, took WP. </t>
    </r>
    <r>
      <rPr>
        <b/>
        <sz val="10"/>
        <color rgb="FF000000"/>
        <rFont val="Times New Roman"/>
        <family val="1"/>
      </rPr>
      <t xml:space="preserve">July 29: </t>
    </r>
    <r>
      <rPr>
        <sz val="10"/>
        <color rgb="FF000000"/>
        <rFont val="Times New Roman"/>
        <family val="1"/>
      </rPr>
      <t xml:space="preserve"> RLHA pair, 2 chicks, banded them</t>
    </r>
  </si>
  <si>
    <t>?/m</t>
  </si>
  <si>
    <t>1947-19261</t>
  </si>
  <si>
    <t>1947-19262</t>
  </si>
  <si>
    <t>63.06981/092.33420</t>
  </si>
  <si>
    <t>16-Aug</t>
  </si>
  <si>
    <r>
      <t xml:space="preserve">June 22 (copter urvey):: </t>
    </r>
    <r>
      <rPr>
        <sz val="10"/>
        <color rgb="FF000000"/>
        <rFont val="Times New Roman"/>
        <family val="1"/>
      </rPr>
      <t xml:space="preserve"> PEFA female, 4 eggs. On the boulder on he island (not on the boulder on the mainland).  Original site empty. </t>
    </r>
    <r>
      <rPr>
        <b/>
        <sz val="10"/>
        <color rgb="FF000000"/>
        <rFont val="Times New Roman"/>
        <family val="1"/>
      </rPr>
      <t xml:space="preserve">Aug 16: copter survey, </t>
    </r>
    <r>
      <rPr>
        <sz val="10"/>
        <color rgb="FF000000"/>
        <rFont val="Times New Roman"/>
        <family val="1"/>
      </rPr>
      <t>no adults, 3 chicks, weighed and banded.</t>
    </r>
  </si>
  <si>
    <t>1156-18956</t>
  </si>
  <si>
    <t>1947-19293</t>
  </si>
  <si>
    <t>1156-18957</t>
  </si>
  <si>
    <t xml:space="preserve">62.8155/-92.18944
</t>
  </si>
  <si>
    <t>Chicks #5</t>
  </si>
  <si>
    <t>tarsus</t>
  </si>
  <si>
    <t>30/?</t>
  </si>
  <si>
    <t>30/F</t>
  </si>
  <si>
    <t>25/?</t>
  </si>
  <si>
    <r>
      <t xml:space="preserve">May 23: </t>
    </r>
    <r>
      <rPr>
        <sz val="10"/>
        <color rgb="FF000000"/>
        <rFont val="Times New Roman"/>
        <family val="1"/>
      </rPr>
      <t xml:space="preserve">have walked the cliff, one old stick nest, no bird seen, RLHA pairhanging 500 m north. </t>
    </r>
    <r>
      <rPr>
        <b/>
        <sz val="10"/>
        <color rgb="FF000000"/>
        <rFont val="Times New Roman"/>
        <family val="1"/>
      </rPr>
      <t xml:space="preserve"> June 12: </t>
    </r>
    <r>
      <rPr>
        <sz val="10"/>
        <color rgb="FF000000"/>
        <rFont val="Times New Roman"/>
        <family val="1"/>
      </rPr>
      <t xml:space="preserve">RLHA pair, territorial, too far to see nest. </t>
    </r>
    <r>
      <rPr>
        <b/>
        <sz val="10"/>
        <color rgb="FF000000"/>
        <rFont val="Times New Roman"/>
        <family val="1"/>
      </rPr>
      <t xml:space="preserve">June 25: </t>
    </r>
    <r>
      <rPr>
        <sz val="10"/>
        <color rgb="FF000000"/>
        <rFont val="Times New Roman"/>
        <family val="1"/>
      </rPr>
      <t xml:space="preserve">RLHA pair seen from distance. </t>
    </r>
    <r>
      <rPr>
        <b/>
        <sz val="10"/>
        <color rgb="FF000000"/>
        <rFont val="Times New Roman"/>
        <family val="1"/>
      </rPr>
      <t xml:space="preserve">July 21: </t>
    </r>
    <r>
      <rPr>
        <sz val="10"/>
        <color rgb="FF000000"/>
        <rFont val="Times New Roman"/>
        <family val="1"/>
      </rPr>
      <t xml:space="preserve">RLHA pair, still active. </t>
    </r>
    <r>
      <rPr>
        <b/>
        <sz val="10"/>
        <color rgb="FF000000"/>
        <rFont val="Times New Roman"/>
        <family val="1"/>
      </rPr>
      <t xml:space="preserve">August 10: </t>
    </r>
    <r>
      <rPr>
        <sz val="10"/>
        <color rgb="FF000000"/>
        <rFont val="Times New Roman"/>
        <family val="1"/>
      </rPr>
      <t xml:space="preserve"> No adult, 4 chicks, very old, flying around cliff.</t>
    </r>
  </si>
  <si>
    <r>
      <t xml:space="preserve">May 23: </t>
    </r>
    <r>
      <rPr>
        <sz val="10"/>
        <color rgb="FF000000"/>
        <rFont val="Times New Roman"/>
        <family val="1"/>
      </rPr>
      <t xml:space="preserve">No bird seen, no sign of birds. </t>
    </r>
    <r>
      <rPr>
        <b/>
        <sz val="10"/>
        <color rgb="FF000000"/>
        <rFont val="Times New Roman"/>
        <family val="1"/>
      </rPr>
      <t>June 23 (copter survey):</t>
    </r>
    <r>
      <rPr>
        <sz val="10"/>
        <color rgb="FF000000"/>
        <rFont val="Times New Roman"/>
        <family val="1"/>
      </rPr>
      <t xml:space="preserve"> RLHA ind circling around site,not very territorial, no nest found</t>
    </r>
  </si>
  <si>
    <t>62.79459/092.14500</t>
  </si>
  <si>
    <t>62.78746/092.12653</t>
  </si>
  <si>
    <t>1947-26214</t>
  </si>
  <si>
    <t>32K</t>
  </si>
  <si>
    <t>2016-06-03-1947-26214</t>
  </si>
  <si>
    <r>
      <t>May 19:</t>
    </r>
    <r>
      <rPr>
        <sz val="10"/>
        <color rgb="FF000000"/>
        <rFont val="Times New Roman"/>
        <family val="1"/>
      </rPr>
      <t xml:space="preserve"> No nirds seen</t>
    </r>
    <r>
      <rPr>
        <b/>
        <sz val="10"/>
        <color rgb="FF000000"/>
        <rFont val="Times New Roman"/>
        <family val="1"/>
      </rPr>
      <t xml:space="preserve">. June 3: </t>
    </r>
    <r>
      <rPr>
        <sz val="10"/>
        <color rgb="FF000000"/>
        <rFont val="Times New Roman"/>
        <family val="1"/>
      </rPr>
      <t xml:space="preserve">Caught female. Almost caught male on envelope but escaped. </t>
    </r>
    <r>
      <rPr>
        <b/>
        <sz val="10"/>
        <color rgb="FF000000"/>
        <rFont val="Times New Roman"/>
        <family val="1"/>
      </rPr>
      <t xml:space="preserve">June 11: </t>
    </r>
    <r>
      <rPr>
        <sz val="10"/>
        <color rgb="FF000000"/>
        <rFont val="Times New Roman"/>
        <family val="1"/>
      </rPr>
      <t xml:space="preserve">PEFA pair, nest found at 5m from exact site location. 1 egg. Cam + RG deployed, no I button. </t>
    </r>
    <r>
      <rPr>
        <b/>
        <sz val="10"/>
        <color rgb="FF000000"/>
        <rFont val="Times New Roman"/>
        <family val="1"/>
      </rPr>
      <t xml:space="preserve">June 25:  </t>
    </r>
    <r>
      <rPr>
        <sz val="10"/>
        <color rgb="FF000000"/>
        <rFont val="Times New Roman"/>
        <family val="1"/>
      </rPr>
      <t>PEFA pair, 4 eggs, chyanged B +M.C. RG : 0mm. Nest very difficult to access, need to</t>
    </r>
    <r>
      <rPr>
        <b/>
        <sz val="12"/>
        <color rgb="FF000000"/>
        <rFont val="Times New Roman"/>
        <family val="1"/>
      </rPr>
      <t xml:space="preserve"> repel down. </t>
    </r>
    <r>
      <rPr>
        <sz val="10"/>
        <color rgb="FF000000"/>
        <rFont val="Times New Roman"/>
        <family val="1"/>
      </rPr>
      <t>Female band confirmed 32K.</t>
    </r>
    <r>
      <rPr>
        <b/>
        <sz val="10"/>
        <color rgb="FF000000"/>
        <rFont val="Times New Roman"/>
        <family val="1"/>
      </rPr>
      <t xml:space="preserve">June 27: Site number changed from 105 to 51 (M.T) July 5 : </t>
    </r>
    <r>
      <rPr>
        <sz val="10"/>
        <color rgb="FF000000"/>
        <rFont val="Times New Roman"/>
        <family val="1"/>
      </rPr>
      <t xml:space="preserve">PEFA pair + 4 eggs, batt.+memory card changed, Rg : 0,25 cm. 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PEFA pair, 4 eggs, 2 pipping, changed B+M.c, RG: 0. </t>
    </r>
    <r>
      <rPr>
        <b/>
        <sz val="10"/>
        <color rgb="FF000000"/>
        <rFont val="Times New Roman"/>
        <family val="1"/>
      </rPr>
      <t xml:space="preserve">July 21: </t>
    </r>
    <r>
      <rPr>
        <sz val="10"/>
        <color rgb="FF000000"/>
        <rFont val="Times New Roman"/>
        <family val="1"/>
      </rPr>
      <t xml:space="preserve"> PEFA pair, 4 chicks, changed B + M.C, RG: 0, SUPPLEMENTATION-Visit-5D; 3 quails given (727g). </t>
    </r>
    <r>
      <rPr>
        <b/>
        <sz val="10"/>
        <color rgb="FF000000"/>
        <rFont val="Times New Roman"/>
        <family val="1"/>
      </rPr>
      <t xml:space="preserve">July 26: </t>
    </r>
    <r>
      <rPr>
        <sz val="10"/>
        <color rgb="FF000000"/>
        <rFont val="Times New Roman"/>
        <family val="1"/>
      </rPr>
      <t xml:space="preserve"> PEFA male, 4 chicks, changed b +m.c, RG: 0,4 cm, SUPPLEMENT-10D: 4quails (966 g).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 xml:space="preserve">PEFA female, 4 chicks, changed b + m.c, RG: 0. SUPPLEMENT-visit-15D; 6Q (1178 g).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 xml:space="preserve">PEFA female, 4 chicks, changed b + m.c, RG: 3 cm, SUPPLEMENT-20D: 6Q (1550g). </t>
    </r>
    <r>
      <rPr>
        <b/>
        <sz val="10"/>
        <color rgb="FF000000"/>
        <rFont val="Times New Roman"/>
        <family val="1"/>
      </rPr>
      <t xml:space="preserve">August 10: </t>
    </r>
    <r>
      <rPr>
        <sz val="10"/>
        <color rgb="FF000000"/>
        <rFont val="Times New Roman"/>
        <family val="1"/>
      </rPr>
      <t xml:space="preserve"> PEFA pair, 4 chicks, changed b + m.c, RG:  0, 2 cm.SUPPLEMENT-25D; 8Q (1814 g). </t>
    </r>
    <r>
      <rPr>
        <b/>
        <sz val="10"/>
        <color rgb="FF000000"/>
        <rFont val="Times New Roman"/>
        <family val="1"/>
      </rPr>
      <t>Aug 14:</t>
    </r>
    <r>
      <rPr>
        <sz val="10"/>
        <color rgb="FF000000"/>
        <rFont val="Times New Roman"/>
        <family val="1"/>
      </rPr>
      <t xml:space="preserve"> 1 PEFA territorial,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came at the end, 4 chicks weighed, camera + weather removed (no iButton), RG=0, SUPPLEMENT-30D.</t>
    </r>
  </si>
  <si>
    <r>
      <t>May 23</t>
    </r>
    <r>
      <rPr>
        <sz val="10"/>
        <color rgb="FF000000"/>
        <rFont val="Times New Roman"/>
        <family val="1"/>
      </rPr>
      <t xml:space="preserve">: RLHA pair, aggrssive calls, left after a couple of minutes toward site 55. </t>
    </r>
    <r>
      <rPr>
        <b/>
        <sz val="10"/>
        <color rgb="FF000000"/>
        <rFont val="Times New Roman"/>
        <family val="1"/>
      </rPr>
      <t xml:space="preserve">June 23 (copter survey): </t>
    </r>
    <r>
      <rPr>
        <sz val="10"/>
        <color rgb="FF000000"/>
        <rFont val="Times New Roman"/>
        <family val="1"/>
      </rPr>
      <t xml:space="preserve"> Empty. </t>
    </r>
    <r>
      <rPr>
        <b/>
        <sz val="10"/>
        <color rgb="FF000000"/>
        <rFont val="Times New Roman"/>
        <family val="1"/>
      </rPr>
      <t xml:space="preserve">July 30: </t>
    </r>
    <r>
      <rPr>
        <sz val="10"/>
        <color rgb="FF000000"/>
        <rFont val="Times New Roman"/>
        <family val="1"/>
      </rPr>
      <t>Territorial RLHA pair, empty stick nest</t>
    </r>
  </si>
  <si>
    <t>62.80228/092.21323</t>
  </si>
  <si>
    <r>
      <t xml:space="preserve">May 23: </t>
    </r>
    <r>
      <rPr>
        <sz val="10"/>
        <color rgb="FF000000"/>
        <rFont val="Times New Roman"/>
        <family val="1"/>
      </rPr>
      <t xml:space="preserve">PEFA pair at site. </t>
    </r>
    <r>
      <rPr>
        <b/>
        <sz val="10"/>
        <color rgb="FF000000"/>
        <rFont val="Times New Roman"/>
        <family val="1"/>
      </rPr>
      <t>May 26</t>
    </r>
    <r>
      <rPr>
        <sz val="10"/>
        <color rgb="FF000000"/>
        <rFont val="Times New Roman"/>
        <family val="1"/>
      </rPr>
      <t xml:space="preserve">: PEFAind. Sitting on site. </t>
    </r>
    <r>
      <rPr>
        <b/>
        <sz val="10"/>
        <color rgb="FF000000"/>
        <rFont val="Times New Roman"/>
        <family val="1"/>
      </rPr>
      <t xml:space="preserve">June 1: </t>
    </r>
    <r>
      <rPr>
        <sz val="10"/>
        <color rgb="FF000000"/>
        <rFont val="Times New Roman"/>
        <family val="1"/>
      </rPr>
      <t xml:space="preserve">PEFA pair at site, tried trapping, no success. </t>
    </r>
    <r>
      <rPr>
        <b/>
        <sz val="10"/>
        <color rgb="FF000000"/>
        <rFont val="Times New Roman"/>
        <family val="1"/>
      </rPr>
      <t>June 11:</t>
    </r>
    <r>
      <rPr>
        <sz val="10"/>
        <color rgb="FF000000"/>
        <rFont val="Times New Roman"/>
        <family val="1"/>
      </rPr>
      <t xml:space="preserve"> PEFA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pair, both unbanded, nest found, 4 eggs, did not put a cam.Will need one asap to catch hatch. </t>
    </r>
    <r>
      <rPr>
        <b/>
        <sz val="10"/>
        <color rgb="FF000000"/>
        <rFont val="Times New Roman"/>
        <family val="1"/>
      </rPr>
      <t xml:space="preserve">June 23 (copter survey): </t>
    </r>
    <r>
      <rPr>
        <sz val="10"/>
        <color rgb="FF000000"/>
        <rFont val="Times New Roman"/>
        <family val="1"/>
      </rPr>
      <t xml:space="preserve">Deployed cam, took wp; PEFA pair, 4 eggs July 7 : PEFA female + 4 eggs, Batterie + Mem. card changed, RG: empty..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PEFA female, 4 chicks, SUPPLEMENTED- visit-5D, changed b+m.c, No RG. Tarsus(mm): R: 25.0, B: 23.5, G: 22.06, W: 17.54. </t>
    </r>
    <r>
      <rPr>
        <b/>
        <sz val="10"/>
        <color rgb="FF000000"/>
        <rFont val="Times New Roman"/>
        <family val="1"/>
      </rPr>
      <t xml:space="preserve">July 21: </t>
    </r>
    <r>
      <rPr>
        <sz val="10"/>
        <color rgb="FF000000"/>
        <rFont val="Times New Roman"/>
        <family val="1"/>
      </rPr>
      <t xml:space="preserve"> PEFA pair,  4 chicks, changed b+ m.c, RG: 0, SUPPLEMENTATION-visit-10D; 4 quails given (961g). </t>
    </r>
    <r>
      <rPr>
        <b/>
        <sz val="10"/>
        <color rgb="FF000000"/>
        <rFont val="Times New Roman"/>
        <family val="1"/>
      </rPr>
      <t xml:space="preserve">July 26: </t>
    </r>
    <r>
      <rPr>
        <sz val="10"/>
        <color rgb="FF000000"/>
        <rFont val="Times New Roman"/>
        <family val="1"/>
      </rPr>
      <t xml:space="preserve">PEFA female, 4 chicks, changed b + m.c, No RG, SUPPLEMENT-visit-15D; 6 quails ( 1286 g). 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 xml:space="preserve">PEFA female, 4 chicks, SUPPLEMENT-visit 20D; 8Q; 1773g.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 xml:space="preserve">PEFA pair, 4 chicks, changed b + m.c, no rg- SUPPLEMENT-25D: 8 Q: 1740 g. </t>
    </r>
    <r>
      <rPr>
        <b/>
        <sz val="10"/>
        <color rgb="FF000000"/>
        <rFont val="Times New Roman"/>
        <family val="1"/>
      </rPr>
      <t xml:space="preserve">August 10: </t>
    </r>
    <r>
      <rPr>
        <sz val="10"/>
        <color rgb="FF000000"/>
        <rFont val="Times New Roman"/>
        <family val="1"/>
      </rPr>
      <t>PEFA pair, 4 chicks, retrieved cam + RG, SUPPLEMENT-30D (last visit)</t>
    </r>
  </si>
  <si>
    <t>y (1min 51 s)</t>
  </si>
  <si>
    <t>y(&gt;3 min)</t>
  </si>
  <si>
    <t>27/m</t>
  </si>
  <si>
    <t>Crop</t>
  </si>
  <si>
    <t>full</t>
  </si>
  <si>
    <r>
      <t xml:space="preserve">May 23: </t>
    </r>
    <r>
      <rPr>
        <sz val="10"/>
        <color rgb="FF000000"/>
        <rFont val="Times New Roman"/>
        <family val="1"/>
      </rPr>
      <t xml:space="preserve">RLHA pair, territorial. </t>
    </r>
    <r>
      <rPr>
        <b/>
        <sz val="10"/>
        <color rgb="FF000000"/>
        <rFont val="Times New Roman"/>
        <family val="1"/>
      </rPr>
      <t xml:space="preserve">June 23( copter survey): </t>
    </r>
    <r>
      <rPr>
        <sz val="10"/>
        <color rgb="FF000000"/>
        <rFont val="Times New Roman"/>
        <family val="1"/>
      </rPr>
      <t xml:space="preserve">RLHA pair, female on nest, 4 eggs,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 RLHA pair, territorial, had lunch on island in front of site.</t>
    </r>
    <r>
      <rPr>
        <b/>
        <sz val="10"/>
        <color rgb="FF000000"/>
        <rFont val="Times New Roman"/>
        <family val="1"/>
      </rPr>
      <t xml:space="preserve"> July 30: </t>
    </r>
    <r>
      <rPr>
        <sz val="10"/>
        <color rgb="FF000000"/>
        <rFont val="Times New Roman"/>
        <family val="1"/>
      </rPr>
      <t xml:space="preserve"> RLHA nest, 4 chicks,both adults came at the end of visit, banded chicks</t>
    </r>
  </si>
  <si>
    <t>1947-19265</t>
  </si>
  <si>
    <t>1857-13241</t>
  </si>
  <si>
    <t>1947-19266</t>
  </si>
  <si>
    <t>1857-13242</t>
  </si>
  <si>
    <t>62.79189/092.16415</t>
  </si>
  <si>
    <r>
      <t xml:space="preserve">May 23: </t>
    </r>
    <r>
      <rPr>
        <sz val="10"/>
        <color rgb="FF000000"/>
        <rFont val="Times New Roman"/>
        <family val="1"/>
      </rPr>
      <t xml:space="preserve">RLHA pair, one is dark morph, on cliff territorial calls, stayed then left towar 52.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RLHA pair, 4 eggs in stick nest, not quite exactly on original location. Named site 55 because it was the closest nown site. </t>
    </r>
    <r>
      <rPr>
        <b/>
        <sz val="10"/>
        <color rgb="FF000000"/>
        <rFont val="Times New Roman"/>
        <family val="1"/>
      </rPr>
      <t xml:space="preserve">July 31:  </t>
    </r>
    <r>
      <rPr>
        <sz val="10"/>
        <color rgb="FF000000"/>
        <rFont val="Times New Roman"/>
        <family val="1"/>
      </rPr>
      <t>RLHA pair, 3 chicks, banded them</t>
    </r>
  </si>
  <si>
    <r>
      <t xml:space="preserve">May 23: </t>
    </r>
    <r>
      <rPr>
        <sz val="10"/>
        <color rgb="FF000000"/>
        <rFont val="Times New Roman"/>
        <family val="1"/>
      </rPr>
      <t xml:space="preserve"> No bird seen, old stick nest. </t>
    </r>
    <r>
      <rPr>
        <b/>
        <sz val="10"/>
        <color rgb="FF000000"/>
        <rFont val="Times New Roman"/>
        <family val="1"/>
      </rPr>
      <t xml:space="preserve">June 5: RLHA pair, 0 eggs. June 23 (copter survey): </t>
    </r>
    <r>
      <rPr>
        <sz val="10"/>
        <color rgb="FF000000"/>
        <rFont val="Times New Roman"/>
        <family val="1"/>
      </rPr>
      <t xml:space="preserve">Empty. 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>Empty</t>
    </r>
  </si>
  <si>
    <t>62.82511/092.26111</t>
  </si>
  <si>
    <t>Tarsus(mm)</t>
  </si>
  <si>
    <t>1857-13239</t>
  </si>
  <si>
    <t>1857-13240</t>
  </si>
  <si>
    <t>1947-19264</t>
  </si>
  <si>
    <t>62.83213/092.31175</t>
  </si>
  <si>
    <t>cracked</t>
  </si>
  <si>
    <r>
      <t xml:space="preserve">May 58: </t>
    </r>
    <r>
      <rPr>
        <sz val="10"/>
        <color rgb="FF000000"/>
        <rFont val="Times New Roman"/>
        <family val="1"/>
      </rPr>
      <t xml:space="preserve"> No bird seen, stayed 15 minutes</t>
    </r>
    <r>
      <rPr>
        <b/>
        <sz val="10"/>
        <color rgb="FF000000"/>
        <rFont val="Times New Roman"/>
        <family val="1"/>
      </rPr>
      <t xml:space="preserve">June 9: </t>
    </r>
    <r>
      <rPr>
        <sz val="10"/>
        <color rgb="FF000000"/>
        <rFont val="Times New Roman"/>
        <family val="1"/>
      </rPr>
      <t xml:space="preserve"> PEFA pair, 1egg, deployed cam + RG / I button (14:30). </t>
    </r>
    <r>
      <rPr>
        <b/>
        <sz val="10"/>
        <color rgb="FF000000"/>
        <rFont val="Times New Roman"/>
        <family val="1"/>
      </rPr>
      <t xml:space="preserve">June 19: </t>
    </r>
    <r>
      <rPr>
        <sz val="10"/>
        <color rgb="FF000000"/>
        <rFont val="Times New Roman"/>
        <family val="1"/>
      </rPr>
      <t xml:space="preserve"> PEFA pair, 4 eggs, changed batt+mem. Card. R.G: traces. </t>
    </r>
    <r>
      <rPr>
        <b/>
        <sz val="10"/>
        <color rgb="FF000000"/>
        <rFont val="Times New Roman"/>
        <family val="1"/>
      </rPr>
      <t>June 28</t>
    </r>
    <r>
      <rPr>
        <sz val="10"/>
        <color rgb="FF000000"/>
        <rFont val="Times New Roman"/>
        <family val="1"/>
      </rPr>
      <t xml:space="preserve">:  PEFA pair, 4 eggs, changed batt+mem. Card. R.G: 13 mm July 8 : PEFA pair + 4 eggs, Battery + memory card changed, RG : empty. </t>
    </r>
    <r>
      <rPr>
        <b/>
        <sz val="10"/>
        <color rgb="FF000000"/>
        <rFont val="Times New Roman"/>
        <family val="1"/>
      </rPr>
      <t xml:space="preserve">July 20: </t>
    </r>
    <r>
      <rPr>
        <sz val="10"/>
        <color rgb="FF000000"/>
        <rFont val="Times New Roman"/>
        <family val="1"/>
      </rPr>
      <t xml:space="preserve">PEFA pair, 3 chicks + 1 cracked egg, RG: 0,changed B +m.c. </t>
    </r>
    <r>
      <rPr>
        <b/>
        <sz val="10"/>
        <color rgb="FF000000"/>
        <rFont val="Times New Roman"/>
        <family val="1"/>
      </rPr>
      <t xml:space="preserve">July 25:  </t>
    </r>
    <r>
      <rPr>
        <sz val="10"/>
        <color rgb="FF000000"/>
        <rFont val="Times New Roman"/>
        <family val="1"/>
      </rPr>
      <t xml:space="preserve">PEFA pair,  3 chicks, changed B+ m.c, RG: 0,2cm, CONTROL-visit-5D </t>
    </r>
    <r>
      <rPr>
        <b/>
        <sz val="10"/>
        <color rgb="FF000000"/>
        <rFont val="Times New Roman"/>
        <family val="1"/>
      </rPr>
      <t xml:space="preserve">July 30: </t>
    </r>
    <r>
      <rPr>
        <sz val="10"/>
        <color rgb="FF000000"/>
        <rFont val="Times New Roman"/>
        <family val="1"/>
      </rPr>
      <t xml:space="preserve"> PEFA pair, 3 chicks, changed b +m.c, RG: 0. CONTROL-visit-10D.</t>
    </r>
    <r>
      <rPr>
        <b/>
        <sz val="10"/>
        <color rgb="FF000000"/>
        <rFont val="Times New Roman"/>
        <family val="1"/>
      </rPr>
      <t xml:space="preserve"> August 5: </t>
    </r>
    <r>
      <rPr>
        <sz val="10"/>
        <color rgb="FF000000"/>
        <rFont val="Times New Roman"/>
        <family val="1"/>
      </rPr>
      <t xml:space="preserve">PEFA pair, 3 chicks, changed b +m.c, RG: 2 cm, CONTROL-15 D. </t>
    </r>
    <r>
      <rPr>
        <b/>
        <sz val="10"/>
        <color rgb="FF000000"/>
        <rFont val="Times New Roman"/>
        <family val="1"/>
      </rPr>
      <t xml:space="preserve">August 9: </t>
    </r>
    <r>
      <rPr>
        <sz val="10"/>
        <color rgb="FF000000"/>
        <rFont val="Times New Roman"/>
        <family val="1"/>
      </rPr>
      <t xml:space="preserve"> PEFA male, 3 chicks, changed b + m.c, CONTROL-20D. </t>
    </r>
    <r>
      <rPr>
        <b/>
        <sz val="10"/>
        <color rgb="FF000000"/>
        <rFont val="Times New Roman"/>
        <family val="1"/>
      </rPr>
      <t>Aug 14:</t>
    </r>
    <r>
      <rPr>
        <sz val="10"/>
        <color rgb="FF000000"/>
        <rFont val="Times New Roman"/>
        <family val="1"/>
      </rPr>
      <t xml:space="preserve"> PEFA pair territorial, 2 chicks banded and weighed, b+ m.c changed, RG=0,, CONTROL-25D. </t>
    </r>
    <r>
      <rPr>
        <b/>
        <sz val="10"/>
        <color rgb="FF000000"/>
        <rFont val="Times New Roman"/>
        <family val="1"/>
      </rPr>
      <t>Aug 20:</t>
    </r>
    <r>
      <rPr>
        <sz val="10"/>
        <color rgb="FF000000"/>
        <rFont val="Times New Roman"/>
        <family val="1"/>
      </rPr>
      <t xml:space="preserve"> PEFA pair territorial, camera removed, RG removed (+ iButton), 2 chicks weighed, CONTROL-30D.</t>
    </r>
  </si>
  <si>
    <t>R</t>
  </si>
  <si>
    <t>B</t>
  </si>
  <si>
    <t>G</t>
  </si>
  <si>
    <t>W</t>
  </si>
  <si>
    <t>y ( 2: 00 s)</t>
  </si>
  <si>
    <t>Dylan B</t>
  </si>
  <si>
    <t>Kev</t>
  </si>
  <si>
    <t>NA</t>
  </si>
  <si>
    <t>DEAD</t>
  </si>
  <si>
    <t>Age #7</t>
  </si>
  <si>
    <t>Weight #7</t>
  </si>
  <si>
    <t>62.84272/092.34459</t>
  </si>
  <si>
    <r>
      <t xml:space="preserve">May 25: No bird seen. June 21: </t>
    </r>
    <r>
      <rPr>
        <sz val="10"/>
        <color rgb="FF000000"/>
        <rFont val="Times New Roman"/>
        <family val="1"/>
      </rPr>
      <t xml:space="preserve">Kevin found site. PEFA pair, 4 eggs, take wp next time. </t>
    </r>
    <r>
      <rPr>
        <b/>
        <sz val="10"/>
        <color rgb="FF000000"/>
        <rFont val="Times New Roman"/>
        <family val="1"/>
      </rPr>
      <t xml:space="preserve">June 28: </t>
    </r>
    <r>
      <rPr>
        <sz val="10"/>
        <color rgb="FF000000"/>
        <rFont val="Times New Roman"/>
        <family val="1"/>
      </rPr>
      <t xml:space="preserve"> PEFA pair, 4 eggs, took WP (kev), July 8 : PEFA pair + 4 eggs, RG: Empty. </t>
    </r>
    <r>
      <rPr>
        <b/>
        <sz val="10"/>
        <color rgb="FF000000"/>
        <rFont val="Times New Roman"/>
        <family val="1"/>
      </rPr>
      <t xml:space="preserve">July 22: </t>
    </r>
    <r>
      <rPr>
        <sz val="10"/>
        <color rgb="FF000000"/>
        <rFont val="Times New Roman"/>
        <family val="1"/>
      </rPr>
      <t xml:space="preserve">PEFA female, 3 chick + 1 egg (no piiping), Deployed camera (AA), RG: 0,8 cm. </t>
    </r>
    <r>
      <rPr>
        <b/>
        <sz val="10"/>
        <color rgb="FF000000"/>
        <rFont val="Times New Roman"/>
        <family val="1"/>
      </rPr>
      <t xml:space="preserve">July 25: </t>
    </r>
    <r>
      <rPr>
        <sz val="10"/>
        <color rgb="FF000000"/>
        <rFont val="Times New Roman"/>
        <family val="1"/>
      </rPr>
      <t xml:space="preserve"> PEFA femal, 3 chicks + 1 dead egg, changed batt + m.c (AA), RG: 0. CONTROL-visit 10D. </t>
    </r>
    <r>
      <rPr>
        <b/>
        <sz val="10"/>
        <color rgb="FF000000"/>
        <rFont val="Times New Roman"/>
        <family val="1"/>
      </rPr>
      <t xml:space="preserve">July 30: </t>
    </r>
    <r>
      <rPr>
        <sz val="10"/>
        <color rgb="FF000000"/>
        <rFont val="Times New Roman"/>
        <family val="1"/>
      </rPr>
      <t xml:space="preserve">PEFA pair, 3 chicks, changed m.c but no batt (non rechargeable, still 99% full), RG: 0. CONTROL-visit-15D. </t>
    </r>
    <r>
      <rPr>
        <b/>
        <sz val="10"/>
        <color rgb="FF000000"/>
        <rFont val="Times New Roman"/>
        <family val="1"/>
      </rPr>
      <t xml:space="preserve">August 5: </t>
    </r>
    <r>
      <rPr>
        <sz val="10"/>
        <color rgb="FF000000"/>
        <rFont val="Times New Roman"/>
        <family val="1"/>
      </rPr>
      <t xml:space="preserve">PEFA pair, 3 chicks, changed b + m.c, RG: 5 cm, CONTROL-20D. </t>
    </r>
    <r>
      <rPr>
        <b/>
        <sz val="10"/>
        <color rgb="FF000000"/>
        <rFont val="Times New Roman"/>
        <family val="1"/>
      </rPr>
      <t xml:space="preserve">Aug 9: </t>
    </r>
    <r>
      <rPr>
        <sz val="10"/>
        <color rgb="FF000000"/>
        <rFont val="Times New Roman"/>
        <family val="1"/>
      </rPr>
      <t xml:space="preserve">PEFA pair, 3 chick, b + m.c, RG: 0.5 cm, CONTROL-25D. </t>
    </r>
    <r>
      <rPr>
        <b/>
        <sz val="10"/>
        <color rgb="FF000000"/>
        <rFont val="Times New Roman"/>
        <family val="1"/>
      </rPr>
      <t xml:space="preserve">Aug 14: </t>
    </r>
    <r>
      <rPr>
        <sz val="10"/>
        <color rgb="FF000000"/>
        <rFont val="Times New Roman"/>
        <family val="1"/>
      </rPr>
      <t>PEFA pair territorial, 3 chicks weighed, removed camera and weather (+ iButton), RG=0, CONTROL-30D.</t>
    </r>
  </si>
  <si>
    <t>y(1:45s)</t>
  </si>
  <si>
    <t>CN</t>
  </si>
  <si>
    <t>May 24: Unnocupied, nice cliff between 60 and 27, a little inland, should check again.</t>
  </si>
  <si>
    <t>Suppplement</t>
  </si>
  <si>
    <t>51K</t>
  </si>
  <si>
    <r>
      <t xml:space="preserve">May 20: </t>
    </r>
    <r>
      <rPr>
        <sz val="10"/>
        <color rgb="FF000000"/>
        <rFont val="Times New Roman"/>
        <family val="1"/>
      </rPr>
      <t xml:space="preserve">No bird seen, lots of snow, RLHA hunting. </t>
    </r>
    <r>
      <rPr>
        <b/>
        <sz val="10"/>
        <color rgb="FF000000"/>
        <rFont val="Times New Roman"/>
        <family val="1"/>
      </rPr>
      <t xml:space="preserve">June7 : </t>
    </r>
    <r>
      <rPr>
        <sz val="10"/>
        <color rgb="FF000000"/>
        <rFont val="Times New Roman"/>
        <family val="1"/>
      </rPr>
      <t xml:space="preserve">Territorial PEFA pair, cant find scrape, still lots of snow, female banded. </t>
    </r>
    <r>
      <rPr>
        <b/>
        <sz val="10"/>
        <color rgb="FF000000"/>
        <rFont val="Times New Roman"/>
        <family val="1"/>
      </rPr>
      <t xml:space="preserve">June 11: </t>
    </r>
    <r>
      <rPr>
        <sz val="10"/>
        <color rgb="FF000000"/>
        <rFont val="Times New Roman"/>
        <family val="1"/>
      </rPr>
      <t xml:space="preserve">PEFA pair, 4 eggs, Cam + RG / I button (15:20). Female banded 51K. </t>
    </r>
    <r>
      <rPr>
        <b/>
        <sz val="10"/>
        <color rgb="FF000000"/>
        <rFont val="Times New Roman"/>
        <family val="1"/>
      </rPr>
      <t xml:space="preserve">June 21: </t>
    </r>
    <r>
      <rPr>
        <sz val="10"/>
        <color rgb="FF000000"/>
        <rFont val="Times New Roman"/>
        <family val="1"/>
      </rPr>
      <t>PEFA pair, 4 eggs, changed batt + mem.card, cam tilted, RG: traces</t>
    </r>
    <r>
      <rPr>
        <b/>
        <sz val="10"/>
        <color rgb="FF000000"/>
        <rFont val="Times New Roman"/>
        <family val="1"/>
      </rPr>
      <t xml:space="preserve"> July 2</t>
    </r>
    <r>
      <rPr>
        <sz val="10"/>
        <color rgb="FF000000"/>
        <rFont val="Times New Roman"/>
        <family val="1"/>
      </rPr>
      <t xml:space="preserve"> : PEFA pair + 4 eggs, Batterie changed, Camera didnt take any photo, Rg: Trace.July 9: Installed camera again (got stolen and found back).</t>
    </r>
    <r>
      <rPr>
        <b/>
        <sz val="10"/>
        <color rgb="FF000000"/>
        <rFont val="Times New Roman"/>
        <family val="1"/>
      </rPr>
      <t xml:space="preserve"> July 12</t>
    </r>
    <r>
      <rPr>
        <sz val="10"/>
        <color rgb="FF000000"/>
        <rFont val="Times New Roman"/>
        <family val="1"/>
      </rPr>
      <t xml:space="preserve">: PEFA pair + 3 chicks + 1 egg, Battery + mem. card changed, RG: empty. RED: Tarse=14,98, Weight=33, Crop= 3/4, Blue : Tarse=14,42 - Weight=38, Crop=1/4. Green : Tarse=14,03 - Weight=33 - Crop= 1/4. All eye not open. Hatched date: 11/07/16. </t>
    </r>
    <r>
      <rPr>
        <b/>
        <sz val="10"/>
        <color rgb="FF000000"/>
        <rFont val="Times New Roman"/>
        <family val="1"/>
      </rPr>
      <t xml:space="preserve">July 17: </t>
    </r>
    <r>
      <rPr>
        <sz val="10"/>
        <color rgb="FF000000"/>
        <rFont val="Times New Roman"/>
        <family val="1"/>
      </rPr>
      <t xml:space="preserve">PEFA pair, 3 chicks, 1 egg (might not hatch), batt + m.c changed. RG setup. SUPPLEMENTD-visit-5D, 3 quails given (627 g). </t>
    </r>
    <r>
      <rPr>
        <b/>
        <sz val="10"/>
        <color rgb="FF000000"/>
        <rFont val="Times New Roman"/>
        <family val="1"/>
      </rPr>
      <t xml:space="preserve">July 22: </t>
    </r>
    <r>
      <rPr>
        <sz val="10"/>
        <color rgb="FF000000"/>
        <rFont val="Times New Roman"/>
        <family val="1"/>
      </rPr>
      <t xml:space="preserve"> PEFA pair, 3 chicks, changed B + m.c. SUPPLEMENTATION-visit-10D; 4 quails given (900 g), RG : 0,5 cm. </t>
    </r>
    <r>
      <rPr>
        <b/>
        <sz val="10"/>
        <color rgb="FF000000"/>
        <rFont val="Times New Roman"/>
        <family val="1"/>
      </rPr>
      <t xml:space="preserve">July 27: </t>
    </r>
    <r>
      <rPr>
        <sz val="10"/>
        <color rgb="FF000000"/>
        <rFont val="Times New Roman"/>
        <family val="1"/>
      </rPr>
      <t xml:space="preserve">PEFA pair, 3 chicks, changed b + m.c, RG: empty GREEN DIED DURING BLOOD SAMPLE.SUPPLEMENTATION-viit-15D; 720g, 3 quails .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 xml:space="preserve">PEFA pair, 2 chicks, changed batt +m.c, RG: 0, SUPPLEMENT-20D-5 quails ( 1080 g).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 xml:space="preserve">PEFA pair, 2 chicks, changed b + m.c, RG: 2.4 cm SUPLEMENT-25D (blood and band)-5Q (995 g). </t>
    </r>
    <r>
      <rPr>
        <b/>
        <sz val="10"/>
        <color rgb="FF000000"/>
        <rFont val="Times New Roman"/>
        <family val="1"/>
      </rPr>
      <t xml:space="preserve"> August 11: </t>
    </r>
    <r>
      <rPr>
        <sz val="10"/>
        <color rgb="FF000000"/>
        <rFont val="Times New Roman"/>
        <family val="1"/>
      </rPr>
      <t>PEFA pair, 2 chicks, retrieved cam + RG: empty</t>
    </r>
  </si>
  <si>
    <t>y (2m00s)</t>
  </si>
  <si>
    <t>y(6m20s)</t>
  </si>
  <si>
    <t>y(16m00s)</t>
  </si>
  <si>
    <t>Age # 5</t>
  </si>
  <si>
    <t>Weight # 5</t>
  </si>
  <si>
    <t>Weight # 6</t>
  </si>
  <si>
    <t>Weight # 7</t>
  </si>
  <si>
    <t>62.80462/092.37836</t>
  </si>
  <si>
    <r>
      <t xml:space="preserve"> June 20 (copter survey):</t>
    </r>
    <r>
      <rPr>
        <sz val="10"/>
        <color rgb="FF000000"/>
        <rFont val="Times New Roman"/>
        <family val="1"/>
      </rPr>
      <t xml:space="preserve">PEFA pair, 3 eggs (+1 paler egg 1m away from scrape), took wp.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 copter survey, no adults, no chicks, likely failed.</t>
    </r>
  </si>
  <si>
    <r>
      <t xml:space="preserve">May 24: PEFA pair, followed us then left.June 3: Empty, no birds. June 5: Empty. July 28: </t>
    </r>
    <r>
      <rPr>
        <sz val="10"/>
        <color rgb="FF000000"/>
        <rFont val="Times New Roman"/>
        <family val="1"/>
      </rPr>
      <t xml:space="preserve"> No birds</t>
    </r>
  </si>
  <si>
    <r>
      <t xml:space="preserve">May 26: </t>
    </r>
    <r>
      <rPr>
        <sz val="10"/>
        <color rgb="FF000000"/>
        <rFont val="Times New Roman"/>
        <family val="1"/>
      </rPr>
      <t>RLHA ind. Close by, on site no aggressive calls.</t>
    </r>
    <r>
      <rPr>
        <b/>
        <sz val="10"/>
        <color rgb="FF000000"/>
        <rFont val="Times New Roman"/>
        <family val="1"/>
      </rPr>
      <t xml:space="preserve"> May 26: </t>
    </r>
    <r>
      <rPr>
        <sz val="10"/>
        <color rgb="FF000000"/>
        <rFont val="Times New Roman"/>
        <family val="1"/>
      </rPr>
      <t xml:space="preserve">Came bak at site 1 hr after first visit, RLHA pair, ind. At stick nest. </t>
    </r>
    <r>
      <rPr>
        <b/>
        <sz val="10"/>
        <color rgb="FF000000"/>
        <rFont val="Times New Roman"/>
        <family val="1"/>
      </rPr>
      <t xml:space="preserve">June 19: </t>
    </r>
    <r>
      <rPr>
        <sz val="10"/>
        <color rgb="FF000000"/>
        <rFont val="Times New Roman"/>
        <family val="1"/>
      </rPr>
      <t xml:space="preserve">RLHA ind, territorial, cant find stick nest (M.T). RLHA left after 5 min and PEFA ind. Came by, cacking 2-3 times then left.. </t>
    </r>
    <r>
      <rPr>
        <b/>
        <sz val="10"/>
        <color rgb="FF000000"/>
        <rFont val="Times New Roman"/>
        <family val="1"/>
      </rPr>
      <t xml:space="preserve">July 30: </t>
    </r>
    <r>
      <rPr>
        <sz val="10"/>
        <color rgb="FF000000"/>
        <rFont val="Times New Roman"/>
        <family val="1"/>
      </rPr>
      <t xml:space="preserve"> Empty...territorial PEFa pair caquing for 10 min then left...maybe pair from 58?</t>
    </r>
  </si>
  <si>
    <r>
      <t xml:space="preserve">May 20: </t>
    </r>
    <r>
      <rPr>
        <sz val="10"/>
        <color rgb="FF000000"/>
        <rFont val="Times New Roman"/>
        <family val="1"/>
      </rPr>
      <t>PEFA female, was not on cliff.</t>
    </r>
    <r>
      <rPr>
        <b/>
        <sz val="10"/>
        <color rgb="FF000000"/>
        <rFont val="Times New Roman"/>
        <family val="1"/>
      </rPr>
      <t xml:space="preserve"> May 30: </t>
    </r>
    <r>
      <rPr>
        <sz val="10"/>
        <color rgb="FF000000"/>
        <rFont val="Times New Roman"/>
        <family val="1"/>
      </rPr>
      <t xml:space="preserve"> Stayed there for trapping while Kev was doing transect nearby. No bird seen fro 2 hours. </t>
    </r>
    <r>
      <rPr>
        <b/>
        <sz val="10"/>
        <color rgb="FF000000"/>
        <rFont val="Times New Roman"/>
        <family val="1"/>
      </rPr>
      <t xml:space="preserve">June 9: </t>
    </r>
    <r>
      <rPr>
        <sz val="10"/>
        <color rgb="FF000000"/>
        <rFont val="Times New Roman"/>
        <family val="1"/>
      </rPr>
      <t xml:space="preserve"> No bird seen.</t>
    </r>
  </si>
  <si>
    <t>62.80313/091.59818</t>
  </si>
  <si>
    <t>15-Aug</t>
  </si>
  <si>
    <r>
      <t xml:space="preserve"> June 20 (copter survey): </t>
    </r>
    <r>
      <rPr>
        <sz val="10"/>
        <color rgb="FF000000"/>
        <rFont val="Times New Roman"/>
        <family val="1"/>
      </rPr>
      <t xml:space="preserve">PEFA pair, 4 eggs, took wp. </t>
    </r>
    <r>
      <rPr>
        <b/>
        <sz val="10"/>
        <color rgb="FF000000"/>
        <rFont val="Times New Roman"/>
        <family val="1"/>
      </rPr>
      <t xml:space="preserve">Aug 15: </t>
    </r>
    <r>
      <rPr>
        <sz val="10"/>
        <color rgb="FF000000"/>
        <rFont val="Times New Roman"/>
        <family val="1"/>
      </rPr>
      <t>copter survey, PEFA pair territorial, 2 chicks</t>
    </r>
  </si>
  <si>
    <t>1156-18952</t>
  </si>
  <si>
    <t>1947-19291</t>
  </si>
  <si>
    <r>
      <t>May 23:</t>
    </r>
    <r>
      <rPr>
        <sz val="10"/>
        <color rgb="FF000000"/>
        <rFont val="Times New Roman"/>
        <family val="1"/>
      </rPr>
      <t xml:space="preserve"> RLHA pair at site.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 RLHA pair, territorial, did not find nest.</t>
    </r>
  </si>
  <si>
    <t>62.83431/091.56568</t>
  </si>
  <si>
    <r>
      <t xml:space="preserve"> June 20 (copter survey): </t>
    </r>
    <r>
      <rPr>
        <sz val="10"/>
        <color rgb="FF000000"/>
        <rFont val="Times New Roman"/>
        <family val="1"/>
      </rPr>
      <t xml:space="preserve">Original location in the middle of a quad trail. Found a PEFA nest on a boulder close to it so named it 70. PEFA pair, 1 egg.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 copter survey, PEFA pair territorial, no chicks seen. Signs of recent occupancy.</t>
    </r>
  </si>
  <si>
    <r>
      <t xml:space="preserve">May 29: </t>
    </r>
    <r>
      <rPr>
        <sz val="10"/>
        <color rgb="FF000000"/>
        <rFont val="Times New Roman"/>
        <family val="1"/>
      </rPr>
      <t xml:space="preserve">No bird seen </t>
    </r>
    <r>
      <rPr>
        <b/>
        <sz val="10"/>
        <color rgb="FF000000"/>
        <rFont val="Times New Roman"/>
        <family val="1"/>
      </rPr>
      <t xml:space="preserve">June 13: </t>
    </r>
    <r>
      <rPr>
        <sz val="10"/>
        <color rgb="FF000000"/>
        <rFont val="Times New Roman"/>
        <family val="1"/>
      </rPr>
      <t xml:space="preserve"> Empty</t>
    </r>
  </si>
  <si>
    <r>
      <t xml:space="preserve">May 24: </t>
    </r>
    <r>
      <rPr>
        <sz val="10"/>
        <color rgb="FF000000"/>
        <rFont val="Times New Roman"/>
        <family val="1"/>
      </rPr>
      <t xml:space="preserve"> PEFA male unbanded came and cacked. 2 RLHA with alarming calls were about 200m south. </t>
    </r>
    <r>
      <rPr>
        <b/>
        <sz val="10"/>
        <color rgb="FF000000"/>
        <rFont val="Times New Roman"/>
        <family val="1"/>
      </rPr>
      <t xml:space="preserve">May 26: </t>
    </r>
    <r>
      <rPr>
        <sz val="10"/>
        <color rgb="FF000000"/>
        <rFont val="Times New Roman"/>
        <family val="1"/>
      </rPr>
      <t xml:space="preserve"> PEFA pair at site, fighting with a RLHA ind. For at least 30 mins, tried trapping, little interest by male but got disturbed by RLHA. </t>
    </r>
    <r>
      <rPr>
        <b/>
        <sz val="10"/>
        <color rgb="FF000000"/>
        <rFont val="Times New Roman"/>
        <family val="1"/>
      </rPr>
      <t xml:space="preserve">June 9: </t>
    </r>
    <r>
      <rPr>
        <sz val="10"/>
        <color rgb="FF000000"/>
        <rFont val="Times New Roman"/>
        <family val="1"/>
      </rPr>
      <t xml:space="preserve"> RLHA pair, stick nest with one egg. Nest inaccessible. </t>
    </r>
    <r>
      <rPr>
        <b/>
        <sz val="10"/>
        <color rgb="FF000000"/>
        <rFont val="Times New Roman"/>
        <family val="1"/>
      </rPr>
      <t xml:space="preserve">July 23: </t>
    </r>
    <r>
      <rPr>
        <sz val="10"/>
        <color rgb="FF000000"/>
        <rFont val="Times New Roman"/>
        <family val="1"/>
      </rPr>
      <t>RLHA pair, minimum 2 chicks (cant see nest), deployed stand.</t>
    </r>
  </si>
  <si>
    <r>
      <t xml:space="preserve"> June 20 (copter survey): </t>
    </r>
    <r>
      <rPr>
        <sz val="10"/>
        <color rgb="FF000000"/>
        <rFont val="Times New Roman"/>
        <family val="1"/>
      </rPr>
      <t>Big boulder. Empty. No room for scrape. Maybe more a perching site? Should be deleted</t>
    </r>
  </si>
  <si>
    <t>03M</t>
  </si>
  <si>
    <t>na</t>
  </si>
  <si>
    <r>
      <t xml:space="preserve">May 21: </t>
    </r>
    <r>
      <rPr>
        <sz val="10"/>
        <color rgb="FF000000"/>
        <rFont val="Times New Roman"/>
        <family val="1"/>
      </rPr>
      <t xml:space="preserve">Pefa pair may be moving between 74 and 78. </t>
    </r>
    <r>
      <rPr>
        <b/>
        <sz val="10"/>
        <color rgb="FF000000"/>
        <rFont val="Times New Roman"/>
        <family val="1"/>
      </rPr>
      <t xml:space="preserve">May 28: </t>
    </r>
    <r>
      <rPr>
        <sz val="10"/>
        <color rgb="FF000000"/>
        <rFont val="Times New Roman"/>
        <family val="1"/>
      </rPr>
      <t xml:space="preserve">Pefa pair. </t>
    </r>
    <r>
      <rPr>
        <b/>
        <sz val="10"/>
        <color rgb="FF000000"/>
        <rFont val="Times New Roman"/>
        <family val="1"/>
      </rPr>
      <t>June 1</t>
    </r>
    <r>
      <rPr>
        <sz val="10"/>
        <color rgb="FF000000"/>
        <rFont val="Times New Roman"/>
        <family val="1"/>
      </rPr>
      <t xml:space="preserve">: PEFA pair at site, tried trapping, male caught. Changed his blue band (01A) to 03M </t>
    </r>
    <r>
      <rPr>
        <b/>
        <sz val="10"/>
        <color rgb="FF000000"/>
        <rFont val="Times New Roman"/>
        <family val="1"/>
      </rPr>
      <t xml:space="preserve">June 4: </t>
    </r>
    <r>
      <rPr>
        <sz val="10"/>
        <color rgb="FF000000"/>
        <rFont val="Times New Roman"/>
        <family val="1"/>
      </rPr>
      <t>PEFA pair. Male banded. 1 egg!</t>
    </r>
    <r>
      <rPr>
        <b/>
        <sz val="10"/>
        <color rgb="FF000000"/>
        <rFont val="Times New Roman"/>
        <family val="1"/>
      </rPr>
      <t xml:space="preserve">  June 22 (copter survey):</t>
    </r>
    <r>
      <rPr>
        <sz val="10"/>
        <color rgb="FF000000"/>
        <rFont val="Times New Roman"/>
        <family val="1"/>
      </rPr>
      <t xml:space="preserve"> PEFA female, 4 eggs, femal is banded.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PEFA pair not very trritorial, 1 egg, </t>
    </r>
    <r>
      <rPr>
        <b/>
        <sz val="10"/>
        <color rgb="FF000000"/>
        <rFont val="Times New Roman"/>
        <family val="1"/>
      </rPr>
      <t xml:space="preserve">July 21: </t>
    </r>
    <r>
      <rPr>
        <sz val="10"/>
        <color rgb="FF000000"/>
        <rFont val="Times New Roman"/>
        <family val="1"/>
      </rPr>
      <t>PEFA pair, no eggs, FAILED</t>
    </r>
  </si>
  <si>
    <t>92H</t>
  </si>
  <si>
    <t>pictures</t>
  </si>
  <si>
    <t>19K</t>
  </si>
  <si>
    <r>
      <t xml:space="preserve">May 22: </t>
    </r>
    <r>
      <rPr>
        <sz val="10"/>
        <color rgb="FF000000"/>
        <rFont val="Times New Roman"/>
        <family val="1"/>
      </rPr>
      <t xml:space="preserve">PEFA pair, tried trapping, 2 intruders came and got pushed by the pair. Male killed the pigeon and ate it, did not get caught. Female came ate and noose broke. Tried with carpet, no success. </t>
    </r>
    <r>
      <rPr>
        <b/>
        <sz val="10"/>
        <color rgb="FF000000"/>
        <rFont val="Times New Roman"/>
        <family val="1"/>
      </rPr>
      <t xml:space="preserve">May 27: </t>
    </r>
    <r>
      <rPr>
        <sz val="10"/>
        <color rgb="FF000000"/>
        <rFont val="Times New Roman"/>
        <family val="1"/>
      </rPr>
      <t xml:space="preserve"> PEFA pair tried trapping, little interest. </t>
    </r>
    <r>
      <rPr>
        <b/>
        <sz val="10"/>
        <color rgb="FF000000"/>
        <rFont val="Times New Roman"/>
        <family val="1"/>
      </rPr>
      <t xml:space="preserve">June 2 : </t>
    </r>
    <r>
      <rPr>
        <sz val="10"/>
        <color rgb="FF000000"/>
        <rFont val="Times New Roman"/>
        <family val="1"/>
      </rPr>
      <t>Pefa pair, territorial, seen mating. Tried trapping for 25 without birds showing any interest</t>
    </r>
    <r>
      <rPr>
        <b/>
        <sz val="10"/>
        <color rgb="FF000000"/>
        <rFont val="Times New Roman"/>
        <family val="1"/>
      </rPr>
      <t>. June12 : P</t>
    </r>
    <r>
      <rPr>
        <sz val="10"/>
        <color rgb="FF000000"/>
        <rFont val="Times New Roman"/>
        <family val="1"/>
      </rPr>
      <t>EFA pair + 4 eggs, Camera deploy, RG deploy, Ibutton deploy 14h00</t>
    </r>
    <r>
      <rPr>
        <b/>
        <sz val="10"/>
        <color rgb="FF000000"/>
        <rFont val="Times New Roman"/>
        <family val="1"/>
      </rPr>
      <t xml:space="preserve">. June 21: </t>
    </r>
    <r>
      <rPr>
        <sz val="10"/>
        <color rgb="FF000000"/>
        <rFont val="Times New Roman"/>
        <family val="1"/>
      </rPr>
      <t xml:space="preserve"> PEFA pair, 4 eggs, changed batt + m.c, changed cam angle. R.G: Traces, male banded 92H (M.T) </t>
    </r>
    <r>
      <rPr>
        <b/>
        <sz val="10"/>
        <color rgb="FF000000"/>
        <rFont val="Times New Roman"/>
        <family val="1"/>
      </rPr>
      <t xml:space="preserve">July 2 : </t>
    </r>
    <r>
      <rPr>
        <sz val="10"/>
        <color rgb="FF000000"/>
        <rFont val="Times New Roman"/>
        <family val="1"/>
      </rPr>
      <t xml:space="preserve">PEFA pair + 4 eggs, Batterie + memory card changed, Rg: empty </t>
    </r>
    <r>
      <rPr>
        <b/>
        <sz val="10"/>
        <color rgb="FF000000"/>
        <rFont val="Times New Roman"/>
        <family val="1"/>
      </rPr>
      <t>July 12</t>
    </r>
    <r>
      <rPr>
        <sz val="10"/>
        <color rgb="FF000000"/>
        <rFont val="Times New Roman"/>
        <family val="1"/>
      </rPr>
      <t xml:space="preserve">: CONTROL-visit-5D, PEFA pair + 4 chicks, Battery + mem.card changed, RG: empty, Red: Tarse= 20,28, Weight =73, Crop 1/4.- eye open. Blue: Tarse=19,38, Weight=74, Crop=3/4, Eye open Green: Tarse=17,65, Weight=63, Crop= 3/4, eye open White: Tarse=15,43, Weight=33, Crop= empty, eye not open. </t>
    </r>
    <r>
      <rPr>
        <b/>
        <sz val="10"/>
        <color rgb="FF000000"/>
        <rFont val="Times New Roman"/>
        <family val="1"/>
      </rPr>
      <t xml:space="preserve">July 17: </t>
    </r>
    <r>
      <rPr>
        <sz val="10"/>
        <color rgb="FF000000"/>
        <rFont val="Times New Roman"/>
        <family val="1"/>
      </rPr>
      <t xml:space="preserve">CONTROL-visit-10D, PEFA pair, 4 chicks, changed b + m.c. </t>
    </r>
    <r>
      <rPr>
        <b/>
        <sz val="10"/>
        <color rgb="FF000000"/>
        <rFont val="Times New Roman"/>
        <family val="1"/>
      </rPr>
      <t xml:space="preserve">July 22: </t>
    </r>
    <r>
      <rPr>
        <sz val="10"/>
        <color rgb="FF000000"/>
        <rFont val="Times New Roman"/>
        <family val="1"/>
      </rPr>
      <t xml:space="preserve"> PEFA pair, 4 chicks, changed B + m.c, RG: 0,8 cm. Took blood on: Red (&lt; 3min) and Blue (&gt; 3 mn). Rectrices: R: 2.71, B: 3.5, G: 2. 41, W: 0.CONTROL-visit-15D.</t>
    </r>
    <r>
      <rPr>
        <b/>
        <sz val="10"/>
        <color rgb="FF000000"/>
        <rFont val="Times New Roman"/>
        <family val="1"/>
      </rPr>
      <t xml:space="preserve">July 27: </t>
    </r>
    <r>
      <rPr>
        <sz val="10"/>
        <color rgb="FF000000"/>
        <rFont val="Times New Roman"/>
        <family val="1"/>
      </rPr>
      <t xml:space="preserve"> PEFA pair, 4 chicks, changed b+m.c, CONTROL-20D, RG: &lt; 1mm, took blood on green and white.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 xml:space="preserve"> PEFA pair, 4 chicks, banded (except white) + blood (except blue), changed card (not batt.), CONTROL-25D.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>PEFA pair, 2 chicks (Blue KILLED BY FOX and White DIED FROM THE RAIN...both on aug. 4), Took back cam and I button (11: 50), CONTROL-30D (Last visit)</t>
    </r>
  </si>
  <si>
    <t>Blood #1 - 0.5ml</t>
  </si>
  <si>
    <t>y(2m30s)</t>
  </si>
  <si>
    <t>y(&gt;3min)</t>
  </si>
  <si>
    <t>24/f</t>
  </si>
  <si>
    <t>y(5m00)</t>
  </si>
  <si>
    <t>y(9m00)</t>
  </si>
  <si>
    <t>Age # 6</t>
  </si>
  <si>
    <r>
      <t xml:space="preserve">June 4: RLHA pair, 3 eggs in nest.July 19: </t>
    </r>
    <r>
      <rPr>
        <sz val="10"/>
        <color rgb="FF000000"/>
        <rFont val="Times New Roman"/>
        <family val="1"/>
      </rPr>
      <t xml:space="preserve"> RLHA pair, 4 chicks (15 days old), deployed stand. </t>
    </r>
    <r>
      <rPr>
        <b/>
        <sz val="10"/>
        <color rgb="FF000000"/>
        <rFont val="Times New Roman"/>
        <family val="1"/>
      </rPr>
      <t xml:space="preserve">July 29: </t>
    </r>
    <r>
      <rPr>
        <sz val="10"/>
        <color rgb="FF000000"/>
        <rFont val="Times New Roman"/>
        <family val="1"/>
      </rPr>
      <t>RLHA pair, 4 chick, banded them</t>
    </r>
  </si>
  <si>
    <t>?/f</t>
  </si>
  <si>
    <t>1857-13235</t>
  </si>
  <si>
    <t>1857-13234</t>
  </si>
  <si>
    <t>1857-13233</t>
  </si>
  <si>
    <r>
      <t xml:space="preserve">May 20: </t>
    </r>
    <r>
      <rPr>
        <sz val="10"/>
        <color rgb="FF000000"/>
        <rFont val="Times New Roman"/>
        <family val="1"/>
      </rPr>
      <t>RLHA pair, territorial, seems to nest 200m eastbound of WP.</t>
    </r>
    <r>
      <rPr>
        <b/>
        <sz val="10"/>
        <color rgb="FF000000"/>
        <rFont val="Times New Roman"/>
        <family val="1"/>
      </rPr>
      <t xml:space="preserve"> June 7: </t>
    </r>
    <r>
      <rPr>
        <sz val="10"/>
        <color rgb="FF000000"/>
        <rFont val="Times New Roman"/>
        <family val="1"/>
      </rPr>
      <t xml:space="preserve">PEFA female, 1 egg,deployed cam +RG/I button (13:50). June16 : PEFA pair + 4 eggs, Batt+mem.card changed, user label added, Rg: 0,0. July 2 : PEFA pair + 4eggs, Batterie + memory card changed, Rg : trace. July 12 : PEFA pair + 1 chick + 3 eggs ( 2 cracked eggs), Battery + mem.card changed, RG: empty, Red: Tarse=13,97, Weight=33, Crop= Empty, Eye: Closed. Hatched date : 12/07/16. </t>
    </r>
    <r>
      <rPr>
        <b/>
        <sz val="10"/>
        <color rgb="FF000000"/>
        <rFont val="Times New Roman"/>
        <family val="1"/>
      </rPr>
      <t xml:space="preserve">July 17: </t>
    </r>
    <r>
      <rPr>
        <sz val="10"/>
        <color rgb="FF000000"/>
        <rFont val="Times New Roman"/>
        <family val="1"/>
      </rPr>
      <t xml:space="preserve">PEFA pair,  4 chicks, changed b + m.c. RG: 0. CONTROL-visit-5D. </t>
    </r>
    <r>
      <rPr>
        <b/>
        <sz val="10"/>
        <color rgb="FF000000"/>
        <rFont val="Times New Roman"/>
        <family val="1"/>
      </rPr>
      <t xml:space="preserve">July 22: </t>
    </r>
    <r>
      <rPr>
        <sz val="10"/>
        <color rgb="FF000000"/>
        <rFont val="Times New Roman"/>
        <family val="1"/>
      </rPr>
      <t xml:space="preserve">PEFApair, 3 chicks, changed B + m.c, RG: 0,6 cm, CONTROL-visit-10D. </t>
    </r>
    <r>
      <rPr>
        <b/>
        <sz val="10"/>
        <color rgb="FF000000"/>
        <rFont val="Times New Roman"/>
        <family val="1"/>
      </rPr>
      <t xml:space="preserve">July 27: </t>
    </r>
    <r>
      <rPr>
        <sz val="10"/>
        <color rgb="FF000000"/>
        <rFont val="Times New Roman"/>
        <family val="1"/>
      </rPr>
      <t xml:space="preserve">PEFA pair, 4 chicks, changed b + m.c, RG: traces. CONTROL-visit-15D.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 xml:space="preserve">PEFA pair, 3 chicks (white died), changed b + m.c...CONTROL-visit-20D.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 xml:space="preserve"> PEFA female, 2 chicks ( GREEN dead, found remains in nest), changed b + m.c (moved camera to have better angle), RG: 2.5 cm, CONTROL-25D, no blood taken, too much ran during visit. </t>
    </r>
    <r>
      <rPr>
        <b/>
        <sz val="10"/>
        <color rgb="FF000000"/>
        <rFont val="Times New Roman"/>
        <family val="1"/>
      </rPr>
      <t>August 11</t>
    </r>
    <r>
      <rPr>
        <sz val="10"/>
        <color rgb="FF000000"/>
        <rFont val="Times New Roman"/>
        <family val="1"/>
      </rPr>
      <t>:  PEFA pair, 1 chick (RED DEAD IN NEST, retrieved band), retrieved cam + RG: tracs</t>
    </r>
  </si>
  <si>
    <t>y(1m36s)</t>
  </si>
  <si>
    <t>y( 6 m00)</t>
  </si>
  <si>
    <t>62.79659/092.16116</t>
  </si>
  <si>
    <r>
      <t xml:space="preserve"> May 23: </t>
    </r>
    <r>
      <rPr>
        <sz val="10"/>
        <color rgb="FF000000"/>
        <rFont val="Times New Roman"/>
        <family val="1"/>
      </rPr>
      <t>PEFA pair at site, aggressive call</t>
    </r>
    <r>
      <rPr>
        <b/>
        <sz val="10"/>
        <color rgb="FF000000"/>
        <rFont val="Times New Roman"/>
        <family val="1"/>
      </rPr>
      <t xml:space="preserve">s.June5: </t>
    </r>
    <r>
      <rPr>
        <sz val="10"/>
        <color rgb="FF000000"/>
        <rFont val="Times New Roman"/>
        <family val="1"/>
      </rPr>
      <t>PEFA pair, tried trapping, without any interest.</t>
    </r>
    <r>
      <rPr>
        <b/>
        <sz val="10"/>
        <color rgb="FF000000"/>
        <rFont val="Times New Roman"/>
        <family val="1"/>
      </rPr>
      <t xml:space="preserve"> June 12: </t>
    </r>
    <r>
      <rPr>
        <sz val="10"/>
        <color rgb="FF000000"/>
        <rFont val="Times New Roman"/>
        <family val="1"/>
      </rPr>
      <t xml:space="preserve">PEFA pair, layed in old RLHA near 108 nest instead of original site 78. 4 eggs. Deployed cam + RG / I button (12:30). </t>
    </r>
    <r>
      <rPr>
        <b/>
        <sz val="10"/>
        <color rgb="FF000000"/>
        <rFont val="Times New Roman"/>
        <family val="1"/>
      </rPr>
      <t xml:space="preserve">June 25: </t>
    </r>
    <r>
      <rPr>
        <sz val="10"/>
        <color rgb="FF000000"/>
        <rFont val="Times New Roman"/>
        <family val="1"/>
      </rPr>
      <t>PEFA ind, 4 eggs, changed b +m.c, RG: broken</t>
    </r>
    <r>
      <rPr>
        <b/>
        <sz val="10"/>
        <color rgb="FF000000"/>
        <rFont val="Times New Roman"/>
        <family val="1"/>
      </rPr>
      <t xml:space="preserve"> July 5</t>
    </r>
    <r>
      <rPr>
        <sz val="10"/>
        <color rgb="FF000000"/>
        <rFont val="Times New Roman"/>
        <family val="1"/>
      </rPr>
      <t xml:space="preserve">:  PEFA female + 4 eggs, Batterie changed + mem card changed. RG: broken.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PEFA pair, 4 chicks, B+m.c changed, CONTROL-visit-5D, Tarsus (mm): R: 22.0, B: 21.56, G: 23.57, W: 17.96. </t>
    </r>
    <r>
      <rPr>
        <b/>
        <sz val="10"/>
        <color rgb="FF000000"/>
        <rFont val="Times New Roman"/>
        <family val="1"/>
      </rPr>
      <t xml:space="preserve">July 21: </t>
    </r>
    <r>
      <rPr>
        <sz val="10"/>
        <color rgb="FF000000"/>
        <rFont val="Times New Roman"/>
        <family val="1"/>
      </rPr>
      <t xml:space="preserve">PEFA female,changed B + m.c , No RG. CRops: R: empty, G: 3/4, B &amp; W: full. CONTROL visit-10D. </t>
    </r>
    <r>
      <rPr>
        <b/>
        <sz val="10"/>
        <color rgb="FF000000"/>
        <rFont val="Times New Roman"/>
        <family val="1"/>
      </rPr>
      <t>July 26</t>
    </r>
    <r>
      <rPr>
        <sz val="10"/>
        <color rgb="FF000000"/>
        <rFont val="Times New Roman"/>
        <family val="1"/>
      </rPr>
      <t xml:space="preserve">: PEFA female, left during visit, 4 chicks, changed b +m.c, no RG, CONTROL-15D. 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 xml:space="preserve">PEFA pair, 4 chicks, chnaged b + m.c, no RG, CONTROL- 20D. </t>
    </r>
    <r>
      <rPr>
        <b/>
        <sz val="10"/>
        <color rgb="FF000000"/>
        <rFont val="Times New Roman"/>
        <family val="1"/>
      </rPr>
      <t xml:space="preserve">August 5: </t>
    </r>
    <r>
      <rPr>
        <sz val="10"/>
        <color rgb="FF000000"/>
        <rFont val="Times New Roman"/>
        <family val="1"/>
      </rPr>
      <t xml:space="preserve">PEFA female, 2 chicks (green and white missing), changed b+ m.c, no RG, CONTROL-25D (band + blood). </t>
    </r>
    <r>
      <rPr>
        <b/>
        <sz val="10"/>
        <color rgb="FF000000"/>
        <rFont val="Times New Roman"/>
        <family val="1"/>
      </rPr>
      <t xml:space="preserve">August 10: </t>
    </r>
    <r>
      <rPr>
        <sz val="10"/>
        <color rgb="FF000000"/>
        <rFont val="Times New Roman"/>
        <family val="1"/>
      </rPr>
      <t>PEFA pair, 1 chick (blue missing), retrieved camera + I button/RG-CONTROL-30D (last visit)</t>
    </r>
  </si>
  <si>
    <t>Blood #1 - 1 ml</t>
  </si>
  <si>
    <t>y(1min 12s)</t>
  </si>
  <si>
    <t>y(&gt; 3 min)</t>
  </si>
  <si>
    <t>26/F</t>
  </si>
  <si>
    <t>JUNE 6: RLHA pair territorial, found stick nest either freshly destroyed or unfinished.</t>
  </si>
  <si>
    <t>00M</t>
  </si>
  <si>
    <t>May 25: Male caught. June 8: Empty</t>
  </si>
  <si>
    <t>May 25: RLHA ind. Landed on nicenesting spotJune 8: Empty</t>
  </si>
  <si>
    <r>
      <t xml:space="preserve">June 8: </t>
    </r>
    <r>
      <rPr>
        <sz val="10"/>
        <color rgb="FF000000"/>
        <rFont val="Times New Roman"/>
        <family val="1"/>
      </rPr>
      <t xml:space="preserve">RLHA pair, too far to see nest.  </t>
    </r>
    <r>
      <rPr>
        <b/>
        <sz val="10"/>
        <color rgb="FF000000"/>
        <rFont val="Times New Roman"/>
        <family val="1"/>
      </rPr>
      <t xml:space="preserve">June 23 (copter survey): </t>
    </r>
    <r>
      <rPr>
        <sz val="10"/>
        <color rgb="FF000000"/>
        <rFont val="Times New Roman"/>
        <family val="1"/>
      </rPr>
      <t xml:space="preserve"> Empty, birds are at 29</t>
    </r>
  </si>
  <si>
    <t>June 22 (copter urvey): Empty</t>
  </si>
  <si>
    <t>62.85986/091.88623</t>
  </si>
  <si>
    <r>
      <t>May 20: PEFA ind. June 12:</t>
    </r>
    <r>
      <rPr>
        <sz val="10"/>
        <color rgb="FF000000"/>
        <rFont val="Times New Roman"/>
        <family val="1"/>
      </rPr>
      <t>PEFA pair + 3eggs + 1 intruder,Camera deploy,RG deploy,Ibutton deploy 12h30.</t>
    </r>
    <r>
      <rPr>
        <b/>
        <sz val="10"/>
        <color rgb="FF000000"/>
        <rFont val="Times New Roman"/>
        <family val="1"/>
      </rPr>
      <t xml:space="preserve"> June 21: </t>
    </r>
    <r>
      <rPr>
        <sz val="10"/>
        <color rgb="FF000000"/>
        <rFont val="Times New Roman"/>
        <family val="1"/>
      </rPr>
      <t>PEFA pair + 1 intruder, 3 eggs, changed batt + M.C. Lay dates UNKNOWN. R.G : traces</t>
    </r>
    <r>
      <rPr>
        <b/>
        <sz val="10"/>
        <color rgb="FF000000"/>
        <rFont val="Times New Roman"/>
        <family val="1"/>
      </rPr>
      <t xml:space="preserve"> July 2 :</t>
    </r>
    <r>
      <rPr>
        <sz val="10"/>
        <color rgb="FF000000"/>
        <rFont val="Times New Roman"/>
        <family val="1"/>
      </rPr>
      <t xml:space="preserve">  PEFA pair + 3 eggs, Batterie + memory card changed , Rg: Empty</t>
    </r>
    <r>
      <rPr>
        <b/>
        <sz val="10"/>
        <color rgb="FF000000"/>
        <rFont val="Times New Roman"/>
        <family val="1"/>
      </rPr>
      <t>. July 12</t>
    </r>
    <r>
      <rPr>
        <sz val="10"/>
        <color rgb="FF000000"/>
        <rFont val="Times New Roman"/>
        <family val="1"/>
      </rPr>
      <t xml:space="preserve">: PEFA pair + 2 chicks, Battery + mem.card changed, RG: empty Both chicks fall off cliff, replaced camera down the cliff., Red: Tarse= 19,53, Weight =47, Crop 3/4. Blue: Tarse=18,77- Weight=42, Crop=3/4. Eye not open on both chicks. Hatched date 10/07/16. 3rd chick died in the morning. </t>
    </r>
    <r>
      <rPr>
        <b/>
        <sz val="10"/>
        <color rgb="FF000000"/>
        <rFont val="Times New Roman"/>
        <family val="1"/>
      </rPr>
      <t xml:space="preserve">July 17: </t>
    </r>
    <r>
      <rPr>
        <sz val="10"/>
        <color rgb="FF000000"/>
        <rFont val="Times New Roman"/>
        <family val="1"/>
      </rPr>
      <t xml:space="preserve">CONTROL-visit-5D, PEFA ind., 2 chicks, changed b+m.c, RG: 0. </t>
    </r>
    <r>
      <rPr>
        <b/>
        <sz val="10"/>
        <color rgb="FF000000"/>
        <rFont val="Times New Roman"/>
        <family val="1"/>
      </rPr>
      <t xml:space="preserve">July 22: </t>
    </r>
    <r>
      <rPr>
        <sz val="10"/>
        <color rgb="FF000000"/>
        <rFont val="Times New Roman"/>
        <family val="1"/>
      </rPr>
      <t xml:space="preserve">PEFApair, 2 chicks, changed B+m.c, RG: 0, CONTROL-visit-10D. </t>
    </r>
    <r>
      <rPr>
        <b/>
        <sz val="10"/>
        <color rgb="FF000000"/>
        <rFont val="Times New Roman"/>
        <family val="1"/>
      </rPr>
      <t xml:space="preserve">July 27: </t>
    </r>
    <r>
      <rPr>
        <sz val="10"/>
        <color rgb="FF000000"/>
        <rFont val="Times New Roman"/>
        <family val="1"/>
      </rPr>
      <t xml:space="preserve">NO adult, 2 chicks, changed b =m.c, changed b + m.c, RG: 0.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 xml:space="preserve"> PEFA pair, NO CHICKS...predation by WOLVERINE (caught on Reconyx)...happened during night between 07-31 and 08-01....Took back camera</t>
    </r>
  </si>
  <si>
    <t>y (2m50s)</t>
  </si>
  <si>
    <t>y(7m00s)</t>
  </si>
  <si>
    <r>
      <t>May 23:</t>
    </r>
    <r>
      <rPr>
        <sz val="10"/>
        <color rgb="FF000000"/>
        <rFont val="Times New Roman"/>
        <family val="1"/>
      </rPr>
      <t xml:space="preserve"> RLHA pair, end of the day. </t>
    </r>
    <r>
      <rPr>
        <b/>
        <sz val="10"/>
        <color rgb="FF000000"/>
        <rFont val="Times New Roman"/>
        <family val="1"/>
      </rPr>
      <t xml:space="preserve">June13: </t>
    </r>
    <r>
      <rPr>
        <sz val="10"/>
        <color rgb="FF000000"/>
        <rFont val="Times New Roman"/>
        <family val="1"/>
      </rPr>
      <t xml:space="preserve"> RLHA pair, 2 eggs in nest.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 RLHA pair, 4 eggs, 1 cracked and pipping ( second clutch).</t>
    </r>
  </si>
  <si>
    <r>
      <t>May 29:</t>
    </r>
    <r>
      <rPr>
        <sz val="10"/>
        <color rgb="FF000000"/>
        <rFont val="Times New Roman"/>
        <family val="1"/>
      </rPr>
      <t xml:space="preserve"> RLHA pair. </t>
    </r>
    <r>
      <rPr>
        <b/>
        <sz val="10"/>
        <color rgb="FF000000"/>
        <rFont val="Times New Roman"/>
        <family val="1"/>
      </rPr>
      <t xml:space="preserve">June 13: </t>
    </r>
    <r>
      <rPr>
        <sz val="10"/>
        <color rgb="FF000000"/>
        <rFont val="Times New Roman"/>
        <family val="1"/>
      </rPr>
      <t xml:space="preserve"> RLHA incubating. </t>
    </r>
    <r>
      <rPr>
        <b/>
        <sz val="10"/>
        <color rgb="FF000000"/>
        <rFont val="Times New Roman"/>
        <family val="1"/>
      </rPr>
      <t>June 22 (Copter survey)</t>
    </r>
    <r>
      <rPr>
        <sz val="10"/>
        <color rgb="FF000000"/>
        <rFont val="Times New Roman"/>
        <family val="1"/>
      </rPr>
      <t>: Empty RLHA nest, FAILED</t>
    </r>
  </si>
  <si>
    <t>SMEAR</t>
  </si>
  <si>
    <t>HEMATOCRIT</t>
  </si>
  <si>
    <t>TOTAL SOLID</t>
  </si>
  <si>
    <t>1947-19297</t>
  </si>
  <si>
    <t>62.92975/092.22214</t>
  </si>
  <si>
    <t>52K</t>
  </si>
  <si>
    <t>52k-2016-05-21</t>
  </si>
  <si>
    <r>
      <t xml:space="preserve">May 21: Female captured. No bird seen. June 10: </t>
    </r>
    <r>
      <rPr>
        <sz val="10"/>
        <color rgb="FF000000"/>
        <rFont val="Times New Roman"/>
        <family val="1"/>
      </rPr>
      <t xml:space="preserve"> PEFA pair, territorial, 2-3 empty scrape, found 1 egg (cold) on top of cliff, not in any scraper. We let it there. </t>
    </r>
    <r>
      <rPr>
        <b/>
        <sz val="10"/>
        <color rgb="FF000000"/>
        <rFont val="Times New Roman"/>
        <family val="1"/>
      </rPr>
      <t xml:space="preserve">June 15: </t>
    </r>
    <r>
      <rPr>
        <sz val="10"/>
        <color rgb="FF000000"/>
        <rFont val="Times New Roman"/>
        <family val="1"/>
      </rPr>
      <t xml:space="preserve"> PEFA pair, 2 eggs in crape (without counting th one found on the ground on June 10). Female banded 52K. Must take WP from phil's GPS. Camera + solar pannel/ RG/I button ( 11: 00am).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PEFA pair, 3 eggs, batt. AA lithium not changed but changed M.C... NO USER LABEL ON PICTURES </t>
    </r>
    <r>
      <rPr>
        <b/>
        <sz val="10"/>
        <color rgb="FF000000"/>
        <rFont val="Times New Roman"/>
        <family val="1"/>
      </rPr>
      <t xml:space="preserve">July 3 </t>
    </r>
    <r>
      <rPr>
        <sz val="10"/>
        <color rgb="FF000000"/>
        <rFont val="Times New Roman"/>
        <family val="1"/>
      </rPr>
      <t>: PEFA pair + 3eggs , Didnt had battery and memory card for small camera, but M.C not full and battery still running. Rg: Trace.</t>
    </r>
    <r>
      <rPr>
        <b/>
        <sz val="10"/>
        <color rgb="FF000000"/>
        <rFont val="Times New Roman"/>
        <family val="1"/>
      </rPr>
      <t xml:space="preserve"> July 13: </t>
    </r>
    <r>
      <rPr>
        <sz val="10"/>
        <color rgb="FF000000"/>
        <rFont val="Times New Roman"/>
        <family val="1"/>
      </rPr>
      <t xml:space="preserve"> PEFA par, 3 eggs, batterie + mem. card, RG: Empty. </t>
    </r>
    <r>
      <rPr>
        <b/>
        <sz val="10"/>
        <color rgb="FF000000"/>
        <rFont val="Times New Roman"/>
        <family val="1"/>
      </rPr>
      <t xml:space="preserve">July 19: </t>
    </r>
    <r>
      <rPr>
        <sz val="10"/>
        <color rgb="FF000000"/>
        <rFont val="Times New Roman"/>
        <family val="1"/>
      </rPr>
      <t xml:space="preserve">PEFAi pair, 3 eggs, changed just m.c , RG: 0, 1 egg cracked and piping. </t>
    </r>
    <r>
      <rPr>
        <b/>
        <sz val="10"/>
        <color rgb="FF000000"/>
        <rFont val="Times New Roman"/>
        <family val="1"/>
      </rPr>
      <t>July 22:</t>
    </r>
    <r>
      <rPr>
        <sz val="10"/>
        <color rgb="FF000000"/>
        <rFont val="Times New Roman"/>
        <family val="1"/>
      </rPr>
      <t xml:space="preserve">PEFA pair, 2 chicks + 1 dead egg (yolky), changed CAMERA, RG:  0, SUPPLEMENTATION-visit-5D: forgot quails but went back to give 3 quails on July 23. </t>
    </r>
    <r>
      <rPr>
        <b/>
        <sz val="10"/>
        <color rgb="FF000000"/>
        <rFont val="Times New Roman"/>
        <family val="1"/>
      </rPr>
      <t xml:space="preserve">July 27: </t>
    </r>
    <r>
      <rPr>
        <sz val="10"/>
        <color rgb="FF000000"/>
        <rFont val="Times New Roman"/>
        <family val="1"/>
      </rPr>
      <t xml:space="preserve"> PEFA pair, 2 chicks, did not changed b + m.c, RG: 0, SUPPLEMENT-visit-10D; gave 3 quails ( 575 g)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 xml:space="preserve">PEFA pair, 2 chicks, changed b + m.c, RG: 0. Scale broken so did not take weight. Supplementation-15D: 4Q.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>PEFA pair, 2 chicks, changed b +m.c, SUPPLEMENT-20D; 5Q (980 g).</t>
    </r>
    <r>
      <rPr>
        <b/>
        <sz val="10"/>
        <color rgb="FF000000"/>
        <rFont val="Times New Roman"/>
        <family val="1"/>
      </rPr>
      <t xml:space="preserve">August 11: </t>
    </r>
    <r>
      <rPr>
        <sz val="10"/>
        <color rgb="FF000000"/>
        <rFont val="Times New Roman"/>
        <family val="1"/>
      </rPr>
      <t xml:space="preserve"> PEFA pair, 2 chicks, b+m.c, RG: empty, SUPPLEMENT-25D: 4Q (948 g).</t>
    </r>
    <r>
      <rPr>
        <b/>
        <sz val="10"/>
        <color rgb="FF000000"/>
        <rFont val="Times New Roman"/>
        <family val="1"/>
      </rPr>
      <t xml:space="preserve"> Aug 16:</t>
    </r>
    <r>
      <rPr>
        <sz val="10"/>
        <color rgb="FF000000"/>
        <rFont val="Times New Roman"/>
        <family val="1"/>
      </rPr>
      <t xml:space="preserve"> copter survey, PEFA female territorial, 2 chicks, camera and RG removed (+ iButton), RG=0, SUPPLEMENT-30D</t>
    </r>
  </si>
  <si>
    <t>y(2:00s)</t>
  </si>
  <si>
    <t>Recrices (mm)</t>
  </si>
  <si>
    <r>
      <t xml:space="preserve"> June 20 (copter survey): </t>
    </r>
    <r>
      <rPr>
        <sz val="10"/>
        <color rgb="FF000000"/>
        <rFont val="Times New Roman"/>
        <family val="1"/>
      </rPr>
      <t>WPT should be deleted. No cliff here, only bed rock.</t>
    </r>
  </si>
  <si>
    <t xml:space="preserve"> June 20 (copter survey): Empty</t>
  </si>
  <si>
    <t xml:space="preserve"> June 20 (copter survey): Could not reach site (Rabbit island)</t>
  </si>
  <si>
    <t>62.84200/091.25027</t>
  </si>
  <si>
    <r>
      <t xml:space="preserve">June 20 (copter survey): </t>
    </r>
    <r>
      <rPr>
        <sz val="10"/>
        <color rgb="FF000000"/>
        <rFont val="Times New Roman"/>
        <family val="1"/>
      </rPr>
      <t xml:space="preserve"> PEFA pair, female incubating, did not want to take off, cant see egss, took wp. </t>
    </r>
    <r>
      <rPr>
        <b/>
        <sz val="10"/>
        <color rgb="FF000000"/>
        <rFont val="Times New Roman"/>
        <family val="1"/>
      </rPr>
      <t xml:space="preserve">Aug 15: </t>
    </r>
    <r>
      <rPr>
        <sz val="10"/>
        <color rgb="FF000000"/>
        <rFont val="Times New Roman"/>
        <family val="1"/>
      </rPr>
      <t>copter survey, PEFA pair territorial, 1 chick,</t>
    </r>
  </si>
  <si>
    <t>1947-19290</t>
  </si>
  <si>
    <t>62.87310/091.27360</t>
  </si>
  <si>
    <r>
      <t xml:space="preserve"> June 20 (copter survey):</t>
    </r>
    <r>
      <rPr>
        <sz val="10"/>
        <color rgb="FF000000"/>
        <rFont val="Times New Roman"/>
        <family val="1"/>
      </rPr>
      <t xml:space="preserve"> PEFA fmale incubating, cant see eggs. </t>
    </r>
    <r>
      <rPr>
        <b/>
        <sz val="10"/>
        <color rgb="FF000000"/>
        <rFont val="Times New Roman"/>
        <family val="1"/>
      </rPr>
      <t xml:space="preserve">Aug 15: </t>
    </r>
    <r>
      <rPr>
        <sz val="10"/>
        <color rgb="FF000000"/>
        <rFont val="Times New Roman"/>
        <family val="1"/>
      </rPr>
      <t>copter survey, PEFA female, no chicks, sign of recent presence in the nest. Potentially fail.</t>
    </r>
  </si>
  <si>
    <r>
      <t xml:space="preserve">June 14: </t>
    </r>
    <r>
      <rPr>
        <sz val="10"/>
        <color rgb="FF000000"/>
        <rFont val="Times New Roman"/>
        <family val="1"/>
      </rPr>
      <t xml:space="preserve"> PEFA pair, 4 eggs, no WP, Camera with solar pannel + RG/ I button deployed ( 13:00). Camera doesnt show settings so only armed it as it was…no user label..</t>
    </r>
    <r>
      <rPr>
        <b/>
        <sz val="10"/>
        <color rgb="FF000000"/>
        <rFont val="Times New Roman"/>
        <family val="1"/>
      </rPr>
      <t xml:space="preserve"> June 20: (Copter survey) </t>
    </r>
    <r>
      <rPr>
        <sz val="10"/>
        <color rgb="FF000000"/>
        <rFont val="Times New Roman"/>
        <family val="1"/>
      </rPr>
      <t xml:space="preserve">PEFA pair, 4 eggs, chnaged batt + m.c , RG: traces </t>
    </r>
    <r>
      <rPr>
        <b/>
        <sz val="10"/>
        <color rgb="FF000000"/>
        <rFont val="Times New Roman"/>
        <family val="1"/>
      </rPr>
      <t>July 1</t>
    </r>
    <r>
      <rPr>
        <sz val="10"/>
        <color rgb="FF000000"/>
        <rFont val="Times New Roman"/>
        <family val="1"/>
      </rPr>
      <t xml:space="preserve"> : PEFA pair + 3 eggs, Batterie + memory card changed, Rg: 0,25 cm </t>
    </r>
    <r>
      <rPr>
        <b/>
        <sz val="10"/>
        <color rgb="FF000000"/>
        <rFont val="Times New Roman"/>
        <family val="1"/>
      </rPr>
      <t>July 11</t>
    </r>
    <r>
      <rPr>
        <sz val="10"/>
        <color rgb="FF000000"/>
        <rFont val="Times New Roman"/>
        <family val="1"/>
      </rPr>
      <t xml:space="preserve">: PEFA pair + 3 chicks, Battery + mem.card changed, RG: empty, Red: Tarse= 19,17, Weight =42, Crop 1/4. Blue: Tarse=17,74, Weight=45, Crop=3/4. Green: Tarse=16,55, Weight=51, Crop= Full.. </t>
    </r>
    <r>
      <rPr>
        <b/>
        <sz val="10"/>
        <color rgb="FF000000"/>
        <rFont val="Times New Roman"/>
        <family val="1"/>
      </rPr>
      <t xml:space="preserve">July 20: </t>
    </r>
    <r>
      <rPr>
        <sz val="10"/>
        <color rgb="FF000000"/>
        <rFont val="Times New Roman"/>
        <family val="1"/>
      </rPr>
      <t xml:space="preserve">PEFA pair, 3 chicks, took back cam + R.G.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 copter survey, PEFA pair territorial, 2 chicks (fledging + flying), too old to band.</t>
    </r>
  </si>
  <si>
    <r>
      <t xml:space="preserve">May 21: No cliff on WP, one small cliff near, loc inacurate? June 22 (copter survey): </t>
    </r>
    <r>
      <rPr>
        <sz val="10"/>
        <color rgb="FF000000"/>
        <rFont val="Times New Roman"/>
        <family val="1"/>
      </rPr>
      <t>EMPTY, no cliffs or rock</t>
    </r>
  </si>
  <si>
    <t>62.76727/092.12492</t>
  </si>
  <si>
    <t>pipping</t>
  </si>
  <si>
    <t>62.94759/092.30113</t>
  </si>
  <si>
    <r>
      <t xml:space="preserve">May 21: No bird seen. June 10: </t>
    </r>
    <r>
      <rPr>
        <sz val="10"/>
        <color rgb="FF000000"/>
        <rFont val="Times New Roman"/>
        <family val="1"/>
      </rPr>
      <t xml:space="preserve">PEFA pair, 1 egg, deployed Cam + RG / I button) (13:00).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 PEFA pair, 4 eggs, brought back cam (to deploy elsewhere. </t>
    </r>
    <r>
      <rPr>
        <b/>
        <sz val="10"/>
        <color rgb="FF000000"/>
        <rFont val="Times New Roman"/>
        <family val="1"/>
      </rPr>
      <t>Aug 16:</t>
    </r>
    <r>
      <rPr>
        <sz val="10"/>
        <color rgb="FF000000"/>
        <rFont val="Times New Roman"/>
        <family val="1"/>
      </rPr>
      <t xml:space="preserve"> copter survey, 2 PEFA territorial, 3 chicks, weighed and banded</t>
    </r>
  </si>
  <si>
    <t>1156-18958</t>
  </si>
  <si>
    <t>1947-19294</t>
  </si>
  <si>
    <t>1947-19296</t>
  </si>
  <si>
    <r>
      <t>June 22 (copter survey):</t>
    </r>
    <r>
      <rPr>
        <sz val="10"/>
        <color rgb="FF000000"/>
        <rFont val="Times New Roman"/>
        <family val="1"/>
      </rPr>
      <t>EMPTY</t>
    </r>
  </si>
  <si>
    <t>62.49764/092.24082</t>
  </si>
  <si>
    <t>??A</t>
  </si>
  <si>
    <t>42E</t>
  </si>
  <si>
    <t>Mat's Cam</t>
  </si>
  <si>
    <r>
      <t xml:space="preserve">May 25: </t>
    </r>
    <r>
      <rPr>
        <sz val="10"/>
        <color rgb="FF000000"/>
        <rFont val="Times New Roman"/>
        <family val="1"/>
      </rPr>
      <t>PEFA pair, tried trapping about 1hr, bird had no interest.</t>
    </r>
    <r>
      <rPr>
        <b/>
        <sz val="10"/>
        <color rgb="FF000000"/>
        <rFont val="Times New Roman"/>
        <family val="1"/>
      </rPr>
      <t xml:space="preserve"> June 3: PEFA female, tried trapping, no interest. Female seems full of eggs. June 9: </t>
    </r>
    <r>
      <rPr>
        <sz val="10"/>
        <color rgb="FF000000"/>
        <rFont val="Times New Roman"/>
        <family val="1"/>
      </rPr>
      <t xml:space="preserve"> PEFA pair, 3 eggs, deployed cam + RG/ I button (12:00). Female banded and seem to still have a GEOLOCATOR. Confirm band on cam!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PEFA female, 4 eggs, changed batt + m.c. R.G: fallen. July 8 : PEFA pair + 4 eggs, Battery + memory card changed, RG: empty. </t>
    </r>
    <r>
      <rPr>
        <b/>
        <sz val="10"/>
        <color rgb="FF000000"/>
        <rFont val="Times New Roman"/>
        <family val="1"/>
      </rPr>
      <t xml:space="preserve">July 18: </t>
    </r>
    <r>
      <rPr>
        <sz val="10"/>
        <color rgb="FF000000"/>
        <rFont val="Times New Roman"/>
        <family val="1"/>
      </rPr>
      <t xml:space="preserve">PEFA pair, 4 chicks, changed B+ m.c, R.G: 0. Tarsus: R: 32.3, B: 28.65, G: 29.97, W:23.60. SUPPLEMENTED visit-5D. </t>
    </r>
    <r>
      <rPr>
        <b/>
        <sz val="10"/>
        <color rgb="FF000000"/>
        <rFont val="Times New Roman"/>
        <family val="1"/>
      </rPr>
      <t xml:space="preserve">July 24: </t>
    </r>
    <r>
      <rPr>
        <sz val="10"/>
        <color rgb="FF000000"/>
        <rFont val="Times New Roman"/>
        <family val="1"/>
      </rPr>
      <t xml:space="preserve"> PEFA pair + 2 intruder, 4 chicks, Changed B + m.c, RG: NA, Rectrices (mm): R: 1.95, B: 1.33, G: 1.47, W: 0, Supplement-visit-10D: 6 quails given (1188g). </t>
    </r>
    <r>
      <rPr>
        <b/>
        <sz val="10"/>
        <color rgb="FF000000"/>
        <rFont val="Times New Roman"/>
        <family val="1"/>
      </rPr>
      <t xml:space="preserve">July 28: </t>
    </r>
    <r>
      <rPr>
        <sz val="10"/>
        <color rgb="FF000000"/>
        <rFont val="Times New Roman"/>
        <family val="1"/>
      </rPr>
      <t xml:space="preserve">PEFA pair + 1 intruder, 4 chicks, changed b+ m.c, RG: 0,2 cm, SUPPLEMENTATION-visit-15D; 6 quails (1314g). </t>
    </r>
    <r>
      <rPr>
        <b/>
        <sz val="10"/>
        <color rgb="FF000000"/>
        <rFont val="Times New Roman"/>
        <family val="1"/>
      </rPr>
      <t xml:space="preserve">August 02:  </t>
    </r>
    <r>
      <rPr>
        <sz val="10"/>
        <color rgb="FF000000"/>
        <rFont val="Times New Roman"/>
        <family val="1"/>
      </rPr>
      <t xml:space="preserve">PEFA female, 4 chicks, very wet, changed b + m.c, RG: 1.4 cm, SUPPLEMENT-visit 20D: 8Q ( 1604 g). </t>
    </r>
    <r>
      <rPr>
        <b/>
        <sz val="10"/>
        <color rgb="FF000000"/>
        <rFont val="Times New Roman"/>
        <family val="1"/>
      </rPr>
      <t xml:space="preserve">August 8: </t>
    </r>
    <r>
      <rPr>
        <sz val="10"/>
        <color rgb="FF000000"/>
        <rFont val="Times New Roman"/>
        <family val="1"/>
      </rPr>
      <t xml:space="preserve">PEFA pair, 2 chicks, changed b + m.c, RG: 3,1 cm-SUPPLEMENT- FORGOT TO GIVE QUAILS...WENT BACK ON 08-09. </t>
    </r>
    <r>
      <rPr>
        <b/>
        <sz val="10"/>
        <color rgb="FF000000"/>
        <rFont val="Times New Roman"/>
        <family val="1"/>
      </rPr>
      <t>Aug 14:</t>
    </r>
    <r>
      <rPr>
        <sz val="10"/>
        <color rgb="FF000000"/>
        <rFont val="Times New Roman"/>
        <family val="1"/>
      </rPr>
      <t xml:space="preserve"> PEFA pair territorial, 2 chicks (flyers), camera + weather (+ iButton) removed, RG=0, SUPPLEMENT-30D.</t>
    </r>
  </si>
  <si>
    <t>y (2m04s)</t>
  </si>
  <si>
    <t>29/f</t>
  </si>
  <si>
    <r>
      <t xml:space="preserve">June 27: </t>
    </r>
    <r>
      <rPr>
        <sz val="10"/>
        <color rgb="FF000000"/>
        <rFont val="Times New Roman"/>
        <family val="1"/>
      </rPr>
      <t>CORA site next to 22, just been renamed 101, unnocupied in 2016</t>
    </r>
  </si>
  <si>
    <t>62.82225 / 091.90654</t>
  </si>
  <si>
    <r>
      <t xml:space="preserve">June 22 (copter urvey): </t>
    </r>
    <r>
      <rPr>
        <sz val="10"/>
        <color rgb="FF000000"/>
        <rFont val="Times New Roman"/>
        <family val="1"/>
      </rPr>
      <t xml:space="preserve"> Empty RLHA nest with white feathers in</t>
    </r>
  </si>
  <si>
    <t>May 24: PEFA pair, tried trapping</t>
  </si>
  <si>
    <r>
      <t xml:space="preserve">May 19: </t>
    </r>
    <r>
      <rPr>
        <sz val="10"/>
        <color rgb="FF000000"/>
        <rFont val="Times New Roman"/>
        <family val="1"/>
      </rPr>
      <t>CORA pair, 6 eggs</t>
    </r>
    <r>
      <rPr>
        <b/>
        <sz val="10"/>
        <color rgb="FF000000"/>
        <rFont val="Times New Roman"/>
        <family val="1"/>
      </rPr>
      <t>. June 3:</t>
    </r>
    <r>
      <rPr>
        <sz val="10"/>
        <color rgb="FF000000"/>
        <rFont val="Times New Roman"/>
        <family val="1"/>
      </rPr>
      <t xml:space="preserve"> CORA pair, 6 fresh chicks in nest. </t>
    </r>
    <r>
      <rPr>
        <b/>
        <sz val="10"/>
        <color rgb="FF000000"/>
        <rFont val="Times New Roman"/>
        <family val="1"/>
      </rPr>
      <t xml:space="preserve">June 11: </t>
    </r>
    <r>
      <rPr>
        <sz val="10"/>
        <color rgb="FF000000"/>
        <rFont val="Times New Roman"/>
        <family val="1"/>
      </rPr>
      <t xml:space="preserve">CORA pair. </t>
    </r>
    <r>
      <rPr>
        <b/>
        <sz val="10"/>
        <color rgb="FF000000"/>
        <rFont val="Times New Roman"/>
        <family val="1"/>
      </rPr>
      <t xml:space="preserve">June 27: </t>
    </r>
    <r>
      <rPr>
        <sz val="10"/>
        <color rgb="FF000000"/>
        <rFont val="Times New Roman"/>
        <family val="1"/>
      </rPr>
      <t>Site number as changed from 51 to 105 (M.T)</t>
    </r>
  </si>
  <si>
    <r>
      <t xml:space="preserve">May 25: </t>
    </r>
    <r>
      <rPr>
        <sz val="10"/>
        <color rgb="FF000000"/>
        <rFont val="Times New Roman"/>
        <family val="1"/>
      </rPr>
      <t xml:space="preserve"> RLHA ind. Sticking around ,territorial.</t>
    </r>
    <r>
      <rPr>
        <b/>
        <sz val="10"/>
        <color rgb="FF000000"/>
        <rFont val="Times New Roman"/>
        <family val="1"/>
      </rPr>
      <t xml:space="preserve"> June 13: </t>
    </r>
    <r>
      <rPr>
        <sz val="10"/>
        <color rgb="FF000000"/>
        <rFont val="Times New Roman"/>
        <family val="1"/>
      </rPr>
      <t xml:space="preserve"> Empty stick nest…failed?</t>
    </r>
  </si>
  <si>
    <r>
      <t>62</t>
    </r>
    <r>
      <rPr>
        <b/>
        <sz val="10"/>
        <color rgb="FF000000"/>
        <rFont val="Calibri"/>
        <family val="2"/>
      </rPr>
      <t>°</t>
    </r>
    <r>
      <rPr>
        <b/>
        <sz val="10"/>
        <color rgb="FF000000"/>
        <rFont val="Times New Roman"/>
        <family val="1"/>
      </rPr>
      <t>51,751'; 092°01,897</t>
    </r>
  </si>
  <si>
    <r>
      <t xml:space="preserve">June 12: </t>
    </r>
    <r>
      <rPr>
        <sz val="10"/>
        <color rgb="FF000000"/>
        <rFont val="Times New Roman"/>
        <family val="1"/>
      </rPr>
      <t>Empty, No RLHA but PEFA layed in one of old sticknest neaar location, decided to keep them as site 78</t>
    </r>
  </si>
  <si>
    <r>
      <t xml:space="preserve">June 22 (copter urvey): </t>
    </r>
    <r>
      <rPr>
        <sz val="10"/>
        <color rgb="FF000000"/>
        <rFont val="Times New Roman"/>
        <family val="1"/>
      </rPr>
      <t>Empty</t>
    </r>
  </si>
  <si>
    <t>62.93453/092.05732</t>
  </si>
  <si>
    <r>
      <t xml:space="preserve">May 20: </t>
    </r>
    <r>
      <rPr>
        <sz val="10"/>
        <color rgb="FF000000"/>
        <rFont val="Times New Roman"/>
        <family val="1"/>
      </rPr>
      <t xml:space="preserve">RLHA ind hovering, not territorial. </t>
    </r>
    <r>
      <rPr>
        <b/>
        <sz val="10"/>
        <color rgb="FF000000"/>
        <rFont val="Times New Roman"/>
        <family val="1"/>
      </rPr>
      <t xml:space="preserve"> June 9: </t>
    </r>
    <r>
      <rPr>
        <sz val="10"/>
        <color rgb="FF000000"/>
        <rFont val="Times New Roman"/>
        <family val="1"/>
      </rPr>
      <t xml:space="preserve">PEFA pair, 3 eggs, camera + RG/I button deployed (1:00pm). </t>
    </r>
    <r>
      <rPr>
        <b/>
        <sz val="10"/>
        <color rgb="FF000000"/>
        <rFont val="Times New Roman"/>
        <family val="1"/>
      </rPr>
      <t xml:space="preserve">June 19: </t>
    </r>
    <r>
      <rPr>
        <sz val="10"/>
        <color rgb="FF000000"/>
        <rFont val="Times New Roman"/>
        <family val="1"/>
      </rPr>
      <t xml:space="preserve">PEFA female incubating. Male came after 5 min. 4 eggs, changed batt + mem. Card. RG was down. Cam tilted don a bit </t>
    </r>
    <r>
      <rPr>
        <b/>
        <sz val="10"/>
        <color rgb="FF000000"/>
        <rFont val="Times New Roman"/>
        <family val="1"/>
      </rPr>
      <t xml:space="preserve">July 1: </t>
    </r>
    <r>
      <rPr>
        <sz val="10"/>
        <color rgb="FF000000"/>
        <rFont val="Times New Roman"/>
        <family val="1"/>
      </rPr>
      <t xml:space="preserve">PEFA pair + 2 eggs, Batterie + Memory card changed, Rg : Trace. July 11: PEFA pair + 2 chicks, Battery + mem.card changed, RG: empty, Red: Tarse= 19,64 - Weight =42, Crop empty. Blue: Tarse=18,26, Weight=39, Crop=1/4.  </t>
    </r>
    <r>
      <rPr>
        <b/>
        <sz val="10"/>
        <color rgb="FF000000"/>
        <rFont val="Times New Roman"/>
        <family val="1"/>
      </rPr>
      <t>July 15:</t>
    </r>
    <r>
      <rPr>
        <sz val="10"/>
        <color rgb="FF000000"/>
        <rFont val="Times New Roman"/>
        <family val="1"/>
      </rPr>
      <t xml:space="preserve"> PEFA pair, 2  chicks, gave  3 quails, changed b+ m.c. Red: W:117, T: 28.06, C: empty. B: W: 107, T: 27.29, Crop: 1/4, RG: 0.</t>
    </r>
    <r>
      <rPr>
        <b/>
        <sz val="10"/>
        <color rgb="FF000000"/>
        <rFont val="Times New Roman"/>
        <family val="1"/>
      </rPr>
      <t xml:space="preserve">July 20: </t>
    </r>
    <r>
      <rPr>
        <sz val="10"/>
        <color rgb="FF000000"/>
        <rFont val="Times New Roman"/>
        <family val="1"/>
      </rPr>
      <t xml:space="preserve">PEFA pair, both unbanded, 2 chicks, changed B+ m.c, RG: 0,2 cm. SUPPLEMENTED-visit-10D; gave 2 quails (460 g). </t>
    </r>
    <r>
      <rPr>
        <b/>
        <sz val="10"/>
        <color rgb="FF000000"/>
        <rFont val="Times New Roman"/>
        <family val="1"/>
      </rPr>
      <t xml:space="preserve">July 25: </t>
    </r>
    <r>
      <rPr>
        <sz val="10"/>
        <color rgb="FF000000"/>
        <rFont val="Times New Roman"/>
        <family val="1"/>
      </rPr>
      <t xml:space="preserve">PEFA female, 2 chicks, changed b + m.c, RG: 0,2 cm,SUPPLEMENTATION-visit-15D, 4 quails given ( 698 g), Rectrices (mm): R: 4.51, B: 3.31. Blood taken on both chicks under 3 min. </t>
    </r>
    <r>
      <rPr>
        <b/>
        <sz val="10"/>
        <color rgb="FF000000"/>
        <rFont val="Times New Roman"/>
        <family val="1"/>
      </rPr>
      <t xml:space="preserve">July 30: </t>
    </r>
    <r>
      <rPr>
        <sz val="10"/>
        <color rgb="FF000000"/>
        <rFont val="Times New Roman"/>
        <family val="1"/>
      </rPr>
      <t xml:space="preserve">PEFA pair, 2 chicks, changed b + m.c, RG: 0, SUPPLEMENT-visit-20D: 4Q (820 g). </t>
    </r>
    <r>
      <rPr>
        <b/>
        <sz val="10"/>
        <color rgb="FF000000"/>
        <rFont val="Times New Roman"/>
        <family val="1"/>
      </rPr>
      <t xml:space="preserve">August 4: </t>
    </r>
    <r>
      <rPr>
        <sz val="10"/>
        <color rgb="FF000000"/>
        <rFont val="Times New Roman"/>
        <family val="1"/>
      </rPr>
      <t xml:space="preserve">PEFA female, 2 chicks, changed b + m.c, RG: 2.5 cm, SUPPLEMENT-25D: 5Q (1010g). </t>
    </r>
    <r>
      <rPr>
        <b/>
        <sz val="10"/>
        <color rgb="FF000000"/>
        <rFont val="Times New Roman"/>
        <family val="1"/>
      </rPr>
      <t xml:space="preserve">August 9: </t>
    </r>
    <r>
      <rPr>
        <sz val="10"/>
        <color rgb="FF000000"/>
        <rFont val="Times New Roman"/>
        <family val="1"/>
      </rPr>
      <t xml:space="preserve"> NO PEFA adults, 2 chicks, retrieved cam RG: traces, SUPPLEMENT-30D (last visit)</t>
    </r>
  </si>
  <si>
    <t>y (55 s)</t>
  </si>
  <si>
    <t>y (2 min 58 s)</t>
  </si>
  <si>
    <r>
      <t xml:space="preserve">May 24: </t>
    </r>
    <r>
      <rPr>
        <sz val="10"/>
        <color rgb="FF000000"/>
        <rFont val="Times New Roman"/>
        <family val="1"/>
      </rPr>
      <t>Old stick nest, RLHA ind came sit on nest for couple of second then left, look like it was travelling.</t>
    </r>
    <r>
      <rPr>
        <b/>
        <sz val="10"/>
        <color rgb="FF000000"/>
        <rFont val="Times New Roman"/>
        <family val="1"/>
      </rPr>
      <t xml:space="preserve"> June 23 (copter survey):</t>
    </r>
    <r>
      <rPr>
        <sz val="10"/>
        <color rgb="FF000000"/>
        <rFont val="Times New Roman"/>
        <family val="1"/>
      </rPr>
      <t xml:space="preserve"> RLHA female on nest, 4 eggs</t>
    </r>
  </si>
  <si>
    <r>
      <t xml:space="preserve">May 27: </t>
    </r>
    <r>
      <rPr>
        <sz val="10"/>
        <color rgb="FF000000"/>
        <rFont val="Times New Roman"/>
        <family val="1"/>
      </rPr>
      <t xml:space="preserve">Empty. </t>
    </r>
    <r>
      <rPr>
        <b/>
        <sz val="10"/>
        <color rgb="FF000000"/>
        <rFont val="Times New Roman"/>
        <family val="1"/>
      </rPr>
      <t xml:space="preserve">June 11: </t>
    </r>
    <r>
      <rPr>
        <sz val="10"/>
        <color rgb="FF000000"/>
        <rFont val="Times New Roman"/>
        <family val="1"/>
      </rPr>
      <t xml:space="preserve"> Empty</t>
    </r>
  </si>
  <si>
    <t>62.89690/092.14893</t>
  </si>
  <si>
    <t>May 20: Location 200m from a cliff, no bird seen.  June 20 (copter survey): 3 different empty RLHA nest, no birds around</t>
  </si>
  <si>
    <r>
      <t xml:space="preserve">May 21: </t>
    </r>
    <r>
      <rPr>
        <sz val="10"/>
        <color rgb="FF000000"/>
        <rFont val="Times New Roman"/>
        <family val="1"/>
      </rPr>
      <t>No cliff on WP.</t>
    </r>
    <r>
      <rPr>
        <b/>
        <sz val="10"/>
        <color rgb="FF000000"/>
        <rFont val="Times New Roman"/>
        <family val="1"/>
      </rPr>
      <t xml:space="preserve"> June 22 (copter survey): </t>
    </r>
    <r>
      <rPr>
        <sz val="10"/>
        <color rgb="FF000000"/>
        <rFont val="Times New Roman"/>
        <family val="1"/>
      </rPr>
      <t>Empty</t>
    </r>
  </si>
  <si>
    <t>63.05057/092.17638</t>
  </si>
  <si>
    <r>
      <t xml:space="preserve"> June 20 (copter survey): </t>
    </r>
    <r>
      <rPr>
        <sz val="10"/>
        <color rgb="FF000000"/>
        <rFont val="Times New Roman"/>
        <family val="1"/>
      </rPr>
      <t xml:space="preserve">RLHA, 4 eggs. </t>
    </r>
    <r>
      <rPr>
        <b/>
        <sz val="10"/>
        <color rgb="FF000000"/>
        <rFont val="Times New Roman"/>
        <family val="1"/>
      </rPr>
      <t xml:space="preserve">Aug 16: </t>
    </r>
    <r>
      <rPr>
        <sz val="10"/>
        <color rgb="FF000000"/>
        <rFont val="Times New Roman"/>
        <family val="1"/>
      </rPr>
      <t>copter survey, no adults, 3 chicks, too old to band.</t>
    </r>
  </si>
  <si>
    <r>
      <t xml:space="preserve">May 28: </t>
    </r>
    <r>
      <rPr>
        <sz val="10"/>
        <color rgb="FF000000"/>
        <rFont val="Times New Roman"/>
        <family val="1"/>
      </rPr>
      <t>Unnocupied old RLHA sticknest.</t>
    </r>
    <r>
      <rPr>
        <b/>
        <sz val="10"/>
        <color rgb="FF000000"/>
        <rFont val="Times New Roman"/>
        <family val="1"/>
      </rPr>
      <t xml:space="preserve"> June 22 (Copter survey): Empty</t>
    </r>
  </si>
  <si>
    <t>62,84214/092,26161</t>
  </si>
  <si>
    <r>
      <t xml:space="preserve">May 28: </t>
    </r>
    <r>
      <rPr>
        <sz val="10"/>
        <color rgb="FF000000"/>
        <rFont val="Times New Roman"/>
        <family val="1"/>
      </rPr>
      <t xml:space="preserve">Unnocupied, saw a PEFA perched 200m away but flushed and did'nt come back to us. </t>
    </r>
    <r>
      <rPr>
        <b/>
        <sz val="10"/>
        <color rgb="FF000000"/>
        <rFont val="Times New Roman"/>
        <family val="1"/>
      </rPr>
      <t xml:space="preserve"> June 13: </t>
    </r>
    <r>
      <rPr>
        <sz val="10"/>
        <color rgb="FF000000"/>
        <rFont val="Times New Roman"/>
        <family val="1"/>
      </rPr>
      <t xml:space="preserve">Empty.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 EMPTY</t>
    </r>
  </si>
  <si>
    <t>62.84616/-92.27536</t>
  </si>
  <si>
    <t>June 11: Empty</t>
  </si>
  <si>
    <t>May 22: No bird seen, walked on top.</t>
  </si>
  <si>
    <t>comments</t>
  </si>
  <si>
    <t>new capture</t>
  </si>
  <si>
    <t>1156-1891</t>
  </si>
  <si>
    <t>05C</t>
  </si>
  <si>
    <t>2016-06-06-1156-1891 (very small sample)</t>
  </si>
  <si>
    <t>Male only have one eye. Wound looks pin and fresk but not boody. Pictures took by Alex Paiement</t>
  </si>
  <si>
    <t>1947-26215</t>
  </si>
  <si>
    <t>33K</t>
  </si>
  <si>
    <t>Enveloppe with their fresh kill (NOPI)</t>
  </si>
  <si>
    <t>NA(both R6 broken)</t>
  </si>
  <si>
    <t>2016-06-06-1947-26215 (over 3 min)</t>
  </si>
  <si>
    <r>
      <t xml:space="preserve">May 19: PEFA pair perched on cliff. June 6: </t>
    </r>
    <r>
      <rPr>
        <sz val="10"/>
        <color rgb="FF000000"/>
        <rFont val="Times New Roman"/>
        <family val="1"/>
      </rPr>
      <t>PEFA pair captured while eating a Northern Pintail near site 125 (300 mcoords: 15V 0547446/6962789) Site look empty so birds might be from somewhere else. Both new capture. Male only have one eye!! Wound look fresh but not bloody</t>
    </r>
    <r>
      <rPr>
        <b/>
        <sz val="10"/>
        <color rgb="FF000000"/>
        <rFont val="Times New Roman"/>
        <family val="1"/>
      </rPr>
      <t xml:space="preserve"> July 4 </t>
    </r>
    <r>
      <rPr>
        <sz val="10"/>
        <color rgb="FF000000"/>
        <rFont val="Times New Roman"/>
        <family val="1"/>
      </rPr>
      <t>: Site found on Buff Island, PEFA pair + 6 eggs, 1 white egg,</t>
    </r>
  </si>
  <si>
    <r>
      <t xml:space="preserve">May 25: No bird seen, at least one old stick nest. June 8: </t>
    </r>
    <r>
      <rPr>
        <sz val="10"/>
        <color rgb="FF000000"/>
        <rFont val="Times New Roman"/>
        <family val="1"/>
      </rPr>
      <t xml:space="preserve">RLHA pair, saw stick nest from far away. </t>
    </r>
    <r>
      <rPr>
        <b/>
        <sz val="10"/>
        <color rgb="FF000000"/>
        <rFont val="Times New Roman"/>
        <family val="1"/>
      </rPr>
      <t>June 23 (copter survey)</t>
    </r>
    <r>
      <rPr>
        <sz val="10"/>
        <color rgb="FF000000"/>
        <rFont val="Times New Roman"/>
        <family val="1"/>
      </rPr>
      <t xml:space="preserve">: Empty, no bird seen. July 7 : RLHA territorial pair. </t>
    </r>
    <r>
      <rPr>
        <b/>
        <sz val="10"/>
        <color rgb="FF000000"/>
        <rFont val="Times New Roman"/>
        <family val="1"/>
      </rPr>
      <t xml:space="preserve">July 23: </t>
    </r>
    <r>
      <rPr>
        <sz val="10"/>
        <color rgb="FF000000"/>
        <rFont val="Times New Roman"/>
        <family val="1"/>
      </rPr>
      <t xml:space="preserve">EMPTY,                               </t>
    </r>
  </si>
  <si>
    <r>
      <t xml:space="preserve">May 20: </t>
    </r>
    <r>
      <rPr>
        <sz val="10"/>
        <color rgb="FF000000"/>
        <rFont val="Times New Roman"/>
        <family val="1"/>
      </rPr>
      <t xml:space="preserve"> Francine's site. Empty. </t>
    </r>
    <r>
      <rPr>
        <b/>
        <sz val="10"/>
        <color rgb="FF000000"/>
        <rFont val="Times New Roman"/>
        <family val="1"/>
      </rPr>
      <t xml:space="preserve"> June 20 (copter survey): </t>
    </r>
    <r>
      <rPr>
        <sz val="10"/>
        <color rgb="FF000000"/>
        <rFont val="Times New Roman"/>
        <family val="1"/>
      </rPr>
      <t>EMpty</t>
    </r>
  </si>
  <si>
    <t>May: Empty</t>
  </si>
  <si>
    <t>63.04116 -92.07213</t>
  </si>
  <si>
    <r>
      <t xml:space="preserve"> June 20 (copter survey):</t>
    </r>
    <r>
      <rPr>
        <sz val="10"/>
        <color rgb="FF000000"/>
        <rFont val="Times New Roman"/>
        <family val="1"/>
      </rPr>
      <t xml:space="preserve">Was previously called Site a in AEM sites. PEFA pair, female incubating, cant see egss. </t>
    </r>
    <r>
      <rPr>
        <b/>
        <sz val="10"/>
        <color rgb="FF000000"/>
        <rFont val="Times New Roman"/>
        <family val="1"/>
      </rPr>
      <t xml:space="preserve">Aug 16: </t>
    </r>
    <r>
      <rPr>
        <sz val="10"/>
        <color rgb="FF000000"/>
        <rFont val="Times New Roman"/>
        <family val="1"/>
      </rPr>
      <t>copter survey, no adults, no chicks, traces of recent use</t>
    </r>
  </si>
  <si>
    <t>62,83242/091,90268</t>
  </si>
  <si>
    <t>First capture</t>
  </si>
  <si>
    <t>27H</t>
  </si>
  <si>
    <t>-</t>
  </si>
  <si>
    <t>2016-06-02-115624014</t>
  </si>
  <si>
    <t>2016-06-02-115624014 (10 MIN)</t>
  </si>
  <si>
    <r>
      <t xml:space="preserve">May 22: </t>
    </r>
    <r>
      <rPr>
        <sz val="10"/>
        <color rgb="FF000000"/>
        <rFont val="Times New Roman"/>
        <family val="1"/>
      </rPr>
      <t>No bird seen</t>
    </r>
    <r>
      <rPr>
        <b/>
        <sz val="10"/>
        <color rgb="FF000000"/>
        <rFont val="Times New Roman"/>
        <family val="1"/>
      </rPr>
      <t xml:space="preserve">. May 27: </t>
    </r>
    <r>
      <rPr>
        <sz val="10"/>
        <color rgb="FF000000"/>
        <rFont val="Times New Roman"/>
        <family val="1"/>
      </rPr>
      <t>Kevin saw PEFA territorial pair while doing transect. Also, RLHA pair little away where territorial</t>
    </r>
    <r>
      <rPr>
        <b/>
        <sz val="10"/>
        <color rgb="FF000000"/>
        <rFont val="Times New Roman"/>
        <family val="1"/>
      </rPr>
      <t xml:space="preserve">. June 2: </t>
    </r>
    <r>
      <rPr>
        <sz val="10"/>
        <color rgb="FF000000"/>
        <rFont val="Times New Roman"/>
        <family val="1"/>
      </rPr>
      <t xml:space="preserve">Male caught with pigeon at 12:15 PM. Female seen at site, seems to be territorial. Ame cliff as 2015. </t>
    </r>
    <r>
      <rPr>
        <b/>
        <sz val="10"/>
        <color rgb="FF000000"/>
        <rFont val="Times New Roman"/>
        <family val="1"/>
      </rPr>
      <t>June 12</t>
    </r>
    <r>
      <rPr>
        <sz val="10"/>
        <color rgb="FF000000"/>
        <rFont val="Times New Roman"/>
        <family val="1"/>
      </rPr>
      <t xml:space="preserve"> : PEFA Pair + 2 eggs,Camera deploy, Rg deploy, Ibutton deploy 16h30. </t>
    </r>
    <r>
      <rPr>
        <b/>
        <sz val="10"/>
        <color rgb="FF000000"/>
        <rFont val="Times New Roman"/>
        <family val="1"/>
      </rPr>
      <t xml:space="preserve"> June 21: </t>
    </r>
    <r>
      <rPr>
        <sz val="10"/>
        <color rgb="FF000000"/>
        <rFont val="Times New Roman"/>
        <family val="1"/>
      </rPr>
      <t xml:space="preserve"> PEFA pair, 4 eggs, changed batt + M.C. Changed camera place. Male confirmed 27H. July 2 : PEFA pair + 4 eggs + 2 intruder PEFA, Batterie + memory card changed, RG : trace. July 12: PEFA pair + 4 eggs, Batterie + memcard changed, rg: empty. </t>
    </r>
    <r>
      <rPr>
        <b/>
        <sz val="10"/>
        <color rgb="FF000000"/>
        <rFont val="Times New Roman"/>
        <family val="1"/>
      </rPr>
      <t xml:space="preserve">July 17: </t>
    </r>
    <r>
      <rPr>
        <sz val="10"/>
        <color rgb="FF000000"/>
        <rFont val="Times New Roman"/>
        <family val="1"/>
      </rPr>
      <t xml:space="preserve">PEFA pair, 3 eggs + 1 freshly hatched chick, only changed batteries + mem. card. </t>
    </r>
    <r>
      <rPr>
        <b/>
        <sz val="10"/>
        <color rgb="FF000000"/>
        <rFont val="Times New Roman"/>
        <family val="1"/>
      </rPr>
      <t xml:space="preserve">July 22: </t>
    </r>
    <r>
      <rPr>
        <sz val="10"/>
        <color rgb="FF000000"/>
        <rFont val="Times New Roman"/>
        <family val="1"/>
      </rPr>
      <t xml:space="preserve">PEFA female, 2 chicks + 2 dead chicks (freshly dead), changed B +m.c, RG:0.1 cm. CONTROL-visit-5d. </t>
    </r>
    <r>
      <rPr>
        <b/>
        <sz val="10"/>
        <color rgb="FF000000"/>
        <rFont val="Times New Roman"/>
        <family val="1"/>
      </rPr>
      <t xml:space="preserve">July 27:  </t>
    </r>
    <r>
      <rPr>
        <sz val="10"/>
        <color rgb="FF000000"/>
        <rFont val="Times New Roman"/>
        <family val="1"/>
      </rPr>
      <t xml:space="preserve">PEFA female, 2 chicks, changed b + m.c, RG: traces. CONTROL-visit-10D.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 xml:space="preserve">PEFA ind., 2 chicks, changed b +m.c, RG: na...did not take blood (too small). Control-15D.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>NO PEFA, nest empty, brought back camera + I button (12:15). Both chicks seemed to have died in the night between aug 3 and 4, probably from heavy rain.</t>
    </r>
  </si>
  <si>
    <t>62.89614/091.72274</t>
  </si>
  <si>
    <r>
      <t xml:space="preserve">May 20: </t>
    </r>
    <r>
      <rPr>
        <sz val="10"/>
        <color rgb="FF000000"/>
        <rFont val="Times New Roman"/>
        <family val="1"/>
      </rPr>
      <t xml:space="preserve">No bird seen, no cliff on WP, maybe wrong location? </t>
    </r>
    <r>
      <rPr>
        <b/>
        <sz val="10"/>
        <color rgb="FF000000"/>
        <rFont val="Times New Roman"/>
        <family val="1"/>
      </rPr>
      <t>June 20: (copter survey):</t>
    </r>
    <r>
      <rPr>
        <sz val="10"/>
        <color rgb="FF000000"/>
        <rFont val="Times New Roman"/>
        <family val="1"/>
      </rPr>
      <t xml:space="preserve"> RLHA, 5 eggs.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 copter survey, 2 RLHA territorial, 4 chicks (too old to band, inaccessible nest)</t>
    </r>
  </si>
  <si>
    <t>62.84274/091.25366</t>
  </si>
  <si>
    <t>62.48322/092.09277</t>
  </si>
  <si>
    <t>63.09531/092.31744</t>
  </si>
  <si>
    <r>
      <t>June 22 (copter survey):</t>
    </r>
    <r>
      <rPr>
        <sz val="10"/>
        <color rgb="FF000000"/>
        <rFont val="Times New Roman"/>
        <family val="1"/>
      </rPr>
      <t xml:space="preserve">PEFA pair, 4 eggs. </t>
    </r>
    <r>
      <rPr>
        <b/>
        <sz val="10"/>
        <color rgb="FF000000"/>
        <rFont val="Times New Roman"/>
        <family val="1"/>
      </rPr>
      <t xml:space="preserve">Aug 16: </t>
    </r>
    <r>
      <rPr>
        <sz val="10"/>
        <color rgb="FF000000"/>
        <rFont val="Times New Roman"/>
        <family val="1"/>
      </rPr>
      <t>copter survey, no adults and no chicks, SITE FAILED</t>
    </r>
  </si>
  <si>
    <t>63.05413/092.18549</t>
  </si>
  <si>
    <r>
      <t xml:space="preserve">June 20: (copter survey): </t>
    </r>
    <r>
      <rPr>
        <sz val="10"/>
        <color rgb="FF000000"/>
        <rFont val="Times New Roman"/>
        <family val="1"/>
      </rPr>
      <t xml:space="preserve">PEFA pair, 4 eggs. </t>
    </r>
    <r>
      <rPr>
        <b/>
        <sz val="10"/>
        <color rgb="FF000000"/>
        <rFont val="Times New Roman"/>
        <family val="1"/>
      </rPr>
      <t xml:space="preserve">Aug 16: </t>
    </r>
    <r>
      <rPr>
        <sz val="10"/>
        <color rgb="FF000000"/>
        <rFont val="Times New Roman"/>
        <family val="1"/>
      </rPr>
      <t>copter survey, PEFA pair territorial, no chicks, signs of recent use.</t>
    </r>
  </si>
  <si>
    <t>63.03012/092.05630</t>
  </si>
  <si>
    <r>
      <t xml:space="preserve">June 20 ( copter survey) : </t>
    </r>
    <r>
      <rPr>
        <sz val="10"/>
        <color rgb="FF000000"/>
        <rFont val="Times New Roman"/>
        <family val="1"/>
      </rPr>
      <t xml:space="preserve"> RLHA pair, 4 eggs. </t>
    </r>
    <r>
      <rPr>
        <b/>
        <sz val="10"/>
        <color rgb="FF000000"/>
        <rFont val="Times New Roman"/>
        <family val="1"/>
      </rPr>
      <t xml:space="preserve">Aug 16: </t>
    </r>
    <r>
      <rPr>
        <sz val="10"/>
        <color rgb="FF000000"/>
        <rFont val="Times New Roman"/>
        <family val="1"/>
      </rPr>
      <t>copter survey, no adults, no chicks, likely failed</t>
    </r>
  </si>
  <si>
    <t>62.81346/092.19512</t>
  </si>
  <si>
    <t>25K</t>
  </si>
  <si>
    <r>
      <t xml:space="preserve">June 1: </t>
    </r>
    <r>
      <rPr>
        <sz val="10"/>
        <color rgb="FF000000"/>
        <rFont val="Times New Roman"/>
        <family val="1"/>
      </rPr>
      <t xml:space="preserve"> Female caught…usually marked as " Island near 48" in Phil's notebook, but named it 137 (new site) after nest was found.Parasite present on bird, no blood sample taken.</t>
    </r>
    <r>
      <rPr>
        <b/>
        <sz val="10"/>
        <color rgb="FF000000"/>
        <rFont val="Times New Roman"/>
        <family val="1"/>
      </rPr>
      <t xml:space="preserve"> June 12:  </t>
    </r>
    <r>
      <rPr>
        <sz val="10"/>
        <color rgb="FF000000"/>
        <rFont val="Times New Roman"/>
        <family val="1"/>
      </rPr>
      <t xml:space="preserve"> On top of island 300m south of 47. PEFA pair + 1 intruder, 1 egg</t>
    </r>
    <r>
      <rPr>
        <b/>
        <sz val="10"/>
        <color rgb="FF000000"/>
        <rFont val="Times New Roman"/>
        <family val="1"/>
      </rPr>
      <t xml:space="preserve"> . </t>
    </r>
    <r>
      <rPr>
        <sz val="10"/>
        <color rgb="FF000000"/>
        <rFont val="Times New Roman"/>
        <family val="1"/>
      </rPr>
      <t xml:space="preserve">Deployed cam + RG / I button (15:30). Female banded 25 K, both male unbanded. </t>
    </r>
    <r>
      <rPr>
        <b/>
        <sz val="10"/>
        <color rgb="FF000000"/>
        <rFont val="Times New Roman"/>
        <family val="1"/>
      </rPr>
      <t xml:space="preserve">June 22: </t>
    </r>
    <r>
      <rPr>
        <sz val="10"/>
        <color rgb="FF000000"/>
        <rFont val="Times New Roman"/>
        <family val="1"/>
      </rPr>
      <t>Failed, camera taken back,</t>
    </r>
    <r>
      <rPr>
        <b/>
        <sz val="11"/>
        <color rgb="FF000000"/>
        <rFont val="Times New Roman"/>
        <family val="1"/>
      </rPr>
      <t xml:space="preserve"> predation by gull (1 egg) on 15 June.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 xml:space="preserve">July 31: </t>
    </r>
    <r>
      <rPr>
        <sz val="11"/>
        <color rgb="FF000000"/>
        <rFont val="Times New Roman"/>
        <family val="1"/>
      </rPr>
      <t xml:space="preserve"> Found new nest (same pair) new location: 62.81413/092.21377. Named the site 152</t>
    </r>
  </si>
  <si>
    <t>62.96590/-92.04414</t>
  </si>
  <si>
    <r>
      <t xml:space="preserve">June 14: New site, found by Kev during transect. RLHA pair, 4 eggs. June 20: </t>
    </r>
    <r>
      <rPr>
        <sz val="10"/>
        <color rgb="FF000000"/>
        <rFont val="Times New Roman"/>
        <family val="1"/>
      </rPr>
      <t xml:space="preserve">Copter survey, RLHA ind. No eggs in nest, SITE FAILED. </t>
    </r>
    <r>
      <rPr>
        <b/>
        <sz val="10"/>
        <color rgb="FF000000"/>
        <rFont val="Times New Roman"/>
        <family val="1"/>
      </rPr>
      <t xml:space="preserve">Aug 16: </t>
    </r>
    <r>
      <rPr>
        <sz val="10"/>
        <color rgb="FF000000"/>
        <rFont val="Times New Roman"/>
        <family val="1"/>
      </rPr>
      <t>copter survey, no adults, no chicks, FAILED</t>
    </r>
  </si>
  <si>
    <t>62.89179/091.70596</t>
  </si>
  <si>
    <r>
      <t xml:space="preserve">June 21: </t>
    </r>
    <r>
      <rPr>
        <sz val="10"/>
        <color rgb="FF000000"/>
        <rFont val="Times New Roman"/>
        <family val="1"/>
      </rPr>
      <t xml:space="preserve"> (copter survey) :New site, took wp, near site 131, PEFA pair, 3 eggs.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 copter survey, no adults, no chicks, considered likely fail</t>
    </r>
  </si>
  <si>
    <t>62.89705/091.72914</t>
  </si>
  <si>
    <r>
      <t xml:space="preserve">June 21: </t>
    </r>
    <r>
      <rPr>
        <sz val="10"/>
        <color rgb="FF000000"/>
        <rFont val="Times New Roman"/>
        <family val="1"/>
      </rPr>
      <t xml:space="preserve"> (copter survey) :New site, took wp, near site 131, PEFA pair, 4 eggs.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 copter survey, weighed and banded 2 chicks, 2 PEFA territorial</t>
    </r>
  </si>
  <si>
    <t>1947-19292</t>
  </si>
  <si>
    <t>1156-18955</t>
  </si>
  <si>
    <t>62.88911/091.67776</t>
  </si>
  <si>
    <r>
      <t xml:space="preserve">June 21: </t>
    </r>
    <r>
      <rPr>
        <sz val="10"/>
        <color rgb="FF000000"/>
        <rFont val="Times New Roman"/>
        <family val="1"/>
      </rPr>
      <t xml:space="preserve"> (copter survey) :New site, took wp, PEFA pair, empty fresh scrape.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 copter survey, no adults, no chicks, likely failed.</t>
    </r>
  </si>
  <si>
    <t>62.80660/091.46761</t>
  </si>
  <si>
    <r>
      <t xml:space="preserve">June 21: </t>
    </r>
    <r>
      <rPr>
        <sz val="10"/>
        <color rgb="FF000000"/>
        <rFont val="Times New Roman"/>
        <family val="1"/>
      </rPr>
      <t xml:space="preserve"> (copter survey) :New site, took wp, PEFA pair, 2 eggs.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copter survey, 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no adults, no chicks, likely fail.</t>
    </r>
  </si>
  <si>
    <t>62.86898/091.25322</t>
  </si>
  <si>
    <r>
      <t xml:space="preserve">June 21: </t>
    </r>
    <r>
      <rPr>
        <sz val="10"/>
        <color rgb="FF000000"/>
        <rFont val="Times New Roman"/>
        <family val="1"/>
      </rPr>
      <t xml:space="preserve"> (copter survey) :New site, took wp, PEFA female on empty fresh scrape, no eggs. </t>
    </r>
    <r>
      <rPr>
        <b/>
        <sz val="10"/>
        <color rgb="FF000000"/>
        <rFont val="Times New Roman"/>
        <family val="1"/>
      </rPr>
      <t>Aug 15:</t>
    </r>
    <r>
      <rPr>
        <sz val="10"/>
        <color rgb="FF000000"/>
        <rFont val="Times New Roman"/>
        <family val="1"/>
      </rPr>
      <t xml:space="preserve"> copter survey, no adults, no chicks, likely fail</t>
    </r>
  </si>
  <si>
    <r>
      <t xml:space="preserve">June 1: </t>
    </r>
    <r>
      <rPr>
        <sz val="10"/>
        <color rgb="FF000000"/>
        <rFont val="Times New Roman"/>
        <family val="1"/>
      </rPr>
      <t xml:space="preserve">CORA pair really close to PEFA nest, find a new site name? </t>
    </r>
    <r>
      <rPr>
        <b/>
        <sz val="10"/>
        <color rgb="FF000000"/>
        <rFont val="Times New Roman"/>
        <family val="1"/>
      </rPr>
      <t xml:space="preserve">June 20: </t>
    </r>
    <r>
      <rPr>
        <sz val="10"/>
        <color rgb="FF000000"/>
        <rFont val="Times New Roman"/>
        <family val="1"/>
      </rPr>
      <t xml:space="preserve">Renamed site 74b to site 144.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 1 dead CORA in the nest, nothing else</t>
    </r>
  </si>
  <si>
    <t>62.83627/092.26421</t>
  </si>
  <si>
    <t>62.87033/092.55531</t>
  </si>
  <si>
    <r>
      <t xml:space="preserve">June 22 (Copter survey): </t>
    </r>
    <r>
      <rPr>
        <sz val="10"/>
        <color rgb="FF000000"/>
        <rFont val="Times New Roman"/>
        <family val="1"/>
      </rPr>
      <t xml:space="preserve">New site, took WP, far West, RLHA, 4 eggs, nest is on the ground. </t>
    </r>
    <r>
      <rPr>
        <b/>
        <sz val="10"/>
        <color rgb="FF000000"/>
        <rFont val="Times New Roman"/>
        <family val="1"/>
      </rPr>
      <t>Aug 16:</t>
    </r>
    <r>
      <rPr>
        <sz val="10"/>
        <color rgb="FF000000"/>
        <rFont val="Times New Roman"/>
        <family val="1"/>
      </rPr>
      <t xml:space="preserve"> copter survey, no adults seen but 4 chicks. Too old to band.</t>
    </r>
  </si>
  <si>
    <t>62.80685/-92..30811</t>
  </si>
  <si>
    <r>
      <t xml:space="preserve">July 8 : PEFA pair + eggs, 1 eggs cracked and pipping. July 23: </t>
    </r>
    <r>
      <rPr>
        <sz val="10"/>
        <color rgb="FF000000"/>
        <rFont val="Times New Roman"/>
        <family val="1"/>
      </rPr>
      <t xml:space="preserve">PEFA pair, 4 chiicks,deployed camera. Rectrices out : R:  2.2 mm, B: 1.8 mm, G and W: 0. </t>
    </r>
    <r>
      <rPr>
        <b/>
        <sz val="10"/>
        <color rgb="FF000000"/>
        <rFont val="Times New Roman"/>
        <family val="1"/>
      </rPr>
      <t xml:space="preserve">August 7: </t>
    </r>
    <r>
      <rPr>
        <sz val="10"/>
        <color rgb="FF000000"/>
        <rFont val="Times New Roman"/>
        <family val="1"/>
      </rPr>
      <t>PEFA female, 1 chick, retrieved cam</t>
    </r>
  </si>
  <si>
    <t>62.82505 /-92.30988</t>
  </si>
  <si>
    <r>
      <t xml:space="preserve">July 8 : New site on barrier island, on the channel near 72, </t>
    </r>
    <r>
      <rPr>
        <sz val="10"/>
        <color rgb="FF000000"/>
        <rFont val="Times New Roman"/>
        <family val="1"/>
      </rPr>
      <t xml:space="preserve">RLHA pair  + 4 eggs. </t>
    </r>
    <r>
      <rPr>
        <b/>
        <sz val="10"/>
        <color rgb="FF000000"/>
        <rFont val="Times New Roman"/>
        <family val="1"/>
      </rPr>
      <t xml:space="preserve">July 18: </t>
    </r>
    <r>
      <rPr>
        <sz val="10"/>
        <color rgb="FF000000"/>
        <rFont val="Times New Roman"/>
        <family val="1"/>
      </rPr>
      <t xml:space="preserve"> RLHA pair, 3 chicks ( 3-4 days old)+1 egg, deployed stand. </t>
    </r>
    <r>
      <rPr>
        <b/>
        <sz val="10"/>
        <color rgb="FF000000"/>
        <rFont val="Times New Roman"/>
        <family val="1"/>
      </rPr>
      <t xml:space="preserve">July 30: </t>
    </r>
    <r>
      <rPr>
        <sz val="10"/>
        <color rgb="FF000000"/>
        <rFont val="Times New Roman"/>
        <family val="1"/>
      </rPr>
      <t xml:space="preserve">RLHA pair, 3 chicks, max 20 days old. </t>
    </r>
    <r>
      <rPr>
        <b/>
        <sz val="10"/>
        <color rgb="FF000000"/>
        <rFont val="Times New Roman"/>
        <family val="1"/>
      </rPr>
      <t xml:space="preserve">Aug 12: </t>
    </r>
    <r>
      <rPr>
        <sz val="10"/>
        <color rgb="FF000000"/>
        <rFont val="Times New Roman"/>
        <family val="1"/>
      </rPr>
      <t>2 RLHA territorial, 2 chicks (1 dead), banded and weighed.</t>
    </r>
  </si>
  <si>
    <t>62.80023 / -92.20943</t>
  </si>
  <si>
    <r>
      <t xml:space="preserve">July 8 : </t>
    </r>
    <r>
      <rPr>
        <sz val="10"/>
        <color rgb="FF000000"/>
        <rFont val="Times New Roman"/>
        <family val="1"/>
      </rPr>
      <t xml:space="preserve">RLHA female  + 1 eggs,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 No birds around.</t>
    </r>
    <r>
      <rPr>
        <b/>
        <sz val="10"/>
        <color rgb="FF000000"/>
        <rFont val="Times New Roman"/>
        <family val="1"/>
      </rPr>
      <t xml:space="preserve"> July 18</t>
    </r>
    <r>
      <rPr>
        <sz val="10"/>
        <color rgb="FF000000"/>
        <rFont val="Times New Roman"/>
        <family val="1"/>
      </rPr>
      <t>: No RLHA, 1 cold egg, FAILED</t>
    </r>
  </si>
  <si>
    <t>62.79097 / -92.11083</t>
  </si>
  <si>
    <t>Tarsus( mm)</t>
  </si>
  <si>
    <t>1947-19268</t>
  </si>
  <si>
    <t>1857-13244</t>
  </si>
  <si>
    <t>1947-19269</t>
  </si>
  <si>
    <t>Buff island</t>
  </si>
  <si>
    <t>62.78581 / -92.07715</t>
  </si>
  <si>
    <r>
      <t xml:space="preserve">July 4: PEFA pair + 6 eggs, 1 whitish egg, both unbanded . July 16: </t>
    </r>
    <r>
      <rPr>
        <sz val="10"/>
        <color rgb="FF000000"/>
        <rFont val="Times New Roman"/>
        <family val="1"/>
      </rPr>
      <t xml:space="preserve">PEFA female, unbanded, 5 eggs (1 white), none pipping. </t>
    </r>
    <r>
      <rPr>
        <b/>
        <sz val="10"/>
        <color rgb="FF000000"/>
        <rFont val="Times New Roman"/>
        <family val="1"/>
      </rPr>
      <t xml:space="preserve">August 10: </t>
    </r>
    <r>
      <rPr>
        <sz val="10"/>
        <color rgb="FF000000"/>
        <rFont val="Times New Roman"/>
        <family val="1"/>
      </rPr>
      <t>NO PEFA, nest failed!</t>
    </r>
  </si>
  <si>
    <t>62.81413/092.21377</t>
  </si>
  <si>
    <t>-/-</t>
  </si>
  <si>
    <t>62.84936/ 092.02997</t>
  </si>
  <si>
    <r>
      <t xml:space="preserve">Aug 11: </t>
    </r>
    <r>
      <rPr>
        <sz val="10"/>
        <color rgb="FF000000"/>
        <rFont val="Times New Roman"/>
        <family val="1"/>
      </rPr>
      <t xml:space="preserve">NEW RLHA nest, pair territorial, cant see nest </t>
    </r>
    <r>
      <rPr>
        <b/>
        <sz val="10"/>
        <color rgb="FF000000"/>
        <rFont val="Times New Roman"/>
        <family val="1"/>
      </rPr>
      <t>Aug 13:</t>
    </r>
    <r>
      <rPr>
        <sz val="10"/>
        <color rgb="FF000000"/>
        <rFont val="Times New Roman"/>
        <family val="1"/>
      </rPr>
      <t xml:space="preserve"> RLHA pair territorial, 2 chicks, banded and weighed but one was too small for band</t>
    </r>
  </si>
  <si>
    <t>21 may</t>
  </si>
  <si>
    <t>1687-05192</t>
  </si>
  <si>
    <t>pigeon</t>
  </si>
  <si>
    <r>
      <t xml:space="preserve">July 31:  Found new nest (same pair than 137) new location: 62.81413/092.21377. Named the site 152. 2 chicks + 1 egg. August 10: </t>
    </r>
    <r>
      <rPr>
        <sz val="10"/>
        <color rgb="FF000000"/>
        <rFont val="Times New Roman"/>
        <family val="1"/>
      </rPr>
      <t xml:space="preserve">No PEFA, nest failed! </t>
    </r>
    <r>
      <rPr>
        <b/>
        <sz val="10"/>
        <color rgb="FF000000"/>
        <rFont val="Times New Roman"/>
        <family val="1"/>
      </rPr>
      <t/>
    </r>
  </si>
  <si>
    <t>JK</t>
  </si>
  <si>
    <t>1947-26252</t>
  </si>
  <si>
    <t>BC</t>
  </si>
  <si>
    <t>CTT # deployed</t>
  </si>
  <si>
    <t>CTT # retreived</t>
  </si>
  <si>
    <t>CTT? (Y/N)</t>
  </si>
  <si>
    <t>HAAS09</t>
  </si>
  <si>
    <t>AHY</t>
  </si>
  <si>
    <t>1947-26309</t>
  </si>
  <si>
    <t>RLHA/TY</t>
  </si>
  <si>
    <t>CTT present? (Y/N)</t>
  </si>
  <si>
    <t>HAAS02</t>
  </si>
  <si>
    <t xml:space="preserve">CTT phone # </t>
  </si>
  <si>
    <t>Chick#5</t>
  </si>
  <si>
    <t>1857-14530</t>
  </si>
  <si>
    <t>1857-14531</t>
  </si>
  <si>
    <t>1857-14529</t>
  </si>
  <si>
    <t>1857-14532</t>
  </si>
  <si>
    <t>1947-26251</t>
  </si>
  <si>
    <t>JK-AP</t>
  </si>
  <si>
    <t>CTT phone #</t>
  </si>
  <si>
    <t>CTT# ID</t>
  </si>
  <si>
    <t>SAKU18</t>
  </si>
  <si>
    <t>SAKU16</t>
  </si>
  <si>
    <r>
      <t>May 24:</t>
    </r>
    <r>
      <rPr>
        <sz val="10"/>
        <color rgb="FF000000"/>
        <rFont val="Times New Roman"/>
        <family val="1"/>
      </rPr>
      <t xml:space="preserve"> RLHA pair, took new WP of nest</t>
    </r>
    <r>
      <rPr>
        <b/>
        <sz val="10"/>
        <color rgb="FF000000"/>
        <rFont val="Times New Roman"/>
        <family val="1"/>
      </rPr>
      <t xml:space="preserve">. June 1: </t>
    </r>
    <r>
      <rPr>
        <sz val="10"/>
        <color rgb="FF000000"/>
        <rFont val="Times New Roman"/>
        <family val="1"/>
      </rPr>
      <t xml:space="preserve">RLHA ind. Territorial.. </t>
    </r>
    <r>
      <rPr>
        <b/>
        <sz val="10"/>
        <color rgb="FF000000"/>
        <rFont val="Times New Roman"/>
        <family val="1"/>
      </rPr>
      <t xml:space="preserve"> June 15: </t>
    </r>
    <r>
      <rPr>
        <sz val="10"/>
        <color rgb="FF000000"/>
        <rFont val="Times New Roman"/>
        <family val="1"/>
      </rPr>
      <t xml:space="preserve"> RLHA nest still active. </t>
    </r>
    <r>
      <rPr>
        <b/>
        <sz val="10"/>
        <color rgb="FF000000"/>
        <rFont val="Times New Roman"/>
        <family val="1"/>
      </rPr>
      <t xml:space="preserve">June 22 (Copter survey) : </t>
    </r>
    <r>
      <rPr>
        <sz val="10"/>
        <color rgb="FF000000"/>
        <rFont val="Times New Roman"/>
        <family val="1"/>
      </rPr>
      <t xml:space="preserve"> RLHA, 5 eggs, took wp. </t>
    </r>
    <r>
      <rPr>
        <b/>
        <sz val="10"/>
        <color rgb="FF000000"/>
        <rFont val="Times New Roman"/>
        <family val="1"/>
      </rPr>
      <t xml:space="preserve">July 26: </t>
    </r>
    <r>
      <rPr>
        <sz val="10"/>
        <color rgb="FF000000"/>
        <rFont val="Times New Roman"/>
        <family val="1"/>
      </rPr>
      <t xml:space="preserve"> RLHA pair. </t>
    </r>
    <r>
      <rPr>
        <b/>
        <sz val="10"/>
        <color rgb="FF000000"/>
        <rFont val="Times New Roman"/>
        <family val="1"/>
      </rPr>
      <t xml:space="preserve">August 9: </t>
    </r>
    <r>
      <rPr>
        <sz val="10"/>
        <color rgb="FF000000"/>
        <rFont val="Times New Roman"/>
        <family val="1"/>
      </rPr>
      <t>RLHA pair, 5 chicks, tried trapping adult without success (BC), banded chicks and deployed CTT on 2 oldest</t>
    </r>
  </si>
  <si>
    <t>1857-13226</t>
  </si>
  <si>
    <t>CTT# deployed</t>
  </si>
  <si>
    <t>HAAS03</t>
  </si>
  <si>
    <t>CTT ID #</t>
  </si>
  <si>
    <t>CTT Phone #</t>
  </si>
  <si>
    <t>SAKU19</t>
  </si>
  <si>
    <r>
      <t xml:space="preserve">May 23: </t>
    </r>
    <r>
      <rPr>
        <sz val="10"/>
        <color rgb="FF000000"/>
        <rFont val="Times New Roman"/>
        <family val="1"/>
      </rPr>
      <t xml:space="preserve">RLHA pair, territorial,staying 100-200m eastbound of cliff. </t>
    </r>
    <r>
      <rPr>
        <b/>
        <sz val="10"/>
        <color rgb="FF000000"/>
        <rFont val="Times New Roman"/>
        <family val="1"/>
      </rPr>
      <t xml:space="preserve"> June 1: </t>
    </r>
    <r>
      <rPr>
        <sz val="10"/>
        <color rgb="FF000000"/>
        <rFont val="Times New Roman"/>
        <family val="1"/>
      </rPr>
      <t>RLHA pair above site.</t>
    </r>
    <r>
      <rPr>
        <b/>
        <sz val="10"/>
        <color rgb="FF000000"/>
        <rFont val="Times New Roman"/>
        <family val="1"/>
      </rPr>
      <t xml:space="preserve"> June 12: </t>
    </r>
    <r>
      <rPr>
        <sz val="10"/>
        <color rgb="FF000000"/>
        <rFont val="Times New Roman"/>
        <family val="1"/>
      </rPr>
      <t xml:space="preserve"> RLHA pair, sticknest in original location (inland). </t>
    </r>
    <r>
      <rPr>
        <b/>
        <sz val="10"/>
        <color rgb="FF000000"/>
        <rFont val="Times New Roman"/>
        <family val="1"/>
      </rPr>
      <t>June 22 (copter survey):</t>
    </r>
    <r>
      <rPr>
        <sz val="10"/>
        <color rgb="FF000000"/>
        <rFont val="Times New Roman"/>
        <family val="1"/>
      </rPr>
      <t xml:space="preserve"> RLHA pair, 5 eggs. 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 xml:space="preserve"> RLHA pair, 5 chicks, banded them. </t>
    </r>
    <r>
      <rPr>
        <b/>
        <sz val="10"/>
        <color rgb="FF000000"/>
        <rFont val="Times New Roman"/>
        <family val="1"/>
      </rPr>
      <t xml:space="preserve">August 2: </t>
    </r>
    <r>
      <rPr>
        <sz val="10"/>
        <color rgb="FF000000"/>
        <rFont val="Times New Roman"/>
        <family val="1"/>
      </rPr>
      <t xml:space="preserve">RLHA pair, trapped female and deployed CTT. </t>
    </r>
    <r>
      <rPr>
        <b/>
        <sz val="10"/>
        <color rgb="FF000000"/>
        <rFont val="Times New Roman"/>
        <family val="1"/>
      </rPr>
      <t xml:space="preserve">AUgust 9: </t>
    </r>
    <r>
      <rPr>
        <sz val="10"/>
        <color rgb="FF000000"/>
        <rFont val="Times New Roman"/>
        <family val="1"/>
      </rPr>
      <t>Deployed CTT on 1 chick (185713247)</t>
    </r>
  </si>
  <si>
    <r>
      <t xml:space="preserve"> May 21: F</t>
    </r>
    <r>
      <rPr>
        <sz val="10"/>
        <color rgb="FF000000"/>
        <rFont val="Times New Roman"/>
        <family val="1"/>
      </rPr>
      <t>emale captured, recapture but changed his old blue band (81 K) for a new one (51 K)</t>
    </r>
    <r>
      <rPr>
        <b/>
        <sz val="10"/>
        <color rgb="FF000000"/>
        <rFont val="Times New Roman"/>
        <family val="1"/>
      </rPr>
      <t xml:space="preserve">.  June 9:  2 </t>
    </r>
    <r>
      <rPr>
        <sz val="10"/>
        <color rgb="FF000000"/>
        <rFont val="Times New Roman"/>
        <family val="1"/>
      </rPr>
      <t>birds came at us, slent, 2 other birds came as we left. June 15:  No bird seen, should check again small cliff by the lake</t>
    </r>
    <r>
      <rPr>
        <b/>
        <sz val="10"/>
        <color rgb="FF000000"/>
        <rFont val="Times New Roman"/>
        <family val="1"/>
      </rPr>
      <t>.July 1</t>
    </r>
    <r>
      <rPr>
        <sz val="10"/>
        <color rgb="FF000000"/>
        <rFont val="Times New Roman"/>
        <family val="1"/>
      </rPr>
      <t xml:space="preserve"> : New nest, RLHA pair, 1 incubating, 5 eggs.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 1 RLHA female, 4 chicks, 1 egg, deployed stand for trapping (around 5 days old). </t>
    </r>
    <r>
      <rPr>
        <b/>
        <sz val="10"/>
        <color rgb="FF000000"/>
        <rFont val="Times New Roman"/>
        <family val="1"/>
      </rPr>
      <t xml:space="preserve">July 25: </t>
    </r>
    <r>
      <rPr>
        <sz val="10"/>
        <color rgb="FF000000"/>
        <rFont val="Times New Roman"/>
        <family val="1"/>
      </rPr>
      <t xml:space="preserve">RLHA ind, 3 chicks + 1 egg. 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>RLHA pair, trapped male over BC,deployed CTT, female bever approched nest.</t>
    </r>
    <r>
      <rPr>
        <b/>
        <sz val="10"/>
        <color rgb="FF000000"/>
        <rFont val="Times New Roman"/>
        <family val="1"/>
      </rPr>
      <t xml:space="preserve"> August 13</t>
    </r>
    <r>
      <rPr>
        <sz val="10"/>
        <color rgb="FF000000"/>
        <rFont val="Times New Roman"/>
        <family val="1"/>
      </rPr>
      <t>: RLHA pair, 3 chicks, bandd them</t>
    </r>
  </si>
  <si>
    <r>
      <t xml:space="preserve">May 24: </t>
    </r>
    <r>
      <rPr>
        <sz val="10"/>
        <color rgb="FF000000"/>
        <rFont val="Times New Roman"/>
        <family val="1"/>
      </rPr>
      <t xml:space="preserve">RLHA pair, territorial. </t>
    </r>
    <r>
      <rPr>
        <b/>
        <sz val="10"/>
        <color rgb="FF000000"/>
        <rFont val="Times New Roman"/>
        <family val="1"/>
      </rPr>
      <t xml:space="preserve"> June 19: </t>
    </r>
    <r>
      <rPr>
        <sz val="10"/>
        <color rgb="FF000000"/>
        <rFont val="Times New Roman"/>
        <family val="1"/>
      </rPr>
      <t xml:space="preserve">RLHA pair, territorial. </t>
    </r>
    <r>
      <rPr>
        <b/>
        <sz val="10"/>
        <color rgb="FF000000"/>
        <rFont val="Times New Roman"/>
        <family val="1"/>
      </rPr>
      <t xml:space="preserve">June 30: </t>
    </r>
    <r>
      <rPr>
        <sz val="10"/>
        <color rgb="FF000000"/>
        <rFont val="Times New Roman"/>
        <family val="1"/>
      </rPr>
      <t xml:space="preserve">RLHA pair, 1 chick + 1 dead egg, banded chick. </t>
    </r>
    <r>
      <rPr>
        <b/>
        <sz val="10"/>
        <color rgb="FF000000"/>
        <rFont val="Times New Roman"/>
        <family val="1"/>
      </rPr>
      <t xml:space="preserve">August 10: </t>
    </r>
    <r>
      <rPr>
        <sz val="10"/>
        <color rgb="FF000000"/>
        <rFont val="Times New Roman"/>
        <family val="1"/>
      </rPr>
      <t xml:space="preserve"> RLHApair, 1 chick, trapped male and deployed CTT</t>
    </r>
  </si>
  <si>
    <t>SAKU11</t>
  </si>
  <si>
    <t>1857-13224</t>
  </si>
  <si>
    <t>1857-13225</t>
  </si>
  <si>
    <t>1947-26308</t>
  </si>
  <si>
    <r>
      <t xml:space="preserve"> May 24:</t>
    </r>
    <r>
      <rPr>
        <sz val="10"/>
        <color rgb="FF000000"/>
        <rFont val="Times New Roman"/>
        <family val="1"/>
      </rPr>
      <t xml:space="preserve"> RLHA pair on cliff.</t>
    </r>
    <r>
      <rPr>
        <b/>
        <sz val="10"/>
        <color rgb="FF000000"/>
        <rFont val="Times New Roman"/>
        <family val="1"/>
      </rPr>
      <t xml:space="preserve"> June 5: </t>
    </r>
    <r>
      <rPr>
        <sz val="10"/>
        <color rgb="FF000000"/>
        <rFont val="Times New Roman"/>
        <family val="1"/>
      </rPr>
      <t xml:space="preserve">RLHA pair, 4 eggs. </t>
    </r>
    <r>
      <rPr>
        <b/>
        <sz val="10"/>
        <color rgb="FF000000"/>
        <rFont val="Times New Roman"/>
        <family val="1"/>
      </rPr>
      <t xml:space="preserve"> June 12:</t>
    </r>
    <r>
      <rPr>
        <sz val="10"/>
        <color rgb="FF000000"/>
        <rFont val="Times New Roman"/>
        <family val="1"/>
      </rPr>
      <t xml:space="preserve"> RLHA pair, no PEFA seen around cliff. </t>
    </r>
    <r>
      <rPr>
        <b/>
        <sz val="10"/>
        <color rgb="FF000000"/>
        <rFont val="Times New Roman"/>
        <family val="1"/>
      </rPr>
      <t xml:space="preserve">June 25: </t>
    </r>
    <r>
      <rPr>
        <sz val="10"/>
        <color rgb="FF000000"/>
        <rFont val="Times New Roman"/>
        <family val="1"/>
      </rPr>
      <t xml:space="preserve"> RLHA pair. 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>RLHA pair, 3 chicks, tried trapping adult without success. Deployed CTT on bigger chick (1857-13224) and banded others</t>
    </r>
  </si>
  <si>
    <t>1947-26218</t>
  </si>
  <si>
    <t>1857-13227</t>
  </si>
  <si>
    <t>HAAS06</t>
  </si>
  <si>
    <t>HAAS07</t>
  </si>
  <si>
    <r>
      <t>May 24</t>
    </r>
    <r>
      <rPr>
        <sz val="10"/>
        <color rgb="FF000000"/>
        <rFont val="Times New Roman"/>
        <family val="1"/>
      </rPr>
      <t>: RLHA ind was on eastern part of cliff and stayed, aggressive calls. PEFA ind. came and flew over sit</t>
    </r>
    <r>
      <rPr>
        <b/>
        <sz val="10"/>
        <color rgb="FF000000"/>
        <rFont val="Times New Roman"/>
        <family val="1"/>
      </rPr>
      <t xml:space="preserve">e. May 26: </t>
    </r>
    <r>
      <rPr>
        <sz val="10"/>
        <color rgb="FF000000"/>
        <rFont val="Times New Roman"/>
        <family val="1"/>
      </rPr>
      <t xml:space="preserve">RLHA pair territorial. The PEFA from 31 came fight and then went back to 31. No territorial behaviour from the PEFA at 31 tough. </t>
    </r>
    <r>
      <rPr>
        <b/>
        <sz val="10"/>
        <color rgb="FF000000"/>
        <rFont val="Times New Roman"/>
        <family val="1"/>
      </rPr>
      <t xml:space="preserve">July 30: </t>
    </r>
    <r>
      <rPr>
        <sz val="10"/>
        <color rgb="FF000000"/>
        <rFont val="Times New Roman"/>
        <family val="1"/>
      </rPr>
      <t xml:space="preserve">RLHA pair, 3 chicks + 1 dead, banded them. </t>
    </r>
    <r>
      <rPr>
        <b/>
        <sz val="10"/>
        <color rgb="FF000000"/>
        <rFont val="Times New Roman"/>
        <family val="1"/>
      </rPr>
      <t xml:space="preserve"> August 3: </t>
    </r>
    <r>
      <rPr>
        <sz val="10"/>
        <color rgb="FF000000"/>
        <rFont val="Times New Roman"/>
        <family val="1"/>
      </rPr>
      <t>RLHA pair, trapped both adults and deployed CTT</t>
    </r>
  </si>
  <si>
    <t>1947-26217</t>
  </si>
  <si>
    <t xml:space="preserve">CTT Phone # </t>
  </si>
  <si>
    <t>HAAS05</t>
  </si>
  <si>
    <t>SAKU10</t>
  </si>
  <si>
    <t>CTT ID#</t>
  </si>
  <si>
    <r>
      <t xml:space="preserve">May 20: </t>
    </r>
    <r>
      <rPr>
        <sz val="10"/>
        <color rgb="FF000000"/>
        <rFont val="Times New Roman"/>
        <family val="1"/>
      </rPr>
      <t xml:space="preserve"> 2 old stick nest. </t>
    </r>
    <r>
      <rPr>
        <b/>
        <sz val="10"/>
        <color rgb="FF000000"/>
        <rFont val="Times New Roman"/>
        <family val="1"/>
      </rPr>
      <t xml:space="preserve">June 7: </t>
    </r>
    <r>
      <rPr>
        <sz val="10"/>
        <color rgb="FF000000"/>
        <rFont val="Times New Roman"/>
        <family val="1"/>
      </rPr>
      <t xml:space="preserve"> RLHA pair, , 4 eggs., July 2 : RLHA pair + 1 chick + 3 eggs. </t>
    </r>
    <r>
      <rPr>
        <b/>
        <sz val="10"/>
        <color rgb="FF000000"/>
        <rFont val="Times New Roman"/>
        <family val="1"/>
      </rPr>
      <t xml:space="preserve">July 17: </t>
    </r>
    <r>
      <rPr>
        <sz val="10"/>
        <color rgb="FF000000"/>
        <rFont val="Times New Roman"/>
        <family val="1"/>
      </rPr>
      <t xml:space="preserve">Deployed stand for trapping, RLHA pair, 4 chicks (around 15 days old), 1 egg (likely unfetilised). </t>
    </r>
    <r>
      <rPr>
        <b/>
        <sz val="10"/>
        <color rgb="FF000000"/>
        <rFont val="Times New Roman"/>
        <family val="1"/>
      </rPr>
      <t xml:space="preserve">Aug 1: </t>
    </r>
    <r>
      <rPr>
        <sz val="10"/>
        <color rgb="FF000000"/>
        <rFont val="Times New Roman"/>
        <family val="1"/>
      </rPr>
      <t xml:space="preserve"> RLHA femle, 3 chicks…wanted to band but no 7B...</t>
    </r>
    <r>
      <rPr>
        <b/>
        <sz val="10"/>
        <color rgb="FF000000"/>
        <rFont val="Times New Roman"/>
        <family val="1"/>
      </rPr>
      <t xml:space="preserve">  </t>
    </r>
    <r>
      <rPr>
        <sz val="10"/>
        <color rgb="FF000000"/>
        <rFont val="Times New Roman"/>
        <family val="1"/>
      </rPr>
      <t xml:space="preserve">chicks approximately 25-27 days. </t>
    </r>
    <r>
      <rPr>
        <b/>
        <sz val="10"/>
        <color rgb="FF000000"/>
        <rFont val="Times New Roman"/>
        <family val="1"/>
      </rPr>
      <t>August 2</t>
    </r>
    <r>
      <rPr>
        <sz val="10"/>
        <color rgb="FF000000"/>
        <rFont val="Times New Roman"/>
        <family val="1"/>
      </rPr>
      <t xml:space="preserve">: RLHA pair, trapped male and deployed CTT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 xml:space="preserve">RLHA female, 3 chicks, banded them. </t>
    </r>
    <r>
      <rPr>
        <b/>
        <sz val="10"/>
        <color rgb="FF000000"/>
        <rFont val="Times New Roman"/>
        <family val="1"/>
      </rPr>
      <t>August 8:</t>
    </r>
    <r>
      <rPr>
        <sz val="10"/>
        <color rgb="FF000000"/>
        <rFont val="Times New Roman"/>
        <family val="1"/>
      </rPr>
      <t xml:space="preserve"> No adult, 3 chicks, SEOW remaines in nest; 1 adult and 1 juvenile</t>
    </r>
    <r>
      <rPr>
        <b/>
        <sz val="10"/>
        <color rgb="FF000000"/>
        <rFont val="Times New Roman"/>
        <family val="1"/>
      </rPr>
      <t xml:space="preserve">. </t>
    </r>
    <r>
      <rPr>
        <sz val="10"/>
        <color rgb="FF000000"/>
        <rFont val="Times New Roman"/>
        <family val="1"/>
      </rPr>
      <t>Deployed CTT on biggest chick.</t>
    </r>
  </si>
  <si>
    <r>
      <t xml:space="preserve">June 11 RLHA pair, 2 eggs. August 8 : </t>
    </r>
    <r>
      <rPr>
        <sz val="10"/>
        <color rgb="FF000000"/>
        <rFont val="Times New Roman"/>
        <family val="1"/>
      </rPr>
      <t xml:space="preserve"> RLHA pair, 3 chicks, trapped male and deployed CTT</t>
    </r>
  </si>
  <si>
    <t>1947-26219</t>
  </si>
  <si>
    <t xml:space="preserve">CTT Phone# </t>
  </si>
  <si>
    <t>HAAS08</t>
  </si>
  <si>
    <r>
      <t xml:space="preserve">May 28: </t>
    </r>
    <r>
      <rPr>
        <sz val="10"/>
        <color rgb="FF000000"/>
        <rFont val="Times New Roman"/>
        <family val="1"/>
      </rPr>
      <t xml:space="preserve">RLHA pair, dark morph. </t>
    </r>
    <r>
      <rPr>
        <b/>
        <sz val="10"/>
        <color rgb="FF000000"/>
        <rFont val="Times New Roman"/>
        <family val="1"/>
      </rPr>
      <t xml:space="preserve">June 13: </t>
    </r>
    <r>
      <rPr>
        <sz val="10"/>
        <color rgb="FF000000"/>
        <rFont val="Times New Roman"/>
        <family val="1"/>
      </rPr>
      <t xml:space="preserve">RLHA pair. </t>
    </r>
    <r>
      <rPr>
        <b/>
        <sz val="10"/>
        <color rgb="FF000000"/>
        <rFont val="Times New Roman"/>
        <family val="1"/>
      </rPr>
      <t xml:space="preserve">June 22 (Copter survey): </t>
    </r>
    <r>
      <rPr>
        <sz val="10"/>
        <color rgb="FF000000"/>
        <rFont val="Times New Roman"/>
        <family val="1"/>
      </rPr>
      <t xml:space="preserve"> RLHA pair, dark morph, 5 eggs. </t>
    </r>
    <r>
      <rPr>
        <b/>
        <sz val="10"/>
        <color rgb="FF000000"/>
        <rFont val="Times New Roman"/>
        <family val="1"/>
      </rPr>
      <t xml:space="preserve">August 1: </t>
    </r>
    <r>
      <rPr>
        <sz val="10"/>
        <color rgb="FF000000"/>
        <rFont val="Times New Roman"/>
        <family val="1"/>
      </rPr>
      <t>RLHA pair (dark morph), 1 chick. Captured male and deployed CTT. Almost captured female but got away from BC. Only chick banded</t>
    </r>
  </si>
  <si>
    <t>1947-26310</t>
  </si>
  <si>
    <t>1947-26216</t>
  </si>
  <si>
    <t>bc</t>
  </si>
  <si>
    <t>HAAS04</t>
  </si>
  <si>
    <t>1947-26307</t>
  </si>
  <si>
    <t>HAAS01</t>
  </si>
  <si>
    <t>62.78951/-92.10516</t>
  </si>
  <si>
    <r>
      <t xml:space="preserve">May 19 : 1 RLHA sitting on nest, territorial calls. Other RLHA arrived after 5 minutes. June 3: Empty RLHA stick nest. Both adults present, territorial. June 5: RLHA pair, 0 eggs in nest. Site inaccessible. Stand deployed for capture . July 4: FOUND NEW NEST ON SOUTH SITE OF ISLAND (probably pair from original location). </t>
    </r>
    <r>
      <rPr>
        <sz val="10"/>
        <color rgb="FF000000"/>
        <rFont val="Times New Roman"/>
        <family val="1"/>
      </rPr>
      <t xml:space="preserve">RLHA pair + 3 chicks + 2 eggs </t>
    </r>
    <r>
      <rPr>
        <b/>
        <sz val="10"/>
        <color rgb="FF000000"/>
        <rFont val="Times New Roman"/>
        <family val="1"/>
      </rPr>
      <t>July 14:</t>
    </r>
    <r>
      <rPr>
        <sz val="10"/>
        <color rgb="FF000000"/>
        <rFont val="Times New Roman"/>
        <family val="1"/>
      </rPr>
      <t xml:space="preserve"> RLHA pair present, Original Site 10 empty, Maybe same birds?</t>
    </r>
    <r>
      <rPr>
        <b/>
        <sz val="10"/>
        <color rgb="FF000000"/>
        <rFont val="Times New Roman"/>
        <family val="1"/>
      </rPr>
      <t xml:space="preserve"> July 30: </t>
    </r>
    <r>
      <rPr>
        <sz val="10"/>
        <color rgb="FF000000"/>
        <rFont val="Times New Roman"/>
        <family val="1"/>
      </rPr>
      <t>RLHA pair, 3 chicks + 1 dead, banded them</t>
    </r>
  </si>
  <si>
    <r>
      <t xml:space="preserve">May 25: </t>
    </r>
    <r>
      <rPr>
        <sz val="10"/>
        <color rgb="FF000000"/>
        <rFont val="Times New Roman"/>
        <family val="1"/>
      </rPr>
      <t xml:space="preserve"> PEFA pair, maybe CORA nest?</t>
    </r>
    <r>
      <rPr>
        <b/>
        <sz val="10"/>
        <color rgb="FF000000"/>
        <rFont val="Times New Roman"/>
        <family val="1"/>
      </rPr>
      <t>June 8:</t>
    </r>
    <r>
      <rPr>
        <sz val="10"/>
        <color rgb="FF000000"/>
        <rFont val="Times New Roman"/>
        <family val="1"/>
      </rPr>
      <t xml:space="preserve"> PEFA pair, 2 eggs in nest, deployed RG + I button (14:45). Both unbanded.Nest very difficult to access. </t>
    </r>
    <r>
      <rPr>
        <b/>
        <sz val="10"/>
        <color rgb="FF000000"/>
        <rFont val="Times New Roman"/>
        <family val="1"/>
      </rPr>
      <t xml:space="preserve">Aug 7: </t>
    </r>
    <r>
      <rPr>
        <sz val="10"/>
        <color rgb="FF000000"/>
        <rFont val="Times New Roman"/>
        <family val="1"/>
      </rPr>
      <t>Territorial PEFA pair, did not access nest, probably still going</t>
    </r>
  </si>
  <si>
    <r>
      <t xml:space="preserve">May 23: </t>
    </r>
    <r>
      <rPr>
        <sz val="10"/>
        <color rgb="FF000000"/>
        <rFont val="Times New Roman"/>
        <family val="1"/>
      </rPr>
      <t xml:space="preserve">No bird seen </t>
    </r>
    <r>
      <rPr>
        <b/>
        <sz val="10"/>
        <color rgb="FF000000"/>
        <rFont val="Times New Roman"/>
        <family val="1"/>
      </rPr>
      <t xml:space="preserve">May 24: </t>
    </r>
    <r>
      <rPr>
        <sz val="10"/>
        <color rgb="FF000000"/>
        <rFont val="Times New Roman"/>
        <family val="1"/>
      </rPr>
      <t xml:space="preserve">PEFA pair. </t>
    </r>
    <r>
      <rPr>
        <b/>
        <sz val="10"/>
        <color rgb="FF000000"/>
        <rFont val="Times New Roman"/>
        <family val="1"/>
      </rPr>
      <t xml:space="preserve">May 26: </t>
    </r>
    <r>
      <rPr>
        <sz val="10"/>
        <color rgb="FF000000"/>
        <rFont val="Times New Roman"/>
        <family val="1"/>
      </rPr>
      <t xml:space="preserve">PEFA pair. </t>
    </r>
    <r>
      <rPr>
        <b/>
        <sz val="10"/>
        <color rgb="FF000000"/>
        <rFont val="Times New Roman"/>
        <family val="1"/>
      </rPr>
      <t xml:space="preserve"> June 11: </t>
    </r>
    <r>
      <rPr>
        <sz val="10"/>
        <color rgb="FF000000"/>
        <rFont val="Times New Roman"/>
        <family val="1"/>
      </rPr>
      <t xml:space="preserve">PEFA pair, 4 eggs, cam + RG deployed, no I Button. Take WP from phil's GPS. </t>
    </r>
    <r>
      <rPr>
        <b/>
        <sz val="10"/>
        <color rgb="FF000000"/>
        <rFont val="Times New Roman"/>
        <family val="1"/>
      </rPr>
      <t xml:space="preserve">June 23 (copter survey): </t>
    </r>
    <r>
      <rPr>
        <sz val="10"/>
        <color rgb="FF000000"/>
        <rFont val="Times New Roman"/>
        <family val="1"/>
      </rPr>
      <t xml:space="preserve">Changed batt + m.c, RG: 1cm, took wp. July 7 : PEFA female + 4 eggs. Batterie + memory card changed, RG: 0,75 cm. </t>
    </r>
    <r>
      <rPr>
        <b/>
        <sz val="10"/>
        <color rgb="FF000000"/>
        <rFont val="Times New Roman"/>
        <family val="1"/>
      </rPr>
      <t xml:space="preserve">July 16: </t>
    </r>
    <r>
      <rPr>
        <sz val="10"/>
        <color rgb="FF000000"/>
        <rFont val="Times New Roman"/>
        <family val="1"/>
      </rPr>
      <t xml:space="preserve">PEFA female, 4 chicks, CONTROL-5D visit, changed b + m.c.  Tarsus (mm) : R: 20.33 B: 21.97, G: 18.76, W: 14.53.. </t>
    </r>
    <r>
      <rPr>
        <b/>
        <sz val="10"/>
        <color rgb="FF000000"/>
        <rFont val="Times New Roman"/>
        <family val="1"/>
      </rPr>
      <t xml:space="preserve">July 21: </t>
    </r>
    <r>
      <rPr>
        <sz val="10"/>
        <color rgb="FF000000"/>
        <rFont val="Times New Roman"/>
        <family val="1"/>
      </rPr>
      <t xml:space="preserve"> PEFA pair, 3 chicks (white died), changed B+ m.c, RG: 0, 7cm, CONTROL-visit-10D. </t>
    </r>
    <r>
      <rPr>
        <b/>
        <sz val="10"/>
        <color rgb="FF000000"/>
        <rFont val="Times New Roman"/>
        <family val="1"/>
      </rPr>
      <t xml:space="preserve">July 26:  </t>
    </r>
    <r>
      <rPr>
        <sz val="10"/>
        <color rgb="FF000000"/>
        <rFont val="Times New Roman"/>
        <family val="1"/>
      </rPr>
      <t xml:space="preserve">No adult when arrived, female came after 20 min (end of visit). 3 chick, changed b+ m.c, RG: 0,8 cm. CONTROL-15D. Rectrices (mm): R:3.35, B: 2.5, G: 1.25. </t>
    </r>
    <r>
      <rPr>
        <b/>
        <sz val="10"/>
        <color rgb="FF000000"/>
        <rFont val="Times New Roman"/>
        <family val="1"/>
      </rPr>
      <t xml:space="preserve">July 31: </t>
    </r>
    <r>
      <rPr>
        <sz val="10"/>
        <color rgb="FF000000"/>
        <rFont val="Times New Roman"/>
        <family val="1"/>
      </rPr>
      <t xml:space="preserve"> PEFA  female, 3 chicks, changed b+m.c, RG: 0. CONTROL-visit-20D. </t>
    </r>
    <r>
      <rPr>
        <b/>
        <sz val="10"/>
        <color rgb="FF000000"/>
        <rFont val="Times New Roman"/>
        <family val="1"/>
      </rPr>
      <t xml:space="preserve">August 6: </t>
    </r>
    <r>
      <rPr>
        <sz val="10"/>
        <color rgb="FF000000"/>
        <rFont val="Times New Roman"/>
        <family val="1"/>
      </rPr>
      <t xml:space="preserve">PEFA female, 2 chicks, changed b + m.c, RG: 8.5 cm, GREEN dead, down the cliff, CONTROL-25D. </t>
    </r>
    <r>
      <rPr>
        <b/>
        <sz val="10"/>
        <color rgb="FF000000"/>
        <rFont val="Times New Roman"/>
        <family val="1"/>
      </rPr>
      <t xml:space="preserve">August 10: </t>
    </r>
    <r>
      <rPr>
        <sz val="10"/>
        <color rgb="FF000000"/>
        <rFont val="Times New Roman"/>
        <family val="1"/>
      </rPr>
      <t xml:space="preserve"> NO ADULT, 2 chicks, 18 SONGBIRDS FOUND DEAD ON SCRAPE!! (17 LALO + 1 SASV), retrieved camera + RG...CONTROL-30D (last visit). </t>
    </r>
    <r>
      <rPr>
        <b/>
        <sz val="10"/>
        <color rgb="FF000000"/>
        <rFont val="Times New Roman"/>
        <family val="1"/>
      </rPr>
      <t>Aug 30: Site switched from site 30 to site 15 (east part of island)</t>
    </r>
  </si>
  <si>
    <r>
      <t xml:space="preserve">May 23: RLHA pair territorial, stick nest--&gt; maybe site 15? (M.T). July 31: </t>
    </r>
    <r>
      <rPr>
        <sz val="10"/>
        <color rgb="FF000000"/>
        <rFont val="Times New Roman"/>
        <family val="1"/>
      </rPr>
      <t xml:space="preserve"> No adults, 2 chicks, FOUND STARFISH IN NEST, banded chicks. </t>
    </r>
    <r>
      <rPr>
        <b/>
        <sz val="10"/>
        <color rgb="FF000000"/>
        <rFont val="Times New Roman"/>
        <family val="1"/>
      </rPr>
      <t>August 30: Site number changed from 15 to 30 (west side of island)</t>
    </r>
  </si>
  <si>
    <r>
      <t xml:space="preserve">May 24: </t>
    </r>
    <r>
      <rPr>
        <sz val="10"/>
        <color rgb="FF000000"/>
        <rFont val="Times New Roman"/>
        <family val="1"/>
      </rPr>
      <t xml:space="preserve"> No bird seen. </t>
    </r>
    <r>
      <rPr>
        <b/>
        <sz val="10"/>
        <color rgb="FF000000"/>
        <rFont val="Times New Roman"/>
        <family val="1"/>
      </rPr>
      <t xml:space="preserve">May 26: </t>
    </r>
    <r>
      <rPr>
        <sz val="10"/>
        <color rgb="FF000000"/>
        <rFont val="Times New Roman"/>
        <family val="1"/>
      </rPr>
      <t xml:space="preserve">PEFA ind. On site, left quickly. </t>
    </r>
    <r>
      <rPr>
        <b/>
        <sz val="10"/>
        <color rgb="FF000000"/>
        <rFont val="Times New Roman"/>
        <family val="1"/>
      </rPr>
      <t xml:space="preserve">May 31: </t>
    </r>
    <r>
      <rPr>
        <sz val="10"/>
        <color rgb="FF000000"/>
        <rFont val="Times New Roman"/>
        <family val="1"/>
      </rPr>
      <t>PEFA pair, both captured. Female recp, male unbanded.</t>
    </r>
    <r>
      <rPr>
        <b/>
        <sz val="10"/>
        <color rgb="FF000000"/>
        <rFont val="Times New Roman"/>
        <family val="1"/>
      </rPr>
      <t xml:space="preserve">June 9: </t>
    </r>
    <r>
      <rPr>
        <sz val="10"/>
        <color rgb="FF000000"/>
        <rFont val="Times New Roman"/>
        <family val="1"/>
      </rPr>
      <t xml:space="preserve"> PEFA pair, territorial, lots of empty scrape but did not found any eggs after 40 min searching.. </t>
    </r>
    <r>
      <rPr>
        <b/>
        <sz val="10"/>
        <color rgb="FF000000"/>
        <rFont val="Times New Roman"/>
        <family val="1"/>
      </rPr>
      <t xml:space="preserve"> June 15: </t>
    </r>
    <r>
      <rPr>
        <sz val="10"/>
        <color rgb="FF000000"/>
        <rFont val="Times New Roman"/>
        <family val="1"/>
      </rPr>
      <t xml:space="preserve"> PEFA pair, 2 eggs, deployed cam + RG/ I button (14:00) </t>
    </r>
    <r>
      <rPr>
        <b/>
        <sz val="10"/>
        <color rgb="FF000000"/>
        <rFont val="Times New Roman"/>
        <family val="1"/>
      </rPr>
      <t xml:space="preserve">June 27 : </t>
    </r>
    <r>
      <rPr>
        <sz val="10"/>
        <color rgb="FF000000"/>
        <rFont val="Times New Roman"/>
        <family val="1"/>
      </rPr>
      <t xml:space="preserve">PEFA pair + 4 eggs, batterie + memory card changed, Rg: empty. </t>
    </r>
    <r>
      <rPr>
        <b/>
        <sz val="10"/>
        <color rgb="FF000000"/>
        <rFont val="Times New Roman"/>
        <family val="1"/>
      </rPr>
      <t>July 8</t>
    </r>
    <r>
      <rPr>
        <sz val="10"/>
        <color rgb="FF000000"/>
        <rFont val="Times New Roman"/>
        <family val="1"/>
      </rPr>
      <t xml:space="preserve"> : PEFA pair + 3 eggs, Battery changed, memory card only 2% full, RG: empty.</t>
    </r>
    <r>
      <rPr>
        <b/>
        <sz val="10"/>
        <color rgb="FF000000"/>
        <rFont val="Times New Roman"/>
        <family val="1"/>
      </rPr>
      <t xml:space="preserve"> July 16: </t>
    </r>
    <r>
      <rPr>
        <sz val="10"/>
        <color rgb="FF000000"/>
        <rFont val="Times New Roman"/>
        <family val="1"/>
      </rPr>
      <t xml:space="preserve">PEFA female 3 eggs, no pipping, changed b+m.c (AA), RG: 0, </t>
    </r>
    <r>
      <rPr>
        <b/>
        <sz val="10"/>
        <color rgb="FF000000"/>
        <rFont val="Times New Roman"/>
        <family val="1"/>
      </rPr>
      <t xml:space="preserve">July 23: </t>
    </r>
    <r>
      <rPr>
        <sz val="10"/>
        <color rgb="FF000000"/>
        <rFont val="Times New Roman"/>
        <family val="1"/>
      </rPr>
      <t xml:space="preserve">PEFA female, 3 chicks, changed b + m.c, RG:1.2 cm. SUPPLEMENTATION-visit 5D; 4 quails given (598 g).. </t>
    </r>
    <r>
      <rPr>
        <b/>
        <sz val="10"/>
        <color rgb="FF000000"/>
        <rFont val="Times New Roman"/>
        <family val="1"/>
      </rPr>
      <t xml:space="preserve">July 28: </t>
    </r>
    <r>
      <rPr>
        <sz val="10"/>
        <color rgb="FF000000"/>
        <rFont val="Times New Roman"/>
        <family val="1"/>
      </rPr>
      <t xml:space="preserve"> NO PEFA, 2 chicks (green missing, assuming dead), no info on camera, stopped taking picture on 07-25, changed b + m.c, RG: traces, </t>
    </r>
    <r>
      <rPr>
        <b/>
        <sz val="10"/>
        <color rgb="FF000000"/>
        <rFont val="Times New Roman"/>
        <family val="1"/>
      </rPr>
      <t>4 quails from last visited aligned near nest, untouched,</t>
    </r>
    <r>
      <rPr>
        <sz val="10"/>
        <color rgb="FF000000"/>
        <rFont val="Times New Roman"/>
        <family val="1"/>
      </rPr>
      <t xml:space="preserve"> SUPPLEMENT-visit-10D; 3quails (600g). </t>
    </r>
    <r>
      <rPr>
        <b/>
        <sz val="10"/>
        <color rgb="FF000000"/>
        <rFont val="Times New Roman"/>
        <family val="1"/>
      </rPr>
      <t xml:space="preserve">August 3: </t>
    </r>
    <r>
      <rPr>
        <sz val="10"/>
        <color rgb="FF000000"/>
        <rFont val="Times New Roman"/>
        <family val="1"/>
      </rPr>
      <t>PEFA ind, 2 chicks,changed b + m.c RG: 1 cm, SUPPLEMENT-15D; 4 quails (718 g)</t>
    </r>
    <r>
      <rPr>
        <b/>
        <sz val="10"/>
        <color rgb="FF000000"/>
        <rFont val="Times New Roman"/>
        <family val="1"/>
      </rPr>
      <t xml:space="preserve"> . August 7: </t>
    </r>
    <r>
      <rPr>
        <sz val="10"/>
        <color rgb="FF000000"/>
        <rFont val="Times New Roman"/>
        <family val="1"/>
      </rPr>
      <t xml:space="preserve"> NO adult, 2 chicks...look small and weak, but soe food in crop...changed b + m.c, RG: 4cm, SUPPLEMENT-20D; 4Q-860 gMay 24:  No bird seen. </t>
    </r>
    <r>
      <rPr>
        <b/>
        <sz val="10"/>
        <color rgb="FF000000"/>
        <rFont val="Times New Roman"/>
        <family val="1"/>
      </rPr>
      <t>Aug 12:</t>
    </r>
    <r>
      <rPr>
        <sz val="10"/>
        <color rgb="FF000000"/>
        <rFont val="Times New Roman"/>
        <family val="1"/>
      </rPr>
      <t xml:space="preserve"> 0 PEFA adults, 2 chicks, 4 quails given (945 g), b + m.c changed., RG=0, SUPPLEMENT-25D.. </t>
    </r>
    <r>
      <rPr>
        <b/>
        <sz val="10"/>
        <color rgb="FF000000"/>
        <rFont val="Times New Roman"/>
        <family val="1"/>
      </rPr>
      <t>Aug 17:</t>
    </r>
    <r>
      <rPr>
        <sz val="10"/>
        <color rgb="FF000000"/>
        <rFont val="Times New Roman"/>
        <family val="1"/>
      </rPr>
      <t xml:space="preserve"> copter visit, PEFA female territorial, 2 chicks, camera remove, RG remov, RG=0, SUPPLEMENT-30D.</t>
    </r>
  </si>
  <si>
    <r>
      <rPr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July 20:  </t>
    </r>
    <r>
      <rPr>
        <sz val="10"/>
        <color rgb="FF000000"/>
        <rFont val="Times New Roman"/>
        <family val="1"/>
      </rPr>
      <t xml:space="preserve">Found PEFA nest on inlet, about 400m from 18, 2 chicks, took WP. </t>
    </r>
    <r>
      <rPr>
        <b/>
        <sz val="10"/>
        <color rgb="FF000000"/>
        <rFont val="Times New Roman"/>
        <family val="1"/>
      </rPr>
      <t xml:space="preserve">July 25: </t>
    </r>
    <r>
      <rPr>
        <sz val="10"/>
        <color rgb="FF000000"/>
        <rFont val="Times New Roman"/>
        <family val="1"/>
      </rPr>
      <t xml:space="preserve"> PEFA female, deployd cam. Rectrices: R: 3.05 mm </t>
    </r>
    <r>
      <rPr>
        <b/>
        <sz val="10"/>
        <color rgb="FF000000"/>
        <rFont val="Times New Roman"/>
        <family val="1"/>
      </rPr>
      <t xml:space="preserve">July 20:  </t>
    </r>
    <r>
      <rPr>
        <sz val="10"/>
        <color rgb="FF000000"/>
        <rFont val="Times New Roman"/>
        <family val="1"/>
      </rPr>
      <t xml:space="preserve">Found PEFA nest on inlet, about 400m from 18, 2 chicks, took WP. </t>
    </r>
    <r>
      <rPr>
        <b/>
        <sz val="10"/>
        <color rgb="FF000000"/>
        <rFont val="Times New Roman"/>
        <family val="1"/>
      </rPr>
      <t xml:space="preserve">July 25: </t>
    </r>
    <r>
      <rPr>
        <sz val="10"/>
        <color rgb="FF000000"/>
        <rFont val="Times New Roman"/>
        <family val="1"/>
      </rPr>
      <t xml:space="preserve"> PEFA female, deployd cam. Rectrices: R: 3.05 mm. </t>
    </r>
    <r>
      <rPr>
        <b/>
        <sz val="10"/>
        <color rgb="FF000000"/>
        <rFont val="Times New Roman"/>
        <family val="1"/>
      </rPr>
      <t>Aug 13:biggest young</t>
    </r>
    <r>
      <rPr>
        <sz val="10"/>
        <color rgb="FF000000"/>
        <rFont val="Times New Roman"/>
        <family val="1"/>
      </rPr>
      <t xml:space="preserve"> young flew into lake and swam to shore. Placed back in nest. 2 PEFA Territorial. Camera removed.</t>
    </r>
  </si>
  <si>
    <r>
      <t xml:space="preserve">June 11: </t>
    </r>
    <r>
      <rPr>
        <sz val="10"/>
        <color rgb="FF000000"/>
        <rFont val="Times New Roman"/>
        <family val="1"/>
      </rPr>
      <t xml:space="preserve"> 1 RLHA, territorial, found fresh empty stick nest. </t>
    </r>
    <r>
      <rPr>
        <b/>
        <sz val="10"/>
        <color rgb="FF000000"/>
        <rFont val="Times New Roman"/>
        <family val="1"/>
      </rPr>
      <t xml:space="preserve">Aug 7: </t>
    </r>
    <r>
      <rPr>
        <sz val="10"/>
        <color rgb="FF000000"/>
        <rFont val="Times New Roman"/>
        <family val="1"/>
      </rPr>
      <t xml:space="preserve"> Empty</t>
    </r>
  </si>
  <si>
    <t>38A</t>
  </si>
  <si>
    <t>RECONYX</t>
  </si>
  <si>
    <t>nest in front of luc's cabin; EMPTY</t>
  </si>
  <si>
    <t>DIED</t>
  </si>
  <si>
    <r>
      <t>May 23:</t>
    </r>
    <r>
      <rPr>
        <sz val="10"/>
        <color rgb="FF000000"/>
        <rFont val="Times New Roman"/>
        <family val="1"/>
      </rPr>
      <t xml:space="preserve"> No bird seen.</t>
    </r>
    <r>
      <rPr>
        <b/>
        <sz val="10"/>
        <color rgb="FF000000"/>
        <rFont val="Times New Roman"/>
        <family val="1"/>
      </rPr>
      <t xml:space="preserve"> May 31: </t>
    </r>
    <r>
      <rPr>
        <sz val="10"/>
        <color rgb="FF000000"/>
        <rFont val="Times New Roman"/>
        <family val="1"/>
      </rPr>
      <t xml:space="preserve">No bird seen. </t>
    </r>
    <r>
      <rPr>
        <b/>
        <sz val="10"/>
        <color rgb="FF000000"/>
        <rFont val="Times New Roman"/>
        <family val="1"/>
      </rPr>
      <t xml:space="preserve">June 11: </t>
    </r>
    <r>
      <rPr>
        <sz val="10"/>
        <color rgb="FF000000"/>
        <rFont val="Times New Roman"/>
        <family val="1"/>
      </rPr>
      <t>PEFA pair, nest found with 1 egg.Camera + RG / I button ( 2:00 pm). Found dead juvenile PEFA near site.</t>
    </r>
    <r>
      <rPr>
        <b/>
        <sz val="10"/>
        <color rgb="FF000000"/>
        <rFont val="Times New Roman"/>
        <family val="1"/>
      </rPr>
      <t xml:space="preserve"> June 23 (copter survey): </t>
    </r>
    <r>
      <rPr>
        <sz val="10"/>
        <color rgb="FF000000"/>
        <rFont val="Times New Roman"/>
        <family val="1"/>
      </rPr>
      <t xml:space="preserve">PEFA pair, 4 eggs, changed b+m.c, took wp July 7 : PEFA pair + 4 eggs, Battery changed, Mem.card empty.., Rg: empty. </t>
    </r>
    <r>
      <rPr>
        <b/>
        <sz val="10"/>
        <color rgb="FF000000"/>
        <rFont val="Times New Roman"/>
        <family val="1"/>
      </rPr>
      <t xml:space="preserve">July 18: </t>
    </r>
    <r>
      <rPr>
        <sz val="10"/>
        <color rgb="FF000000"/>
        <rFont val="Times New Roman"/>
        <family val="1"/>
      </rPr>
      <t xml:space="preserve">PEFA pair, 3 chicks + 1 pipping egg, Cam stopped taking picture before hatche date...assumed hatch date on 16-07-16. SUPPLEMENTATION- no quails (too young), come back in 5 days. </t>
    </r>
    <r>
      <rPr>
        <b/>
        <sz val="10"/>
        <color rgb="FF000000"/>
        <rFont val="Times New Roman"/>
        <family val="1"/>
      </rPr>
      <t xml:space="preserve">July 23: </t>
    </r>
    <r>
      <rPr>
        <sz val="10"/>
        <color rgb="FF000000"/>
        <rFont val="Times New Roman"/>
        <family val="1"/>
      </rPr>
      <t xml:space="preserve">PEFA female, 4 chicks, changed b+ m.c, RG: 0.4 cm, Supplementation-visit-5D; 4 quails given (789 g). </t>
    </r>
    <r>
      <rPr>
        <b/>
        <sz val="10"/>
        <color rgb="FF000000"/>
        <rFont val="Times New Roman"/>
        <family val="1"/>
      </rPr>
      <t xml:space="preserve">July 28: </t>
    </r>
    <r>
      <rPr>
        <sz val="10"/>
        <color rgb="FF000000"/>
        <rFont val="Times New Roman"/>
        <family val="1"/>
      </rPr>
      <t xml:space="preserve"> PEFA femle, 4 chicks, chaged b + m.c, RG: 0cm, SUPPLEMENT-visit-10D; 4quails (960 g). </t>
    </r>
    <r>
      <rPr>
        <b/>
        <sz val="10"/>
        <color rgb="FF000000"/>
        <rFont val="Times New Roman"/>
        <family val="1"/>
      </rPr>
      <t xml:space="preserve">August 3: </t>
    </r>
    <r>
      <rPr>
        <sz val="10"/>
        <color rgb="FF000000"/>
        <rFont val="Times New Roman"/>
        <family val="1"/>
      </rPr>
      <t xml:space="preserve"> PEFA pair, 4 chicks. Was raining really bad so did not take any measurements on chicks...changed m.c (not battery, still 76%)...whit looks very weak and unfed. </t>
    </r>
    <r>
      <rPr>
        <b/>
        <sz val="10"/>
        <color rgb="FF000000"/>
        <rFont val="Times New Roman"/>
        <family val="1"/>
      </rPr>
      <t>August 7:</t>
    </r>
    <r>
      <rPr>
        <sz val="10"/>
        <color rgb="FF000000"/>
        <rFont val="Times New Roman"/>
        <family val="1"/>
      </rPr>
      <t xml:space="preserve">PEFA pair, 3 chicks, changed b + m.c, RG: 4,25 cm. SUPPLEMENT-20D; 5Q (1108 g). Duckling and lemming remains in nest. </t>
    </r>
    <r>
      <rPr>
        <b/>
        <sz val="10"/>
        <color rgb="FF000000"/>
        <rFont val="Times New Roman"/>
        <family val="1"/>
      </rPr>
      <t xml:space="preserve">Aug 12: </t>
    </r>
    <r>
      <rPr>
        <sz val="10"/>
        <color rgb="FF000000"/>
        <rFont val="Times New Roman"/>
        <family val="1"/>
      </rPr>
      <t xml:space="preserve">2 PEFA territorial, 3 chicks, 6 quails given (1435 g), RG=0, m.c changed, SUPPLEMENT-25D. </t>
    </r>
    <r>
      <rPr>
        <b/>
        <sz val="10"/>
        <color rgb="FF000000"/>
        <rFont val="Times New Roman"/>
        <family val="1"/>
      </rPr>
      <t xml:space="preserve">Aug 17: </t>
    </r>
    <r>
      <rPr>
        <sz val="10"/>
        <color rgb="FF000000"/>
        <rFont val="Times New Roman"/>
        <family val="1"/>
      </rPr>
      <t>copter visit, PEFA female territorial, 3 CHICKS, camera removed, RG removed (+ iButton), SUPPLEMENT-30D.</t>
    </r>
  </si>
  <si>
    <t>76B</t>
  </si>
  <si>
    <t>camera</t>
  </si>
  <si>
    <t>kev</t>
  </si>
  <si>
    <r>
      <t xml:space="preserve">May 21: </t>
    </r>
    <r>
      <rPr>
        <sz val="10"/>
        <color rgb="FF000000"/>
        <rFont val="Times New Roman"/>
        <family val="1"/>
      </rPr>
      <t>1 PEFA seen on the other side of the river, too wet to cross</t>
    </r>
    <r>
      <rPr>
        <b/>
        <sz val="10"/>
        <color rgb="FF000000"/>
        <rFont val="Times New Roman"/>
        <family val="1"/>
      </rPr>
      <t>. May 30:</t>
    </r>
    <r>
      <rPr>
        <sz val="10"/>
        <color rgb="FF000000"/>
        <rFont val="Times New Roman"/>
        <family val="1"/>
      </rPr>
      <t xml:space="preserve"> PEFA pair at site, almost caught pair while trapping</t>
    </r>
    <r>
      <rPr>
        <b/>
        <sz val="10"/>
        <color rgb="FF000000"/>
        <rFont val="Times New Roman"/>
        <family val="1"/>
      </rPr>
      <t xml:space="preserve">. June 11: </t>
    </r>
    <r>
      <rPr>
        <sz val="10"/>
        <color rgb="FF000000"/>
        <rFont val="Times New Roman"/>
        <family val="1"/>
      </rPr>
      <t xml:space="preserve">1 PEFA flying over cliff, not territorial, no scrape. </t>
    </r>
    <r>
      <rPr>
        <b/>
        <sz val="10"/>
        <color rgb="FF000000"/>
        <rFont val="Times New Roman"/>
        <family val="1"/>
      </rPr>
      <t xml:space="preserve">Aug 7: </t>
    </r>
    <r>
      <rPr>
        <sz val="10"/>
        <color rgb="FF000000"/>
        <rFont val="Times New Roman"/>
        <family val="1"/>
      </rPr>
      <t xml:space="preserve"> PEFA pair , 1 chick. </t>
    </r>
    <r>
      <rPr>
        <b/>
        <sz val="10"/>
        <color rgb="FF000000"/>
        <rFont val="Times New Roman"/>
        <family val="1"/>
      </rPr>
      <t>Aug 16:</t>
    </r>
    <r>
      <rPr>
        <sz val="10"/>
        <color rgb="FF000000"/>
        <rFont val="Times New Roman"/>
        <family val="1"/>
      </rPr>
      <t xml:space="preserve"> copter survey, no adults, 1 chick banded and weighed.</t>
    </r>
  </si>
  <si>
    <r>
      <t xml:space="preserve">May 22: </t>
    </r>
    <r>
      <rPr>
        <sz val="10"/>
        <color rgb="FF000000"/>
        <rFont val="Times New Roman"/>
        <family val="1"/>
      </rPr>
      <t>CORA</t>
    </r>
    <r>
      <rPr>
        <b/>
        <sz val="10"/>
        <color rgb="FF000000"/>
        <rFont val="Times New Roman"/>
        <family val="1"/>
      </rPr>
      <t xml:space="preserve">. May 27: </t>
    </r>
    <r>
      <rPr>
        <sz val="10"/>
        <color rgb="FF000000"/>
        <rFont val="Times New Roman"/>
        <family val="1"/>
      </rPr>
      <t>CORA.</t>
    </r>
    <r>
      <rPr>
        <b/>
        <sz val="10"/>
        <color rgb="FF000000"/>
        <rFont val="Times New Roman"/>
        <family val="1"/>
      </rPr>
      <t xml:space="preserve"> June 2: </t>
    </r>
    <r>
      <rPr>
        <sz val="10"/>
        <color rgb="FF000000"/>
        <rFont val="Times New Roman"/>
        <family val="1"/>
      </rPr>
      <t>CORA pair, territorial…very close to RLHA at site44…cantsee in nest.</t>
    </r>
    <r>
      <rPr>
        <b/>
        <sz val="10"/>
        <color rgb="FF000000"/>
        <rFont val="Times New Roman"/>
        <family val="1"/>
      </rPr>
      <t xml:space="preserve">  June 4: </t>
    </r>
    <r>
      <rPr>
        <sz val="10"/>
        <color rgb="FF000000"/>
        <rFont val="Times New Roman"/>
        <family val="1"/>
      </rPr>
      <t xml:space="preserve">CORA. </t>
    </r>
    <r>
      <rPr>
        <b/>
        <sz val="10"/>
        <color rgb="FF000000"/>
        <rFont val="Times New Roman"/>
        <family val="1"/>
      </rPr>
      <t xml:space="preserve">June 13: </t>
    </r>
    <r>
      <rPr>
        <sz val="10"/>
        <color rgb="FF000000"/>
        <rFont val="Times New Roman"/>
        <family val="1"/>
      </rPr>
      <t>CORA pair, took WP</t>
    </r>
  </si>
  <si>
    <t xml:space="preserve">June 12:Empty </t>
  </si>
  <si>
    <r>
      <t xml:space="preserve">June 12: </t>
    </r>
    <r>
      <rPr>
        <sz val="10"/>
        <color rgb="FF000000"/>
        <rFont val="Times New Roman"/>
        <family val="1"/>
      </rPr>
      <t xml:space="preserve">New RLHA site near bay in front of airport, named 123 at irst, then renamed 133 (closest RLHA site), 5 eggs. </t>
    </r>
    <r>
      <rPr>
        <b/>
        <sz val="10"/>
        <color rgb="FF000000"/>
        <rFont val="Times New Roman"/>
        <family val="1"/>
      </rPr>
      <t>July 5</t>
    </r>
    <r>
      <rPr>
        <sz val="10"/>
        <color rgb="FF000000"/>
        <rFont val="Times New Roman"/>
        <family val="1"/>
      </rPr>
      <t xml:space="preserve"> : RLHA pair + 5 eggs</t>
    </r>
    <r>
      <rPr>
        <b/>
        <sz val="10"/>
        <color rgb="FF000000"/>
        <rFont val="Times New Roman"/>
        <family val="1"/>
      </rPr>
      <t xml:space="preserve">July 20: </t>
    </r>
    <r>
      <rPr>
        <sz val="10"/>
        <color rgb="FF000000"/>
        <rFont val="Times New Roman"/>
        <family val="1"/>
      </rPr>
      <t xml:space="preserve"> RLHA pair, 5 chicks, deployed stand. </t>
    </r>
    <r>
      <rPr>
        <b/>
        <sz val="10"/>
        <color rgb="FF000000"/>
        <rFont val="Times New Roman"/>
        <family val="1"/>
      </rPr>
      <t xml:space="preserve">August 31: </t>
    </r>
    <r>
      <rPr>
        <sz val="10"/>
        <color rgb="FF000000"/>
        <rFont val="Times New Roman"/>
        <family val="1"/>
      </rPr>
      <t>RLHA pair, trapped male and deployed CTT</t>
    </r>
  </si>
  <si>
    <t>62.78963/-92.13411</t>
  </si>
  <si>
    <r>
      <t>June 20:</t>
    </r>
    <r>
      <rPr>
        <sz val="11"/>
        <color theme="1"/>
        <rFont val="Arial"/>
        <family val="2"/>
      </rPr>
      <t xml:space="preserve"> (copter survey): RLHA nest, 6 eggs no adults.</t>
    </r>
    <r>
      <rPr>
        <b/>
        <sz val="10"/>
        <color rgb="FF000000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 xml:space="preserve">Aug 15: </t>
    </r>
    <r>
      <rPr>
        <sz val="11"/>
        <color theme="1"/>
        <rFont val="Arial"/>
        <family val="2"/>
      </rPr>
      <t>copter survey,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RLHA pair, 2  flying chicks, too old to band</t>
    </r>
  </si>
  <si>
    <t>Reconyx</t>
  </si>
  <si>
    <r>
      <t xml:space="preserve">June 22 </t>
    </r>
    <r>
      <rPr>
        <sz val="10"/>
        <color rgb="FF000000"/>
        <rFont val="Times New Roman"/>
        <family val="1"/>
      </rPr>
      <t>(Copter survey): New site, took WP, near 119, PEFA female, 4 eggs.</t>
    </r>
    <r>
      <rPr>
        <b/>
        <sz val="10"/>
        <color rgb="FF000000"/>
        <rFont val="Times New Roman"/>
        <family val="1"/>
      </rPr>
      <t xml:space="preserve"> June 27 </t>
    </r>
    <r>
      <rPr>
        <sz val="10"/>
        <color rgb="FF000000"/>
        <rFont val="Times New Roman"/>
        <family val="1"/>
      </rPr>
      <t xml:space="preserve">PEFA pair + 4 eggs, Camera deploy, Rain gage Deploy, I button Deploy 14h15,. </t>
    </r>
    <r>
      <rPr>
        <b/>
        <sz val="10"/>
        <color rgb="FF000000"/>
        <rFont val="Times New Roman"/>
        <family val="1"/>
      </rPr>
      <t xml:space="preserve">July 13: </t>
    </r>
    <r>
      <rPr>
        <sz val="10"/>
        <color rgb="FF000000"/>
        <rFont val="Times New Roman"/>
        <family val="1"/>
      </rPr>
      <t xml:space="preserve"> PEFA pair, 4 eggs, changed batt + m.c, 2 eggs pipping, RG: empty. </t>
    </r>
    <r>
      <rPr>
        <b/>
        <sz val="10"/>
        <color rgb="FF000000"/>
        <rFont val="Times New Roman"/>
        <family val="1"/>
      </rPr>
      <t xml:space="preserve">July 31 ( </t>
    </r>
    <r>
      <rPr>
        <sz val="10"/>
        <color rgb="FF000000"/>
        <rFont val="Times New Roman"/>
        <family val="1"/>
      </rPr>
      <t xml:space="preserve">Reconyx) : 3 chicks. </t>
    </r>
    <r>
      <rPr>
        <b/>
        <sz val="10"/>
        <color rgb="FF000000"/>
        <rFont val="Times New Roman"/>
        <family val="1"/>
      </rPr>
      <t>AUg 9:</t>
    </r>
    <r>
      <rPr>
        <sz val="10"/>
        <color rgb="FF000000"/>
        <rFont val="Times New Roman"/>
        <family val="1"/>
      </rPr>
      <t xml:space="preserve"> Retrieved camera, 2 chicks</t>
    </r>
  </si>
  <si>
    <t>62.8000356/-92.1783829</t>
  </si>
  <si>
    <t>62.85466/-92.17141</t>
  </si>
  <si>
    <t>62.80025/-92.32125</t>
  </si>
  <si>
    <t>62.7874477/-92.2001072</t>
  </si>
  <si>
    <t>62.82817/-92.24089</t>
  </si>
  <si>
    <t>62.80342/-92.19858</t>
  </si>
  <si>
    <t>62.79128/-92.18887</t>
  </si>
  <si>
    <t>62.80494/-92.16938</t>
  </si>
  <si>
    <t>62.81046/-92.21963</t>
  </si>
  <si>
    <t>62.866235/-92.078423</t>
  </si>
  <si>
    <t>62.81276/-92.31326</t>
  </si>
  <si>
    <t>62.80017/-92.17944</t>
  </si>
  <si>
    <t>62.82386/-91.86835</t>
  </si>
  <si>
    <t>62.820366/-91.9753504</t>
  </si>
  <si>
    <t>62.86439/-92.01541</t>
  </si>
  <si>
    <t>62.8657/-92.28163</t>
  </si>
  <si>
    <t>62.85592/-92.35782</t>
  </si>
  <si>
    <t>62.88889/-92.1521475</t>
  </si>
  <si>
    <t>62.8731/-91.2736</t>
  </si>
  <si>
    <t>62.78563/-92.12182</t>
  </si>
  <si>
    <t>62.79798/-92.19711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</si>
</sst>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[$-1009]0%"/>
    <numFmt numFmtId="165" formatCode="[$-1009]dd\-mmm"/>
    <numFmt numFmtId="166" formatCode="[$-1009]h&quot;:&quot;mm"/>
    <numFmt numFmtId="167" formatCode="[$-1009]dd\-mmm\-yy"/>
    <numFmt numFmtId="168" formatCode="[$-1009]0"/>
    <numFmt numFmtId="169" formatCode="[$-1009]#,##0"/>
    <numFmt numFmtId="170" formatCode="0.00000"/>
    <numFmt numFmtId="171" formatCode="d\-mmm;@"/>
    <numFmt numFmtId="172" formatCode="[$-1009]General"/>
    <numFmt numFmtId="173" formatCode="[$$-1009]#,##0.00;[Red]&quot;-&quot;[$$-1009]#,##0.00"/>
    <numFmt numFmtId="174" formatCode="[$-F800]dddd\,\ mmmm\ dd\,\ yyyy"/>
    <numFmt numFmtId="175" formatCode="[$-C0C]d\ mmm\ yyyy;@"/>
  </numFmts>
  <fonts count="4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6"/>
      <color theme="1"/>
      <name val="Arial"/>
      <family val="2"/>
    </font>
    <font>
      <sz val="10"/>
      <color rgb="FF000000"/>
      <name val="Arial"/>
      <family val="2"/>
    </font>
    <font>
      <b/>
      <i/>
      <u/>
      <sz val="11"/>
      <color theme="1"/>
      <name val="Arial"/>
      <family val="2"/>
    </font>
    <font>
      <b/>
      <sz val="18"/>
      <color rgb="FF1F497D"/>
      <name val="Cambria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10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DCE6F2"/>
        <bgColor rgb="FFDCE6F2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6E0EC"/>
        <bgColor rgb="FFE6E0EC"/>
      </patternFill>
    </fill>
    <fill>
      <patternFill patternType="solid">
        <fgColor rgb="FFDBEEF4"/>
        <bgColor rgb="FFDBEEF4"/>
      </patternFill>
    </fill>
    <fill>
      <patternFill patternType="solid">
        <fgColor rgb="FFFDEADA"/>
        <bgColor rgb="FFFDEADA"/>
      </patternFill>
    </fill>
    <fill>
      <patternFill patternType="solid">
        <fgColor rgb="FFB9CDE5"/>
        <bgColor rgb="FFB9CDE5"/>
      </patternFill>
    </fill>
    <fill>
      <patternFill patternType="solid">
        <fgColor rgb="FFE6B9B8"/>
        <bgColor rgb="FFE6B9B8"/>
      </patternFill>
    </fill>
    <fill>
      <patternFill patternType="solid">
        <fgColor rgb="FFD7E4BD"/>
        <bgColor rgb="FFD7E4BD"/>
      </patternFill>
    </fill>
    <fill>
      <patternFill patternType="solid">
        <fgColor rgb="FFCCC1DA"/>
        <bgColor rgb="FFCCC1DA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95B3D7"/>
        <bgColor rgb="FF95B3D7"/>
      </patternFill>
    </fill>
    <fill>
      <patternFill patternType="solid">
        <fgColor rgb="FFD99694"/>
        <bgColor rgb="FFD99694"/>
      </patternFill>
    </fill>
    <fill>
      <patternFill patternType="solid">
        <fgColor rgb="FFC3D69B"/>
        <bgColor rgb="FFC3D69B"/>
      </patternFill>
    </fill>
    <fill>
      <patternFill patternType="solid">
        <fgColor rgb="FFB3A2C7"/>
        <bgColor rgb="FFB3A2C7"/>
      </patternFill>
    </fill>
    <fill>
      <patternFill patternType="solid">
        <fgColor rgb="FF93CDDD"/>
        <bgColor rgb="FF93CDDD"/>
      </patternFill>
    </fill>
    <fill>
      <patternFill patternType="solid">
        <fgColor rgb="FFFAC090"/>
        <bgColor rgb="FFFAC090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4F81BD"/>
      </bottom>
      <diagonal/>
    </border>
    <border>
      <left/>
      <right/>
      <top/>
      <bottom style="thin">
        <color rgb="FFA7C0DE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9">
    <xf numFmtId="0" fontId="0" fillId="0" borderId="0"/>
    <xf numFmtId="0" fontId="1" fillId="2" borderId="5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11" borderId="0"/>
    <xf numFmtId="0" fontId="2" fillId="12" borderId="0"/>
    <xf numFmtId="0" fontId="2" fillId="13" borderId="0"/>
    <xf numFmtId="0" fontId="2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0" fontId="3" fillId="20" borderId="0"/>
    <xf numFmtId="0" fontId="3" fillId="21" borderId="0"/>
    <xf numFmtId="0" fontId="3" fillId="22" borderId="0"/>
    <xf numFmtId="0" fontId="3" fillId="23" borderId="0"/>
    <xf numFmtId="0" fontId="3" fillId="24" borderId="0"/>
    <xf numFmtId="0" fontId="3" fillId="25" borderId="0"/>
    <xf numFmtId="0" fontId="3" fillId="26" borderId="0"/>
    <xf numFmtId="0" fontId="4" fillId="27" borderId="0"/>
    <xf numFmtId="0" fontId="5" fillId="28" borderId="1"/>
    <xf numFmtId="0" fontId="6" fillId="29" borderId="4"/>
    <xf numFmtId="0" fontId="7" fillId="0" borderId="0"/>
    <xf numFmtId="0" fontId="8" fillId="30" borderId="0"/>
    <xf numFmtId="0" fontId="9" fillId="0" borderId="6"/>
    <xf numFmtId="0" fontId="10" fillId="0" borderId="7"/>
    <xf numFmtId="0" fontId="11" fillId="0" borderId="8"/>
    <xf numFmtId="0" fontId="11" fillId="0" borderId="0"/>
    <xf numFmtId="0" fontId="12" fillId="31" borderId="1"/>
    <xf numFmtId="0" fontId="13" fillId="0" borderId="3"/>
    <xf numFmtId="0" fontId="14" fillId="32" borderId="0"/>
    <xf numFmtId="0" fontId="15" fillId="28" borderId="2"/>
    <xf numFmtId="0" fontId="16" fillId="0" borderId="9"/>
    <xf numFmtId="0" fontId="17" fillId="0" borderId="0"/>
    <xf numFmtId="0" fontId="18" fillId="0" borderId="0">
      <alignment horizontal="center"/>
    </xf>
    <xf numFmtId="0" fontId="18" fillId="0" borderId="0">
      <alignment horizontal="center" textRotation="90"/>
    </xf>
    <xf numFmtId="172" fontId="19" fillId="0" borderId="0"/>
    <xf numFmtId="172" fontId="2" fillId="0" borderId="0"/>
    <xf numFmtId="172" fontId="2" fillId="0" borderId="0"/>
    <xf numFmtId="0" fontId="20" fillId="0" borderId="0"/>
    <xf numFmtId="173" fontId="20" fillId="0" borderId="0"/>
    <xf numFmtId="0" fontId="21" fillId="0" borderId="0"/>
  </cellStyleXfs>
  <cellXfs count="184">
    <xf numFmtId="0" fontId="0" fillId="0" borderId="0" xfId="0"/>
    <xf numFmtId="172" fontId="22" fillId="33" borderId="10" xfId="43" applyFont="1" applyFill="1" applyBorder="1" applyAlignment="1">
      <alignment vertical="center"/>
    </xf>
    <xf numFmtId="172" fontId="22" fillId="0" borderId="10" xfId="43" applyFont="1" applyBorder="1" applyAlignment="1">
      <alignment horizontal="center" vertical="center"/>
    </xf>
    <xf numFmtId="172" fontId="22" fillId="33" borderId="10" xfId="43" applyFont="1" applyFill="1" applyBorder="1" applyAlignment="1">
      <alignment horizontal="center" vertical="center"/>
    </xf>
    <xf numFmtId="172" fontId="22" fillId="33" borderId="10" xfId="43" applyFont="1" applyFill="1" applyBorder="1" applyAlignment="1">
      <alignment horizontal="left" vertical="center"/>
    </xf>
    <xf numFmtId="172" fontId="22" fillId="0" borderId="11" xfId="43" applyFont="1" applyBorder="1" applyAlignment="1">
      <alignment vertical="center"/>
    </xf>
    <xf numFmtId="172" fontId="22" fillId="0" borderId="12" xfId="43" applyFont="1" applyBorder="1" applyAlignment="1">
      <alignment vertical="center"/>
    </xf>
    <xf numFmtId="172" fontId="19" fillId="0" borderId="0" xfId="43" applyAlignment="1">
      <alignment wrapText="1"/>
    </xf>
    <xf numFmtId="172" fontId="22" fillId="33" borderId="13" xfId="43" applyFont="1" applyFill="1" applyBorder="1" applyAlignment="1">
      <alignment horizontal="center" vertical="center" wrapText="1"/>
    </xf>
    <xf numFmtId="172" fontId="23" fillId="33" borderId="13" xfId="43" applyFont="1" applyFill="1" applyBorder="1" applyAlignment="1">
      <alignment horizontal="center" vertical="center" wrapText="1"/>
    </xf>
    <xf numFmtId="172" fontId="23" fillId="33" borderId="10" xfId="43" applyFont="1" applyFill="1" applyBorder="1" applyAlignment="1">
      <alignment horizontal="center" vertical="center" wrapText="1"/>
    </xf>
    <xf numFmtId="172" fontId="24" fillId="33" borderId="10" xfId="43" applyFont="1" applyFill="1" applyBorder="1" applyAlignment="1">
      <alignment horizontal="center" vertical="center" wrapText="1"/>
    </xf>
    <xf numFmtId="172" fontId="19" fillId="34" borderId="10" xfId="43" applyFill="1" applyBorder="1" applyAlignment="1">
      <alignment horizontal="center" vertical="center" wrapText="1"/>
    </xf>
    <xf numFmtId="172" fontId="19" fillId="34" borderId="10" xfId="43" applyFill="1" applyBorder="1" applyAlignment="1">
      <alignment wrapText="1"/>
    </xf>
    <xf numFmtId="172" fontId="24" fillId="0" borderId="10" xfId="43" applyFont="1" applyBorder="1" applyAlignment="1">
      <alignment horizontal="center"/>
    </xf>
    <xf numFmtId="172" fontId="24" fillId="0" borderId="10" xfId="43" applyFont="1" applyFill="1" applyBorder="1" applyAlignment="1">
      <alignment horizontal="center"/>
    </xf>
    <xf numFmtId="172" fontId="24" fillId="33" borderId="10" xfId="43" applyFont="1" applyFill="1" applyBorder="1" applyAlignment="1">
      <alignment horizontal="center"/>
    </xf>
    <xf numFmtId="172" fontId="24" fillId="33" borderId="13" xfId="43" applyFont="1" applyFill="1" applyBorder="1" applyAlignment="1">
      <alignment horizontal="center"/>
    </xf>
    <xf numFmtId="172" fontId="22" fillId="33" borderId="10" xfId="43" applyFont="1" applyFill="1" applyBorder="1" applyAlignment="1">
      <alignment horizontal="center" vertical="center" wrapText="1"/>
    </xf>
    <xf numFmtId="172" fontId="24" fillId="0" borderId="15" xfId="43" applyFont="1" applyBorder="1" applyAlignment="1">
      <alignment horizontal="center"/>
    </xf>
    <xf numFmtId="172" fontId="24" fillId="0" borderId="15" xfId="43" applyFont="1" applyFill="1" applyBorder="1" applyAlignment="1">
      <alignment horizontal="center"/>
    </xf>
    <xf numFmtId="172" fontId="24" fillId="33" borderId="15" xfId="43" applyFont="1" applyFill="1" applyBorder="1" applyAlignment="1">
      <alignment horizontal="center"/>
    </xf>
    <xf numFmtId="172" fontId="23" fillId="33" borderId="10" xfId="43" applyFont="1" applyFill="1" applyBorder="1" applyAlignment="1">
      <alignment horizontal="center" vertical="center"/>
    </xf>
    <xf numFmtId="172" fontId="22" fillId="33" borderId="14" xfId="43" applyFont="1" applyFill="1" applyBorder="1" applyAlignment="1">
      <alignment vertical="center"/>
    </xf>
    <xf numFmtId="172" fontId="19" fillId="34" borderId="16" xfId="43" applyFill="1" applyBorder="1" applyAlignment="1">
      <alignment wrapText="1"/>
    </xf>
    <xf numFmtId="172" fontId="23" fillId="33" borderId="10" xfId="43" applyFont="1" applyFill="1" applyBorder="1" applyAlignment="1">
      <alignment horizontal="left" vertical="center" wrapText="1"/>
    </xf>
    <xf numFmtId="171" fontId="24" fillId="0" borderId="10" xfId="43" applyNumberFormat="1" applyFont="1" applyBorder="1" applyAlignment="1">
      <alignment horizontal="center"/>
    </xf>
    <xf numFmtId="171" fontId="23" fillId="33" borderId="10" xfId="43" applyNumberFormat="1" applyFont="1" applyFill="1" applyBorder="1" applyAlignment="1">
      <alignment horizontal="center" vertical="center"/>
    </xf>
    <xf numFmtId="172" fontId="23" fillId="33" borderId="10" xfId="43" applyFont="1" applyFill="1" applyBorder="1" applyAlignment="1">
      <alignment horizontal="left" vertical="center"/>
    </xf>
    <xf numFmtId="172" fontId="23" fillId="33" borderId="18" xfId="43" applyFont="1" applyFill="1" applyBorder="1" applyAlignment="1">
      <alignment horizontal="left" vertical="center"/>
    </xf>
    <xf numFmtId="172" fontId="24" fillId="0" borderId="13" xfId="43" applyFont="1" applyBorder="1" applyAlignment="1">
      <alignment horizontal="center"/>
    </xf>
    <xf numFmtId="172" fontId="23" fillId="33" borderId="19" xfId="43" applyFont="1" applyFill="1" applyBorder="1"/>
    <xf numFmtId="172" fontId="23" fillId="33" borderId="17" xfId="43" applyFont="1" applyFill="1" applyBorder="1"/>
    <xf numFmtId="172" fontId="24" fillId="0" borderId="14" xfId="43" applyFont="1" applyBorder="1" applyAlignment="1">
      <alignment horizontal="center"/>
    </xf>
    <xf numFmtId="172" fontId="23" fillId="33" borderId="10" xfId="43" applyFont="1" applyFill="1" applyBorder="1"/>
    <xf numFmtId="171" fontId="23" fillId="0" borderId="10" xfId="43" applyNumberFormat="1" applyFont="1" applyBorder="1" applyAlignment="1">
      <alignment horizontal="center"/>
    </xf>
    <xf numFmtId="172" fontId="23" fillId="33" borderId="20" xfId="43" applyFont="1" applyFill="1" applyBorder="1"/>
    <xf numFmtId="172" fontId="23" fillId="33" borderId="21" xfId="43" applyFont="1" applyFill="1" applyBorder="1"/>
    <xf numFmtId="172" fontId="23" fillId="0" borderId="23" xfId="43" applyFont="1" applyBorder="1" applyAlignment="1">
      <alignment horizontal="left" vertical="center"/>
    </xf>
    <xf numFmtId="172" fontId="23" fillId="33" borderId="23" xfId="43" applyFont="1" applyFill="1" applyBorder="1" applyAlignment="1">
      <alignment horizontal="left" vertical="center"/>
    </xf>
    <xf numFmtId="172" fontId="24" fillId="0" borderId="19" xfId="43" applyFont="1" applyBorder="1" applyAlignment="1">
      <alignment horizontal="center"/>
    </xf>
    <xf numFmtId="172" fontId="23" fillId="33" borderId="10" xfId="43" applyFont="1" applyFill="1" applyBorder="1" applyAlignment="1">
      <alignment vertical="center" wrapText="1"/>
    </xf>
    <xf numFmtId="168" fontId="24" fillId="0" borderId="15" xfId="43" applyNumberFormat="1" applyFont="1" applyBorder="1" applyAlignment="1">
      <alignment horizontal="center"/>
    </xf>
    <xf numFmtId="168" fontId="23" fillId="33" borderId="15" xfId="43" applyNumberFormat="1" applyFont="1" applyFill="1" applyBorder="1" applyAlignment="1">
      <alignment horizontal="center" vertical="center"/>
    </xf>
    <xf numFmtId="172" fontId="23" fillId="33" borderId="19" xfId="43" applyFont="1" applyFill="1" applyBorder="1" applyAlignment="1">
      <alignment horizontal="left" vertical="center"/>
    </xf>
    <xf numFmtId="172" fontId="22" fillId="34" borderId="11" xfId="43" applyFont="1" applyFill="1" applyBorder="1" applyAlignment="1">
      <alignment vertical="center"/>
    </xf>
    <xf numFmtId="165" fontId="24" fillId="0" borderId="10" xfId="43" applyNumberFormat="1" applyFont="1" applyBorder="1" applyAlignment="1">
      <alignment horizontal="center"/>
    </xf>
    <xf numFmtId="165" fontId="23" fillId="0" borderId="23" xfId="43" applyNumberFormat="1" applyFont="1" applyBorder="1" applyAlignment="1">
      <alignment horizontal="left" vertical="center"/>
    </xf>
    <xf numFmtId="172" fontId="23" fillId="33" borderId="0" xfId="43" applyFont="1" applyFill="1" applyBorder="1" applyAlignment="1">
      <alignment horizontal="left" vertical="center"/>
    </xf>
    <xf numFmtId="167" fontId="24" fillId="0" borderId="10" xfId="43" applyNumberFormat="1" applyFont="1" applyBorder="1" applyAlignment="1">
      <alignment horizontal="center"/>
    </xf>
    <xf numFmtId="172" fontId="24" fillId="0" borderId="22" xfId="43" applyFont="1" applyFill="1" applyBorder="1" applyAlignment="1">
      <alignment horizontal="center"/>
    </xf>
    <xf numFmtId="172" fontId="19" fillId="34" borderId="22" xfId="43" applyFont="1" applyFill="1" applyBorder="1" applyAlignment="1">
      <alignment horizontal="center" vertical="center" wrapText="1"/>
    </xf>
    <xf numFmtId="172" fontId="19" fillId="0" borderId="0" xfId="43" applyFont="1" applyAlignment="1">
      <alignment wrapText="1"/>
    </xf>
    <xf numFmtId="164" fontId="0" fillId="0" borderId="0" xfId="0" applyNumberFormat="1"/>
    <xf numFmtId="49" fontId="19" fillId="0" borderId="0" xfId="43" applyNumberFormat="1" applyFont="1" applyAlignment="1">
      <alignment wrapText="1"/>
    </xf>
    <xf numFmtId="165" fontId="23" fillId="33" borderId="23" xfId="43" applyNumberFormat="1" applyFont="1" applyFill="1" applyBorder="1" applyAlignment="1">
      <alignment horizontal="left" vertical="center"/>
    </xf>
    <xf numFmtId="172" fontId="24" fillId="35" borderId="10" xfId="43" applyFont="1" applyFill="1" applyBorder="1" applyAlignment="1">
      <alignment horizontal="center"/>
    </xf>
    <xf numFmtId="172" fontId="22" fillId="35" borderId="10" xfId="43" applyFont="1" applyFill="1" applyBorder="1" applyAlignment="1">
      <alignment horizontal="center" vertical="center" wrapText="1"/>
    </xf>
    <xf numFmtId="165" fontId="23" fillId="35" borderId="10" xfId="43" applyNumberFormat="1" applyFont="1" applyFill="1" applyBorder="1" applyAlignment="1">
      <alignment horizontal="center" vertical="center" wrapText="1"/>
    </xf>
    <xf numFmtId="172" fontId="23" fillId="35" borderId="10" xfId="43" applyFont="1" applyFill="1" applyBorder="1" applyAlignment="1">
      <alignment horizontal="center" vertical="center" wrapText="1"/>
    </xf>
    <xf numFmtId="0" fontId="0" fillId="35" borderId="0" xfId="0" applyFill="1"/>
    <xf numFmtId="49" fontId="23" fillId="35" borderId="10" xfId="43" applyNumberFormat="1" applyFont="1" applyFill="1" applyBorder="1" applyAlignment="1">
      <alignment horizontal="center" vertical="center" wrapText="1"/>
    </xf>
    <xf numFmtId="172" fontId="23" fillId="35" borderId="15" xfId="43" applyFont="1" applyFill="1" applyBorder="1" applyAlignment="1">
      <alignment horizontal="center" vertical="center" wrapText="1"/>
    </xf>
    <xf numFmtId="172" fontId="23" fillId="35" borderId="19" xfId="43" applyFont="1" applyFill="1" applyBorder="1" applyAlignment="1">
      <alignment horizontal="center" vertical="center" wrapText="1"/>
    </xf>
    <xf numFmtId="172" fontId="19" fillId="35" borderId="17" xfId="43" applyFill="1" applyBorder="1" applyAlignment="1">
      <alignment wrapText="1"/>
    </xf>
    <xf numFmtId="172" fontId="19" fillId="35" borderId="23" xfId="43" applyFill="1" applyBorder="1" applyAlignment="1">
      <alignment wrapText="1"/>
    </xf>
    <xf numFmtId="172" fontId="23" fillId="35" borderId="14" xfId="43" applyFont="1" applyFill="1" applyBorder="1" applyAlignment="1">
      <alignment horizontal="center" vertical="center" wrapText="1"/>
    </xf>
    <xf numFmtId="172" fontId="19" fillId="35" borderId="11" xfId="43" applyFill="1" applyBorder="1" applyAlignment="1">
      <alignment wrapText="1"/>
    </xf>
    <xf numFmtId="172" fontId="19" fillId="35" borderId="0" xfId="43" applyFill="1" applyBorder="1" applyAlignment="1">
      <alignment horizontal="center" vertical="center" wrapText="1"/>
    </xf>
    <xf numFmtId="172" fontId="19" fillId="35" borderId="0" xfId="43" applyFill="1" applyBorder="1" applyAlignment="1">
      <alignment wrapText="1"/>
    </xf>
    <xf numFmtId="172" fontId="22" fillId="0" borderId="23" xfId="43" applyFont="1" applyBorder="1" applyAlignment="1">
      <alignment horizontal="left" vertical="center"/>
    </xf>
    <xf numFmtId="172" fontId="24" fillId="0" borderId="0" xfId="43" applyFont="1" applyBorder="1" applyAlignment="1">
      <alignment horizontal="center"/>
    </xf>
    <xf numFmtId="172" fontId="24" fillId="0" borderId="0" xfId="43" applyFont="1" applyFill="1" applyBorder="1" applyAlignment="1">
      <alignment horizontal="center"/>
    </xf>
    <xf numFmtId="172" fontId="24" fillId="33" borderId="0" xfId="43" applyFont="1" applyFill="1" applyBorder="1" applyAlignment="1">
      <alignment horizontal="center"/>
    </xf>
    <xf numFmtId="172" fontId="24" fillId="33" borderId="16" xfId="43" applyFont="1" applyFill="1" applyBorder="1" applyAlignment="1">
      <alignment horizontal="center"/>
    </xf>
    <xf numFmtId="172" fontId="24" fillId="0" borderId="16" xfId="43" applyFont="1" applyBorder="1" applyAlignment="1">
      <alignment horizontal="center"/>
    </xf>
    <xf numFmtId="172" fontId="24" fillId="33" borderId="23" xfId="43" applyFont="1" applyFill="1" applyBorder="1" applyAlignment="1">
      <alignment horizontal="center"/>
    </xf>
    <xf numFmtId="172" fontId="2" fillId="0" borderId="0" xfId="43" applyFont="1" applyAlignment="1">
      <alignment horizontal="center"/>
    </xf>
    <xf numFmtId="166" fontId="24" fillId="0" borderId="10" xfId="43" applyNumberFormat="1" applyFont="1" applyBorder="1" applyAlignment="1">
      <alignment horizontal="center"/>
    </xf>
    <xf numFmtId="172" fontId="19" fillId="0" borderId="0" xfId="43" applyBorder="1" applyAlignment="1">
      <alignment wrapText="1"/>
    </xf>
    <xf numFmtId="172" fontId="23" fillId="33" borderId="0" xfId="43" applyFont="1" applyFill="1" applyBorder="1" applyAlignment="1">
      <alignment horizontal="center" vertical="center"/>
    </xf>
    <xf numFmtId="172" fontId="19" fillId="0" borderId="10" xfId="43" applyBorder="1" applyAlignment="1">
      <alignment wrapText="1"/>
    </xf>
    <xf numFmtId="172" fontId="23" fillId="33" borderId="16" xfId="43" applyFont="1" applyFill="1" applyBorder="1"/>
    <xf numFmtId="172" fontId="24" fillId="0" borderId="10" xfId="43" applyFont="1" applyBorder="1" applyAlignment="1">
      <alignment horizontal="center" wrapText="1"/>
    </xf>
    <xf numFmtId="172" fontId="23" fillId="33" borderId="0" xfId="43" applyFont="1" applyFill="1" applyBorder="1"/>
    <xf numFmtId="172" fontId="2" fillId="0" borderId="0" xfId="45" applyFont="1"/>
    <xf numFmtId="165" fontId="0" fillId="0" borderId="0" xfId="0" applyNumberFormat="1"/>
    <xf numFmtId="172" fontId="23" fillId="0" borderId="17" xfId="43" applyFont="1" applyBorder="1" applyAlignment="1">
      <alignment horizontal="left" vertical="center"/>
    </xf>
    <xf numFmtId="165" fontId="0" fillId="0" borderId="10" xfId="0" applyNumberFormat="1" applyBorder="1"/>
    <xf numFmtId="0" fontId="0" fillId="0" borderId="10" xfId="0" applyBorder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23" fillId="34" borderId="23" xfId="43" applyNumberFormat="1" applyFont="1" applyFill="1" applyBorder="1" applyAlignment="1">
      <alignment horizontal="left" vertical="center"/>
    </xf>
    <xf numFmtId="172" fontId="23" fillId="34" borderId="23" xfId="43" applyFont="1" applyFill="1" applyBorder="1" applyAlignment="1">
      <alignment horizontal="left" vertical="center"/>
    </xf>
    <xf numFmtId="169" fontId="0" fillId="0" borderId="0" xfId="0" applyNumberFormat="1"/>
    <xf numFmtId="172" fontId="19" fillId="34" borderId="22" xfId="43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6" fillId="0" borderId="0" xfId="0" applyFont="1" applyBorder="1" applyAlignment="1">
      <alignment horizontal="right" vertical="center" wrapText="1"/>
    </xf>
    <xf numFmtId="14" fontId="24" fillId="0" borderId="10" xfId="43" applyNumberFormat="1" applyFont="1" applyBorder="1" applyAlignment="1">
      <alignment horizontal="center"/>
    </xf>
    <xf numFmtId="174" fontId="24" fillId="0" borderId="10" xfId="43" applyNumberFormat="1" applyFont="1" applyBorder="1" applyAlignment="1">
      <alignment horizontal="center"/>
    </xf>
    <xf numFmtId="172" fontId="19" fillId="34" borderId="14" xfId="43" applyFill="1" applyBorder="1" applyAlignment="1">
      <alignment horizontal="center" vertical="center" wrapText="1"/>
    </xf>
    <xf numFmtId="0" fontId="0" fillId="36" borderId="25" xfId="0" applyFill="1" applyBorder="1"/>
    <xf numFmtId="175" fontId="24" fillId="0" borderId="10" xfId="43" applyNumberFormat="1" applyFont="1" applyBorder="1" applyAlignment="1">
      <alignment horizontal="center"/>
    </xf>
    <xf numFmtId="14" fontId="24" fillId="0" borderId="14" xfId="43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0" borderId="25" xfId="0" applyFont="1" applyBorder="1" applyAlignment="1">
      <alignment horizontal="center"/>
    </xf>
    <xf numFmtId="0" fontId="0" fillId="0" borderId="25" xfId="0" applyBorder="1"/>
    <xf numFmtId="172" fontId="39" fillId="0" borderId="0" xfId="43" applyFont="1" applyAlignment="1">
      <alignment wrapText="1"/>
    </xf>
    <xf numFmtId="0" fontId="41" fillId="0" borderId="0" xfId="0" applyFont="1"/>
    <xf numFmtId="172" fontId="23" fillId="33" borderId="15" xfId="43" applyFont="1" applyFill="1" applyBorder="1" applyAlignment="1">
      <alignment horizontal="center" vertical="center"/>
    </xf>
    <xf numFmtId="172" fontId="24" fillId="0" borderId="10" xfId="43" applyFont="1" applyFill="1" applyBorder="1" applyAlignment="1">
      <alignment horizontal="center"/>
    </xf>
    <xf numFmtId="172" fontId="23" fillId="0" borderId="10" xfId="43" applyFont="1" applyFill="1" applyBorder="1" applyAlignment="1">
      <alignment horizontal="center" vertical="center"/>
    </xf>
    <xf numFmtId="172" fontId="23" fillId="0" borderId="14" xfId="43" applyFont="1" applyFill="1" applyBorder="1" applyAlignment="1">
      <alignment horizontal="center"/>
    </xf>
    <xf numFmtId="172" fontId="23" fillId="33" borderId="13" xfId="43" applyFont="1" applyFill="1" applyBorder="1" applyAlignment="1">
      <alignment horizontal="center" vertical="center"/>
    </xf>
    <xf numFmtId="172" fontId="23" fillId="33" borderId="10" xfId="43" applyFont="1" applyFill="1" applyBorder="1" applyAlignment="1">
      <alignment horizontal="center" vertical="center"/>
    </xf>
    <xf numFmtId="172" fontId="24" fillId="33" borderId="10" xfId="43" applyFont="1" applyFill="1" applyBorder="1" applyAlignment="1">
      <alignment horizontal="center"/>
    </xf>
    <xf numFmtId="172" fontId="23" fillId="33" borderId="14" xfId="43" applyFont="1" applyFill="1" applyBorder="1" applyAlignment="1">
      <alignment horizontal="center"/>
    </xf>
    <xf numFmtId="168" fontId="23" fillId="0" borderId="10" xfId="43" applyNumberFormat="1" applyFont="1" applyFill="1" applyBorder="1" applyAlignment="1">
      <alignment horizontal="center"/>
    </xf>
    <xf numFmtId="168" fontId="23" fillId="0" borderId="14" xfId="43" applyNumberFormat="1" applyFont="1" applyFill="1" applyBorder="1" applyAlignment="1">
      <alignment horizontal="center"/>
    </xf>
    <xf numFmtId="168" fontId="24" fillId="0" borderId="10" xfId="43" applyNumberFormat="1" applyFont="1" applyFill="1" applyBorder="1" applyAlignment="1">
      <alignment horizontal="center"/>
    </xf>
    <xf numFmtId="172" fontId="23" fillId="33" borderId="10" xfId="43" applyFont="1" applyFill="1" applyBorder="1" applyAlignment="1">
      <alignment horizontal="center" vertical="center" wrapText="1"/>
    </xf>
    <xf numFmtId="172" fontId="22" fillId="33" borderId="11" xfId="43" applyFont="1" applyFill="1" applyBorder="1" applyAlignment="1">
      <alignment horizontal="center" vertical="center"/>
    </xf>
    <xf numFmtId="172" fontId="24" fillId="33" borderId="10" xfId="43" applyFont="1" applyFill="1" applyBorder="1" applyAlignment="1">
      <alignment horizontal="center" vertical="center"/>
    </xf>
    <xf numFmtId="172" fontId="24" fillId="33" borderId="15" xfId="43" applyFont="1" applyFill="1" applyBorder="1" applyAlignment="1">
      <alignment horizontal="center"/>
    </xf>
    <xf numFmtId="0" fontId="0" fillId="0" borderId="17" xfId="0" applyFill="1" applyBorder="1"/>
    <xf numFmtId="172" fontId="24" fillId="33" borderId="14" xfId="43" applyFont="1" applyFill="1" applyBorder="1" applyAlignment="1">
      <alignment horizontal="center"/>
    </xf>
    <xf numFmtId="172" fontId="22" fillId="33" borderId="10" xfId="43" applyFont="1" applyFill="1" applyBorder="1" applyAlignment="1">
      <alignment horizontal="center" vertical="center"/>
    </xf>
    <xf numFmtId="172" fontId="24" fillId="0" borderId="10" xfId="43" applyFont="1" applyFill="1" applyBorder="1" applyAlignment="1">
      <alignment horizontal="center" vertical="center"/>
    </xf>
    <xf numFmtId="172" fontId="23" fillId="33" borderId="15" xfId="43" applyFont="1" applyFill="1" applyBorder="1" applyAlignment="1">
      <alignment horizontal="center"/>
    </xf>
    <xf numFmtId="172" fontId="23" fillId="0" borderId="13" xfId="43" applyFont="1" applyFill="1" applyBorder="1" applyAlignment="1">
      <alignment horizontal="center" vertical="top"/>
    </xf>
    <xf numFmtId="168" fontId="23" fillId="0" borderId="10" xfId="43" applyNumberFormat="1" applyFont="1" applyFill="1" applyBorder="1" applyAlignment="1">
      <alignment horizontal="center" vertical="center"/>
    </xf>
    <xf numFmtId="172" fontId="23" fillId="33" borderId="10" xfId="43" applyFont="1" applyFill="1" applyBorder="1" applyAlignment="1">
      <alignment horizontal="center" vertical="top"/>
    </xf>
    <xf numFmtId="172" fontId="23" fillId="0" borderId="22" xfId="43" applyFont="1" applyFill="1" applyBorder="1" applyAlignment="1">
      <alignment horizontal="center" vertical="top"/>
    </xf>
    <xf numFmtId="172" fontId="22" fillId="33" borderId="17" xfId="43" applyFont="1" applyFill="1" applyBorder="1" applyAlignment="1">
      <alignment horizontal="center" vertical="center"/>
    </xf>
    <xf numFmtId="172" fontId="24" fillId="0" borderId="13" xfId="43" applyFont="1" applyFill="1" applyBorder="1" applyAlignment="1">
      <alignment horizontal="center" vertical="center"/>
    </xf>
    <xf numFmtId="172" fontId="23" fillId="0" borderId="13" xfId="43" applyFont="1" applyFill="1" applyBorder="1" applyAlignment="1">
      <alignment horizontal="center" vertical="center"/>
    </xf>
    <xf numFmtId="172" fontId="24" fillId="0" borderId="13" xfId="43" applyFont="1" applyFill="1" applyBorder="1" applyAlignment="1">
      <alignment horizontal="center"/>
    </xf>
    <xf numFmtId="172" fontId="23" fillId="33" borderId="10" xfId="43" applyFont="1" applyFill="1" applyBorder="1" applyAlignment="1">
      <alignment horizontal="center"/>
    </xf>
    <xf numFmtId="172" fontId="23" fillId="0" borderId="15" xfId="43" applyFont="1" applyFill="1" applyBorder="1" applyAlignment="1">
      <alignment horizontal="center" vertical="top"/>
    </xf>
    <xf numFmtId="0" fontId="0" fillId="0" borderId="10" xfId="0" applyFill="1" applyBorder="1"/>
    <xf numFmtId="172" fontId="22" fillId="33" borderId="10" xfId="43" applyFont="1" applyFill="1" applyBorder="1" applyAlignment="1">
      <alignment horizontal="left" vertical="center"/>
    </xf>
    <xf numFmtId="0" fontId="0" fillId="0" borderId="11" xfId="0" applyFill="1" applyBorder="1"/>
    <xf numFmtId="172" fontId="23" fillId="33" borderId="13" xfId="43" applyFont="1" applyFill="1" applyBorder="1" applyAlignment="1">
      <alignment horizontal="center" vertical="center" wrapText="1"/>
    </xf>
    <xf numFmtId="172" fontId="23" fillId="33" borderId="14" xfId="43" applyFont="1" applyFill="1" applyBorder="1" applyAlignment="1">
      <alignment horizontal="center" vertical="center" wrapText="1"/>
    </xf>
    <xf numFmtId="0" fontId="0" fillId="33" borderId="10" xfId="0" applyFill="1" applyBorder="1"/>
    <xf numFmtId="0" fontId="0" fillId="33" borderId="14" xfId="0" applyFill="1" applyBorder="1"/>
    <xf numFmtId="0" fontId="0" fillId="33" borderId="15" xfId="0" applyFill="1" applyBorder="1"/>
    <xf numFmtId="172" fontId="22" fillId="0" borderId="17" xfId="43" applyFont="1" applyFill="1" applyBorder="1" applyAlignment="1">
      <alignment horizontal="left" vertical="top" wrapText="1"/>
    </xf>
    <xf numFmtId="172" fontId="22" fillId="0" borderId="10" xfId="43" applyFont="1" applyFill="1" applyBorder="1" applyAlignment="1">
      <alignment horizontal="center" vertical="center"/>
    </xf>
    <xf numFmtId="172" fontId="22" fillId="0" borderId="11" xfId="43" applyFont="1" applyFill="1" applyBorder="1" applyAlignment="1">
      <alignment horizontal="center" vertical="center"/>
    </xf>
    <xf numFmtId="0" fontId="0" fillId="0" borderId="14" xfId="0" applyFill="1" applyBorder="1"/>
    <xf numFmtId="0" fontId="40" fillId="0" borderId="10" xfId="0" applyFont="1" applyFill="1" applyBorder="1" applyAlignment="1">
      <alignment horizontal="center"/>
    </xf>
    <xf numFmtId="172" fontId="23" fillId="0" borderId="17" xfId="43" applyFont="1" applyFill="1" applyBorder="1" applyAlignment="1">
      <alignment horizontal="left" vertical="top" wrapText="1"/>
    </xf>
    <xf numFmtId="0" fontId="38" fillId="36" borderId="25" xfId="0" applyFont="1" applyFill="1" applyBorder="1" applyAlignment="1">
      <alignment horizontal="center"/>
    </xf>
    <xf numFmtId="172" fontId="23" fillId="33" borderId="22" xfId="43" applyFont="1" applyFill="1" applyBorder="1" applyAlignment="1">
      <alignment horizontal="center" vertical="center"/>
    </xf>
    <xf numFmtId="172" fontId="22" fillId="35" borderId="10" xfId="43" applyFont="1" applyFill="1" applyBorder="1" applyAlignment="1">
      <alignment horizontal="center" vertical="center"/>
    </xf>
    <xf numFmtId="167" fontId="22" fillId="0" borderId="17" xfId="43" applyNumberFormat="1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72" fontId="24" fillId="0" borderId="14" xfId="43" applyFont="1" applyFill="1" applyBorder="1" applyAlignment="1">
      <alignment horizontal="center"/>
    </xf>
    <xf numFmtId="0" fontId="0" fillId="33" borderId="19" xfId="0" applyFill="1" applyBorder="1"/>
    <xf numFmtId="172" fontId="22" fillId="33" borderId="23" xfId="43" applyFont="1" applyFill="1" applyBorder="1" applyAlignment="1">
      <alignment horizontal="center" vertical="center"/>
    </xf>
    <xf numFmtId="168" fontId="23" fillId="0" borderId="14" xfId="43" applyNumberFormat="1" applyFont="1" applyFill="1" applyBorder="1" applyAlignment="1">
      <alignment horizontal="center" vertical="center"/>
    </xf>
    <xf numFmtId="172" fontId="24" fillId="0" borderId="24" xfId="43" applyFont="1" applyFill="1" applyBorder="1" applyAlignment="1">
      <alignment horizontal="center"/>
    </xf>
    <xf numFmtId="172" fontId="22" fillId="0" borderId="10" xfId="43" applyFont="1" applyFill="1" applyBorder="1" applyAlignment="1">
      <alignment horizontal="center" vertical="center" wrapText="1"/>
    </xf>
    <xf numFmtId="172" fontId="24" fillId="0" borderId="23" xfId="43" applyFont="1" applyFill="1" applyBorder="1" applyAlignment="1">
      <alignment horizontal="center"/>
    </xf>
    <xf numFmtId="172" fontId="23" fillId="0" borderId="10" xfId="43" applyFont="1" applyFill="1" applyBorder="1" applyAlignment="1">
      <alignment horizontal="center"/>
    </xf>
    <xf numFmtId="172" fontId="24" fillId="0" borderId="15" xfId="43" applyFont="1" applyFill="1" applyBorder="1" applyAlignment="1">
      <alignment horizontal="center"/>
    </xf>
    <xf numFmtId="172" fontId="23" fillId="0" borderId="15" xfId="43" applyFont="1" applyFill="1" applyBorder="1" applyAlignment="1">
      <alignment horizontal="center" vertical="center"/>
    </xf>
    <xf numFmtId="172" fontId="23" fillId="0" borderId="19" xfId="43" applyFont="1" applyFill="1" applyBorder="1" applyAlignment="1">
      <alignment horizontal="center"/>
    </xf>
    <xf numFmtId="172" fontId="24" fillId="34" borderId="10" xfId="43" applyFont="1" applyFill="1" applyBorder="1" applyAlignment="1">
      <alignment horizontal="center"/>
    </xf>
    <xf numFmtId="172" fontId="23" fillId="34" borderId="10" xfId="43" applyFont="1" applyFill="1" applyBorder="1" applyAlignment="1">
      <alignment horizontal="center" vertical="center"/>
    </xf>
    <xf numFmtId="172" fontId="23" fillId="34" borderId="14" xfId="43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3" xfId="0" applyFill="1" applyBorder="1"/>
    <xf numFmtId="0" fontId="19" fillId="0" borderId="26" xfId="0" applyFont="1" applyBorder="1"/>
    <xf numFmtId="0" fontId="0" fillId="0" borderId="26" xfId="0" applyFont="1" applyBorder="1"/>
    <xf numFmtId="0" fontId="0" fillId="0" borderId="23" xfId="0" applyFill="1" applyBorder="1"/>
    <xf numFmtId="0" fontId="0" fillId="37" borderId="26" xfId="0" applyFont="1" applyFill="1" applyBorder="1"/>
    <xf numFmtId="0" fontId="0" fillId="0" borderId="26" xfId="0" applyFont="1" applyFill="1" applyBorder="1"/>
  </cellXfs>
  <cellStyles count="49">
    <cellStyle name="Commentaire 2" xfId="1"/>
    <cellStyle name="Excel Built-in 20% - Accent1" xfId="2"/>
    <cellStyle name="Excel Built-in 20% - Accent2" xfId="3"/>
    <cellStyle name="Excel Built-in 20% - Accent3" xfId="4"/>
    <cellStyle name="Excel Built-in 20% - Accent4" xfId="5"/>
    <cellStyle name="Excel Built-in 20% - Accent5" xfId="6"/>
    <cellStyle name="Excel Built-in 20% - Accent6" xfId="7"/>
    <cellStyle name="Excel Built-in 40% - Accent1" xfId="8"/>
    <cellStyle name="Excel Built-in 40% - Accent2" xfId="9"/>
    <cellStyle name="Excel Built-in 40% - Accent3" xfId="10"/>
    <cellStyle name="Excel Built-in 40% - Accent4" xfId="11"/>
    <cellStyle name="Excel Built-in 40% - Accent5" xfId="12"/>
    <cellStyle name="Excel Built-in 40% - Accent6" xfId="13"/>
    <cellStyle name="Excel Built-in 60% - Accent1" xfId="14"/>
    <cellStyle name="Excel Built-in 60% - Accent2" xfId="15"/>
    <cellStyle name="Excel Built-in 60% - Accent3" xfId="16"/>
    <cellStyle name="Excel Built-in 60% - Accent4" xfId="17"/>
    <cellStyle name="Excel Built-in 60% - Accent5" xfId="18"/>
    <cellStyle name="Excel Built-in 60% - Accent6" xfId="19"/>
    <cellStyle name="Excel Built-in Accent1" xfId="20"/>
    <cellStyle name="Excel Built-in Accent2" xfId="21"/>
    <cellStyle name="Excel Built-in Accent3" xfId="22"/>
    <cellStyle name="Excel Built-in Accent4" xfId="23"/>
    <cellStyle name="Excel Built-in Accent5" xfId="24"/>
    <cellStyle name="Excel Built-in Accent6" xfId="25"/>
    <cellStyle name="Excel Built-in Bad" xfId="26"/>
    <cellStyle name="Excel Built-in Calculation" xfId="27"/>
    <cellStyle name="Excel Built-in Check Cell" xfId="28"/>
    <cellStyle name="Excel Built-in Explanatory Text" xfId="29"/>
    <cellStyle name="Excel Built-in Good" xfId="30"/>
    <cellStyle name="Excel Built-in Heading 1" xfId="31"/>
    <cellStyle name="Excel Built-in Heading 2" xfId="32"/>
    <cellStyle name="Excel Built-in Heading 3" xfId="33"/>
    <cellStyle name="Excel Built-in Heading 4" xfId="34"/>
    <cellStyle name="Excel Built-in Input" xfId="35"/>
    <cellStyle name="Excel Built-in Linked Cell" xfId="36"/>
    <cellStyle name="Excel Built-in Neutral" xfId="37"/>
    <cellStyle name="Excel Built-in Output" xfId="38"/>
    <cellStyle name="Excel Built-in Total" xfId="39"/>
    <cellStyle name="Excel Built-in Warning Text" xfId="40"/>
    <cellStyle name="Heading" xfId="41"/>
    <cellStyle name="Heading1" xfId="42"/>
    <cellStyle name="Normal" xfId="0" builtinId="0" customBuiltin="1"/>
    <cellStyle name="Normal 2" xfId="43"/>
    <cellStyle name="Normal 2 2" xfId="44"/>
    <cellStyle name="Normal 3" xfId="45"/>
    <cellStyle name="Result" xfId="46"/>
    <cellStyle name="Result2" xfId="47"/>
    <cellStyle name="Title 2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2015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27"/>
      <c r="S15" s="127"/>
      <c r="T15" s="127"/>
      <c r="U15" s="127"/>
      <c r="V15" s="127"/>
      <c r="W15" s="127"/>
      <c r="X15" s="127"/>
      <c r="Y15" s="127"/>
      <c r="Z15" s="127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27"/>
      <c r="S16" s="127"/>
      <c r="T16" s="127"/>
      <c r="U16" s="127"/>
      <c r="V16" s="127"/>
      <c r="W16" s="127"/>
      <c r="X16" s="127"/>
      <c r="Y16" s="127"/>
      <c r="Z16" s="127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27"/>
      <c r="S27" s="127"/>
      <c r="T27" s="127"/>
      <c r="U27" s="127"/>
      <c r="V27" s="127"/>
      <c r="W27" s="127"/>
      <c r="X27" s="127"/>
      <c r="Y27" s="127"/>
      <c r="Z27" s="127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9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9.5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.2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1</v>
      </c>
      <c r="E1" s="1" t="s">
        <v>2</v>
      </c>
      <c r="F1" s="2">
        <v>1</v>
      </c>
      <c r="G1" s="3" t="s">
        <v>3</v>
      </c>
      <c r="H1" s="2"/>
      <c r="I1" s="129" t="s">
        <v>4</v>
      </c>
      <c r="J1" s="129"/>
      <c r="K1" s="151" t="s">
        <v>89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46">
        <v>42523</v>
      </c>
      <c r="C3" s="14" t="s">
        <v>93</v>
      </c>
      <c r="D3" s="14" t="s">
        <v>94</v>
      </c>
      <c r="E3" s="14">
        <v>220612796</v>
      </c>
      <c r="F3" s="14" t="s">
        <v>95</v>
      </c>
      <c r="G3" s="14" t="s">
        <v>96</v>
      </c>
      <c r="H3" s="14" t="s">
        <v>33</v>
      </c>
      <c r="I3" s="14" t="s">
        <v>33</v>
      </c>
      <c r="J3" s="15">
        <v>720</v>
      </c>
      <c r="K3" s="14">
        <v>4</v>
      </c>
      <c r="M3" s="15" t="s">
        <v>33</v>
      </c>
      <c r="N3" s="14">
        <v>316</v>
      </c>
      <c r="O3" s="14">
        <v>129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97</v>
      </c>
      <c r="V3" s="14" t="s">
        <v>98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46">
        <v>42542</v>
      </c>
      <c r="C5" s="14" t="s">
        <v>33</v>
      </c>
      <c r="D5" s="14" t="s">
        <v>33</v>
      </c>
      <c r="E5" s="14" t="s">
        <v>33</v>
      </c>
      <c r="F5" s="14" t="s">
        <v>99</v>
      </c>
      <c r="G5" s="14" t="s">
        <v>100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42529</v>
      </c>
      <c r="D7" s="26">
        <v>42531</v>
      </c>
      <c r="E7" s="26">
        <v>42533</v>
      </c>
      <c r="F7" s="26">
        <v>42535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42567</v>
      </c>
      <c r="J8" s="133">
        <v>2</v>
      </c>
      <c r="K8" s="133"/>
      <c r="L8" s="133">
        <v>2</v>
      </c>
      <c r="M8" s="133"/>
      <c r="N8" s="133">
        <v>1</v>
      </c>
      <c r="O8" s="133"/>
      <c r="P8" s="133" t="s">
        <v>105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47</v>
      </c>
      <c r="K9" s="130"/>
      <c r="L9" s="114">
        <v>46</v>
      </c>
      <c r="M9" s="114"/>
      <c r="N9" s="114">
        <v>36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42573</v>
      </c>
      <c r="J11" s="133">
        <v>8</v>
      </c>
      <c r="K11" s="133"/>
      <c r="L11" s="133">
        <v>8</v>
      </c>
      <c r="M11" s="133"/>
      <c r="N11" s="133">
        <v>7</v>
      </c>
      <c r="O11" s="133"/>
      <c r="P11" s="122">
        <v>5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169</v>
      </c>
      <c r="K12" s="130"/>
      <c r="L12" s="114">
        <v>182</v>
      </c>
      <c r="M12" s="114"/>
      <c r="N12" s="114">
        <v>142</v>
      </c>
      <c r="O12" s="114"/>
      <c r="P12" s="113">
        <v>53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106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42565</v>
      </c>
      <c r="D16" s="26">
        <v>42565</v>
      </c>
      <c r="E16" s="26">
        <v>42566</v>
      </c>
      <c r="F16" s="26">
        <v>42568</v>
      </c>
      <c r="G16" s="27" t="e">
        <f>{#DIV/0!}</f>
        <v>#DIV/0!</v>
      </c>
      <c r="H16" s="28" t="s">
        <v>74</v>
      </c>
      <c r="I16" s="35">
        <v>42578</v>
      </c>
      <c r="J16" s="120">
        <v>13</v>
      </c>
      <c r="K16" s="120"/>
      <c r="L16" s="120">
        <v>13</v>
      </c>
      <c r="M16" s="120"/>
      <c r="N16" s="121">
        <v>12</v>
      </c>
      <c r="O16" s="121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374</v>
      </c>
      <c r="K17" s="113"/>
      <c r="L17" s="114">
        <v>388</v>
      </c>
      <c r="M17" s="114"/>
      <c r="N17" s="115">
        <v>323</v>
      </c>
      <c r="O17" s="115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18" t="s">
        <v>108</v>
      </c>
      <c r="K18" s="118"/>
      <c r="L18" s="117" t="s">
        <v>109</v>
      </c>
      <c r="M18" s="117"/>
      <c r="N18" s="119" t="s">
        <v>110</v>
      </c>
      <c r="O18" s="119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18">
        <v>1</v>
      </c>
      <c r="K19" s="118"/>
      <c r="L19" s="117">
        <v>0</v>
      </c>
      <c r="M19" s="117"/>
      <c r="N19" s="119">
        <v>0</v>
      </c>
      <c r="O19" s="119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112</v>
      </c>
      <c r="D20" s="30" t="s">
        <v>112</v>
      </c>
      <c r="E20" s="30" t="s">
        <v>113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116</v>
      </c>
      <c r="F21" s="14" t="s">
        <v>33</v>
      </c>
      <c r="G21" s="14" t="s">
        <v>33</v>
      </c>
      <c r="H21" s="44" t="s">
        <v>80</v>
      </c>
      <c r="I21" s="35">
        <v>42583</v>
      </c>
      <c r="J21" s="120">
        <v>18</v>
      </c>
      <c r="K21" s="120"/>
      <c r="L21" s="120">
        <v>18</v>
      </c>
      <c r="M21" s="120"/>
      <c r="N21" s="121">
        <v>17</v>
      </c>
      <c r="O21" s="121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42588</v>
      </c>
      <c r="D22" s="46">
        <v>42588</v>
      </c>
      <c r="E22" s="46">
        <v>42588</v>
      </c>
      <c r="F22" s="14" t="s">
        <v>33</v>
      </c>
      <c r="G22" s="33" t="s">
        <v>33</v>
      </c>
      <c r="H22" s="28" t="s">
        <v>82</v>
      </c>
      <c r="I22" s="38"/>
      <c r="J22" s="113">
        <v>500</v>
      </c>
      <c r="K22" s="113"/>
      <c r="L22" s="114">
        <v>530</v>
      </c>
      <c r="M22" s="114"/>
      <c r="N22" s="115">
        <v>480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115624018</v>
      </c>
      <c r="D23" s="14">
        <v>115624017</v>
      </c>
      <c r="E23" s="14">
        <v>115624019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117</v>
      </c>
      <c r="E25" s="14" t="s">
        <v>117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44" t="s">
        <v>118</v>
      </c>
      <c r="I26" s="47">
        <v>42588</v>
      </c>
      <c r="J26" s="113">
        <v>23</v>
      </c>
      <c r="K26" s="113"/>
      <c r="L26" s="114">
        <v>23</v>
      </c>
      <c r="M26" s="114"/>
      <c r="N26" s="115">
        <v>22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119</v>
      </c>
      <c r="I27" s="38"/>
      <c r="J27" s="113">
        <v>424</v>
      </c>
      <c r="K27" s="113"/>
      <c r="L27" s="114">
        <v>447</v>
      </c>
      <c r="M27" s="114"/>
      <c r="N27" s="115">
        <v>402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47">
        <v>42593</v>
      </c>
      <c r="J28" s="113">
        <v>28</v>
      </c>
      <c r="K28" s="113"/>
      <c r="L28" s="114">
        <v>28</v>
      </c>
      <c r="M28" s="114"/>
      <c r="N28" s="115">
        <v>27</v>
      </c>
      <c r="O28" s="115"/>
    </row>
    <row r="29" spans="1:26" x14ac:dyDescent="0.2">
      <c r="H29" s="28" t="s">
        <v>121</v>
      </c>
      <c r="I29" s="38"/>
      <c r="J29" s="113">
        <v>567</v>
      </c>
      <c r="K29" s="113"/>
      <c r="L29" s="114">
        <v>560</v>
      </c>
      <c r="M29" s="114"/>
      <c r="N29" s="115">
        <v>431</v>
      </c>
      <c r="O29" s="115"/>
    </row>
  </sheetData>
  <mergeCells count="134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P26:Q2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P27:Q27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J29:K29"/>
    <mergeCell ref="L29:M29"/>
    <mergeCell ref="N29:O29"/>
    <mergeCell ref="A26:B26"/>
    <mergeCell ref="J26:K26"/>
    <mergeCell ref="L26:M26"/>
    <mergeCell ref="N26:O26"/>
    <mergeCell ref="A27:B27"/>
    <mergeCell ref="J27:K27"/>
    <mergeCell ref="L27:M27"/>
    <mergeCell ref="N27:O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122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0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10.62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123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42529</v>
      </c>
      <c r="D7" s="26">
        <f>C7+2</f>
        <v>42531</v>
      </c>
      <c r="E7" s="26">
        <f>D7+2</f>
        <v>42533</v>
      </c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42570</v>
      </c>
      <c r="J8" s="133">
        <v>4</v>
      </c>
      <c r="K8" s="133"/>
      <c r="L8" s="133">
        <v>3</v>
      </c>
      <c r="M8" s="133"/>
      <c r="N8" s="133">
        <v>2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70</v>
      </c>
      <c r="K9" s="130"/>
      <c r="L9" s="114">
        <v>67</v>
      </c>
      <c r="M9" s="114"/>
      <c r="N9" s="114">
        <v>44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42575</v>
      </c>
      <c r="J11" s="133">
        <v>9</v>
      </c>
      <c r="K11" s="133"/>
      <c r="L11" s="133">
        <v>8</v>
      </c>
      <c r="M11" s="133"/>
      <c r="N11" s="133">
        <v>7</v>
      </c>
      <c r="O11" s="133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189</v>
      </c>
      <c r="K12" s="130"/>
      <c r="L12" s="114">
        <v>178</v>
      </c>
      <c r="M12" s="114"/>
      <c r="N12" s="114">
        <v>125</v>
      </c>
      <c r="O12" s="114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124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42566</v>
      </c>
      <c r="D16" s="26">
        <v>42567</v>
      </c>
      <c r="E16" s="26">
        <v>42568</v>
      </c>
      <c r="F16" s="26"/>
      <c r="G16" s="27" t="e">
        <f>{#DIV/0!}</f>
        <v>#DIV/0!</v>
      </c>
      <c r="H16" s="28" t="s">
        <v>74</v>
      </c>
      <c r="I16" s="35">
        <v>42580</v>
      </c>
      <c r="J16" s="120">
        <v>14</v>
      </c>
      <c r="K16" s="120"/>
      <c r="L16" s="120">
        <v>13</v>
      </c>
      <c r="M16" s="120"/>
      <c r="N16" s="121">
        <v>12</v>
      </c>
      <c r="O16" s="121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370</v>
      </c>
      <c r="K17" s="113"/>
      <c r="L17" s="114">
        <v>374</v>
      </c>
      <c r="M17" s="114"/>
      <c r="N17" s="115">
        <v>295</v>
      </c>
      <c r="O17" s="115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18" t="s">
        <v>125</v>
      </c>
      <c r="K18" s="118"/>
      <c r="L18" s="117" t="s">
        <v>126</v>
      </c>
      <c r="M18" s="117"/>
      <c r="N18" s="119" t="s">
        <v>126</v>
      </c>
      <c r="O18" s="119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18">
        <v>1.89</v>
      </c>
      <c r="K19" s="118"/>
      <c r="L19" s="117">
        <v>0</v>
      </c>
      <c r="M19" s="117"/>
      <c r="N19" s="119">
        <v>0</v>
      </c>
      <c r="O19" s="119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127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42586</v>
      </c>
      <c r="J21" s="120">
        <v>19</v>
      </c>
      <c r="K21" s="120"/>
      <c r="L21" s="120" t="s">
        <v>128</v>
      </c>
      <c r="M21" s="120"/>
      <c r="N21" s="121" t="s">
        <v>128</v>
      </c>
      <c r="O21" s="121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42590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538</v>
      </c>
      <c r="K22" s="113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194719285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46">
        <v>42585</v>
      </c>
      <c r="E26" s="46">
        <v>42585</v>
      </c>
      <c r="F26" s="14" t="s">
        <v>33</v>
      </c>
      <c r="G26" s="33" t="s">
        <v>33</v>
      </c>
      <c r="H26" s="44" t="s">
        <v>118</v>
      </c>
      <c r="I26" s="47">
        <v>42590</v>
      </c>
      <c r="J26" s="113">
        <v>23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119</v>
      </c>
      <c r="I27" s="38"/>
      <c r="J27" s="113">
        <v>650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8" t="s">
        <v>130</v>
      </c>
      <c r="I28" s="38"/>
      <c r="J28" s="113" t="s">
        <v>33</v>
      </c>
      <c r="K28" s="113"/>
      <c r="L28" s="114" t="s">
        <v>33</v>
      </c>
      <c r="M28" s="114"/>
      <c r="N28" s="115" t="s">
        <v>33</v>
      </c>
      <c r="O28" s="115"/>
      <c r="P28" s="113" t="s">
        <v>33</v>
      </c>
      <c r="Q28" s="113"/>
    </row>
    <row r="29" spans="1:26" x14ac:dyDescent="0.2">
      <c r="H29" s="44" t="s">
        <v>120</v>
      </c>
      <c r="I29" s="47" t="s">
        <v>131</v>
      </c>
      <c r="J29" s="113">
        <v>28</v>
      </c>
      <c r="K29" s="113"/>
    </row>
    <row r="30" spans="1:26" x14ac:dyDescent="0.2">
      <c r="H30" s="28" t="s">
        <v>121</v>
      </c>
      <c r="I30" s="38"/>
      <c r="J30" s="113">
        <v>758</v>
      </c>
      <c r="K30" s="113"/>
    </row>
  </sheetData>
  <mergeCells count="134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P28:Q28"/>
    <mergeCell ref="J29:K29"/>
    <mergeCell ref="J30:K30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0"/>
  <sheetViews>
    <sheetView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7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4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132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46">
        <v>42518</v>
      </c>
      <c r="C3" s="14" t="s">
        <v>133</v>
      </c>
      <c r="D3" s="14" t="s">
        <v>98</v>
      </c>
      <c r="E3" s="14">
        <v>220612971</v>
      </c>
      <c r="F3" s="14" t="s">
        <v>134</v>
      </c>
      <c r="G3" s="14" t="s">
        <v>96</v>
      </c>
      <c r="H3" s="14" t="s">
        <v>33</v>
      </c>
      <c r="I3" s="14" t="s">
        <v>33</v>
      </c>
      <c r="J3" s="14">
        <v>610</v>
      </c>
      <c r="K3" s="14">
        <v>2</v>
      </c>
      <c r="L3" s="15">
        <v>34.020000000000003</v>
      </c>
      <c r="M3" s="15" t="s">
        <v>33</v>
      </c>
      <c r="N3" s="14">
        <v>325</v>
      </c>
      <c r="O3" s="14">
        <v>143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97</v>
      </c>
      <c r="V3" s="14" t="s">
        <v>97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46">
        <v>42571</v>
      </c>
      <c r="C5" s="14" t="s">
        <v>33</v>
      </c>
      <c r="D5" s="14" t="s">
        <v>33</v>
      </c>
      <c r="E5" s="14" t="s">
        <v>33</v>
      </c>
      <c r="F5" s="14" t="s">
        <v>135</v>
      </c>
      <c r="G5" s="14" t="s">
        <v>136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42530</v>
      </c>
      <c r="D7" s="26">
        <v>42532</v>
      </c>
      <c r="E7" s="26">
        <v>42534</v>
      </c>
      <c r="F7" s="26">
        <v>42536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42571</v>
      </c>
      <c r="J8" s="133">
        <v>5</v>
      </c>
      <c r="K8" s="133"/>
      <c r="L8" s="133">
        <v>3</v>
      </c>
      <c r="M8" s="133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96</v>
      </c>
      <c r="K9" s="130"/>
      <c r="L9" s="114">
        <v>47</v>
      </c>
      <c r="M9" s="114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42576</v>
      </c>
      <c r="J11" s="133">
        <v>10</v>
      </c>
      <c r="K11" s="133"/>
      <c r="L11" s="133">
        <v>8</v>
      </c>
      <c r="M11" s="133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270</v>
      </c>
      <c r="K12" s="130"/>
      <c r="L12" s="114">
        <v>145</v>
      </c>
      <c r="M12" s="114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137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42566</v>
      </c>
      <c r="D16" s="26">
        <v>42568</v>
      </c>
      <c r="E16" s="26"/>
      <c r="F16" s="26"/>
      <c r="G16" s="27" t="e">
        <f>{#DIV/0!}</f>
        <v>#DIV/0!</v>
      </c>
      <c r="H16" s="28" t="s">
        <v>74</v>
      </c>
      <c r="I16" s="35">
        <v>42581</v>
      </c>
      <c r="J16" s="120">
        <v>15</v>
      </c>
      <c r="K16" s="120"/>
      <c r="L16" s="120">
        <v>13</v>
      </c>
      <c r="M16" s="120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534</v>
      </c>
      <c r="K17" s="113"/>
      <c r="L17" s="114">
        <v>327</v>
      </c>
      <c r="M17" s="114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18" t="s">
        <v>138</v>
      </c>
      <c r="K18" s="118"/>
      <c r="L18" s="117" t="s">
        <v>126</v>
      </c>
      <c r="M18" s="11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139</v>
      </c>
      <c r="I19" s="39"/>
      <c r="J19" s="118">
        <v>3.06</v>
      </c>
      <c r="K19" s="118"/>
      <c r="L19" s="117" t="s">
        <v>140</v>
      </c>
      <c r="M19" s="11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141</v>
      </c>
      <c r="D20" s="30" t="s">
        <v>142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42587</v>
      </c>
      <c r="J21" s="120">
        <v>21</v>
      </c>
      <c r="K21" s="120"/>
      <c r="L21" s="120">
        <v>19</v>
      </c>
      <c r="M21" s="120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42591</v>
      </c>
      <c r="D22" s="46">
        <v>42591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691</v>
      </c>
      <c r="K22" s="113"/>
      <c r="L22" s="114">
        <v>451</v>
      </c>
      <c r="M22" s="114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194726220</v>
      </c>
      <c r="D23" s="14">
        <v>115624023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117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44" t="s">
        <v>118</v>
      </c>
      <c r="I26" s="47">
        <v>42591</v>
      </c>
      <c r="J26" s="113">
        <v>26</v>
      </c>
      <c r="K26" s="113"/>
      <c r="L26" s="114">
        <v>24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119</v>
      </c>
      <c r="I27" s="38"/>
      <c r="J27" s="113">
        <v>779</v>
      </c>
      <c r="K27" s="113"/>
      <c r="L27" s="114">
        <v>532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28" t="s">
        <v>143</v>
      </c>
      <c r="I28" s="38"/>
      <c r="J28" s="113" t="s">
        <v>144</v>
      </c>
      <c r="K28" s="113"/>
      <c r="L28" s="114" t="s">
        <v>144</v>
      </c>
      <c r="M28" s="114"/>
      <c r="N28" s="115" t="s">
        <v>33</v>
      </c>
      <c r="O28" s="115"/>
    </row>
    <row r="29" spans="1:26" x14ac:dyDescent="0.2">
      <c r="H29" s="44" t="s">
        <v>120</v>
      </c>
      <c r="I29" s="47" t="s">
        <v>145</v>
      </c>
      <c r="J29" s="113">
        <v>31</v>
      </c>
      <c r="K29" s="113"/>
      <c r="L29" s="114">
        <v>29</v>
      </c>
      <c r="M29" s="114"/>
      <c r="N29" s="115" t="s">
        <v>33</v>
      </c>
      <c r="O29" s="115"/>
      <c r="P29" s="113" t="s">
        <v>33</v>
      </c>
      <c r="Q29" s="113"/>
    </row>
    <row r="30" spans="1:26" x14ac:dyDescent="0.2">
      <c r="H30" s="28" t="s">
        <v>121</v>
      </c>
      <c r="I30" s="38"/>
      <c r="J30" s="113">
        <v>761</v>
      </c>
      <c r="K30" s="113"/>
      <c r="L30" s="114">
        <v>519</v>
      </c>
      <c r="M30" s="114"/>
      <c r="N30" s="115" t="s">
        <v>33</v>
      </c>
      <c r="O30" s="115"/>
      <c r="P30" s="113" t="s">
        <v>33</v>
      </c>
      <c r="Q30" s="113"/>
    </row>
  </sheetData>
  <mergeCells count="139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P29:Q29"/>
    <mergeCell ref="J30:K30"/>
    <mergeCell ref="L30:M30"/>
    <mergeCell ref="N30:O30"/>
    <mergeCell ref="P30:Q30"/>
    <mergeCell ref="J28:K28"/>
    <mergeCell ref="L28:M28"/>
    <mergeCell ref="N28:O28"/>
    <mergeCell ref="J29:K29"/>
    <mergeCell ref="L29:M29"/>
    <mergeCell ref="N29:O29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5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/>
      <c r="B3" s="49"/>
      <c r="C3" s="14"/>
      <c r="D3" s="14"/>
      <c r="E3" s="50"/>
      <c r="F3" s="50"/>
      <c r="G3" s="50"/>
      <c r="H3" s="14"/>
      <c r="I3" s="14"/>
      <c r="K3" s="14"/>
      <c r="L3" s="15"/>
      <c r="M3" s="15"/>
      <c r="P3" s="16"/>
      <c r="Q3" s="16"/>
      <c r="R3" s="16"/>
      <c r="S3" s="16"/>
      <c r="T3" s="16"/>
      <c r="U3" s="50"/>
      <c r="V3" s="50"/>
      <c r="W3" s="14"/>
      <c r="X3" s="16"/>
      <c r="Y3" s="17"/>
      <c r="Z3" s="17"/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/>
      <c r="B5" s="49"/>
      <c r="C5" s="14"/>
      <c r="D5" s="14"/>
      <c r="E5" s="14"/>
      <c r="F5" s="14"/>
      <c r="G5" s="14"/>
      <c r="H5" s="14"/>
      <c r="I5" s="19"/>
      <c r="J5" s="14"/>
      <c r="K5" s="19"/>
      <c r="L5" s="20"/>
      <c r="M5" s="20"/>
      <c r="N5" s="14"/>
      <c r="O5" s="14"/>
      <c r="P5" s="21"/>
      <c r="Q5" s="21"/>
      <c r="R5" s="16"/>
      <c r="S5" s="16"/>
      <c r="T5" s="16"/>
      <c r="U5" s="14"/>
      <c r="V5" s="14"/>
      <c r="W5" s="14"/>
      <c r="X5" s="16"/>
      <c r="Y5" s="16"/>
      <c r="Z5" s="16"/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146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7"/>
  <sheetViews>
    <sheetView topLeftCell="B1" workbookViewId="0">
      <selection activeCell="J8" sqref="J8:K8"/>
    </sheetView>
  </sheetViews>
  <sheetFormatPr defaultRowHeight="14.25" x14ac:dyDescent="0.2"/>
  <cols>
    <col min="1" max="1" width="8.25" customWidth="1"/>
    <col min="2" max="2" width="11.5" customWidth="1"/>
    <col min="3" max="3" width="8.5" customWidth="1"/>
    <col min="4" max="4" width="7" customWidth="1"/>
    <col min="5" max="5" width="8.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28" width="9.25" customWidth="1"/>
    <col min="29" max="29" width="14.375" customWidth="1"/>
    <col min="30" max="30" width="9.25" customWidth="1"/>
    <col min="31" max="31" width="17" customWidth="1"/>
    <col min="32" max="1024" width="10.625" customWidth="1"/>
  </cols>
  <sheetData>
    <row r="1" spans="1:31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147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1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572</v>
      </c>
      <c r="AC2" s="13" t="s">
        <v>581</v>
      </c>
      <c r="AD2" s="103" t="s">
        <v>574</v>
      </c>
      <c r="AE2" s="104"/>
    </row>
    <row r="3" spans="1:31" x14ac:dyDescent="0.2">
      <c r="A3" s="14" t="s">
        <v>576</v>
      </c>
      <c r="B3" s="102">
        <v>42592</v>
      </c>
      <c r="C3" s="14" t="s">
        <v>213</v>
      </c>
      <c r="D3" s="14" t="s">
        <v>569</v>
      </c>
      <c r="E3" s="14" t="s">
        <v>570</v>
      </c>
      <c r="F3" s="14" t="s">
        <v>33</v>
      </c>
      <c r="G3" s="14" t="s">
        <v>571</v>
      </c>
      <c r="H3" s="14" t="s">
        <v>33</v>
      </c>
      <c r="I3" s="14" t="s">
        <v>33</v>
      </c>
      <c r="J3" s="14">
        <v>850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91" t="s">
        <v>575</v>
      </c>
      <c r="AC3" s="91">
        <v>48797731864</v>
      </c>
      <c r="AD3" s="7"/>
      <c r="AE3" s="91"/>
    </row>
    <row r="4" spans="1:31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572</v>
      </c>
      <c r="AC4" s="13" t="s">
        <v>573</v>
      </c>
      <c r="AD4" s="103" t="s">
        <v>574</v>
      </c>
      <c r="AE4" s="104"/>
    </row>
    <row r="5" spans="1:31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1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1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1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42581</v>
      </c>
      <c r="J8" s="133">
        <v>25</v>
      </c>
      <c r="K8" s="133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1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783</v>
      </c>
      <c r="K9" s="130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1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149</v>
      </c>
      <c r="I10" s="39"/>
      <c r="J10" s="125">
        <v>67.42</v>
      </c>
      <c r="K10" s="125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1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1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1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1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1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602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1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150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42581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151</v>
      </c>
      <c r="D23" s="14" t="s">
        <v>33</v>
      </c>
      <c r="E23" s="14"/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fitToWidth="0" fitToHeight="0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7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152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"/>
  <sheetViews>
    <sheetView workbookViewId="0">
      <selection activeCell="L17" sqref="L17:M1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8.875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8.87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3" x14ac:dyDescent="0.2">
      <c r="A1" s="1" t="s">
        <v>0</v>
      </c>
      <c r="B1" s="2">
        <v>2016</v>
      </c>
      <c r="C1" s="1" t="s">
        <v>1</v>
      </c>
      <c r="D1" s="2">
        <v>8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54" t="s">
        <v>630</v>
      </c>
      <c r="L1" s="154"/>
      <c r="M1" s="154"/>
      <c r="N1" s="154"/>
      <c r="O1" s="154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3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  <c r="AE2" s="51" t="s">
        <v>154</v>
      </c>
      <c r="AF2" s="51" t="s">
        <v>155</v>
      </c>
      <c r="AG2" s="51" t="s">
        <v>156</v>
      </c>
    </row>
    <row r="3" spans="1:33" x14ac:dyDescent="0.2">
      <c r="A3" s="14"/>
      <c r="B3" s="49">
        <v>42559</v>
      </c>
      <c r="C3" s="14"/>
      <c r="D3" s="14"/>
      <c r="E3" s="14"/>
      <c r="F3" s="14" t="s">
        <v>157</v>
      </c>
      <c r="G3" s="14" t="s">
        <v>158</v>
      </c>
      <c r="H3" s="14" t="s">
        <v>159</v>
      </c>
      <c r="I3" s="19"/>
      <c r="J3" s="19"/>
      <c r="K3" s="19"/>
      <c r="L3" s="20"/>
      <c r="M3" s="20"/>
      <c r="N3" s="19"/>
      <c r="O3" s="19"/>
      <c r="P3" s="21"/>
      <c r="Q3" s="21"/>
      <c r="R3" s="16"/>
      <c r="S3" s="16"/>
      <c r="T3" s="16"/>
      <c r="U3" s="14"/>
      <c r="V3" s="14"/>
      <c r="W3" s="14"/>
      <c r="X3" s="16"/>
      <c r="Y3" s="16"/>
      <c r="Z3" s="16"/>
      <c r="AA3" s="52"/>
      <c r="AB3" s="7"/>
      <c r="AC3" s="7"/>
      <c r="AD3" s="7"/>
      <c r="AF3" s="53"/>
    </row>
    <row r="4" spans="1:33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  <c r="AE4" s="51" t="s">
        <v>154</v>
      </c>
      <c r="AF4" s="51" t="s">
        <v>155</v>
      </c>
      <c r="AG4" s="51" t="s">
        <v>160</v>
      </c>
    </row>
    <row r="5" spans="1:33" x14ac:dyDescent="0.2">
      <c r="A5" s="14"/>
      <c r="B5" s="49">
        <v>42558</v>
      </c>
      <c r="C5" s="14"/>
      <c r="D5" s="14"/>
      <c r="E5" s="14"/>
      <c r="F5" s="14" t="s">
        <v>161</v>
      </c>
      <c r="G5" s="14" t="s">
        <v>158</v>
      </c>
      <c r="H5" s="14" t="s">
        <v>159</v>
      </c>
      <c r="I5" s="14"/>
      <c r="J5" s="14"/>
      <c r="K5" s="14"/>
      <c r="L5" s="15"/>
      <c r="M5" s="15"/>
      <c r="N5" s="14"/>
      <c r="O5" s="14"/>
      <c r="P5" s="16"/>
      <c r="Q5" s="16"/>
      <c r="R5" s="16"/>
      <c r="S5" s="16"/>
      <c r="T5" s="16"/>
      <c r="U5" s="14"/>
      <c r="V5" s="14"/>
      <c r="W5" s="14"/>
      <c r="X5" s="16"/>
      <c r="Y5" s="17"/>
      <c r="Z5" s="17"/>
      <c r="AA5" s="54"/>
      <c r="AB5" s="7"/>
      <c r="AC5" s="7"/>
      <c r="AD5" s="7"/>
      <c r="AF5" s="53"/>
    </row>
    <row r="6" spans="1:33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3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3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42565</v>
      </c>
      <c r="J8" s="133">
        <f>I8-C16</f>
        <v>7</v>
      </c>
      <c r="K8" s="133"/>
      <c r="L8" s="133">
        <v>6</v>
      </c>
      <c r="M8" s="133"/>
      <c r="N8" s="133">
        <v>6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3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169</v>
      </c>
      <c r="K9" s="130"/>
      <c r="L9" s="114">
        <v>141</v>
      </c>
      <c r="M9" s="114"/>
      <c r="N9" s="114">
        <v>144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3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3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42569</v>
      </c>
      <c r="J11" s="133">
        <v>11</v>
      </c>
      <c r="K11" s="133"/>
      <c r="L11" s="133">
        <v>10</v>
      </c>
      <c r="M11" s="133"/>
      <c r="N11" s="133">
        <v>10</v>
      </c>
      <c r="O11" s="133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3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338</v>
      </c>
      <c r="K12" s="130"/>
      <c r="L12" s="114">
        <v>286</v>
      </c>
      <c r="M12" s="114"/>
      <c r="N12" s="114">
        <v>299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3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3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3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162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3" x14ac:dyDescent="0.2">
      <c r="A16" s="41" t="s">
        <v>73</v>
      </c>
      <c r="B16" s="16"/>
      <c r="C16" s="26">
        <v>42558</v>
      </c>
      <c r="D16" s="26">
        <v>42559</v>
      </c>
      <c r="E16" s="26">
        <v>42559</v>
      </c>
      <c r="F16" s="26" t="s">
        <v>163</v>
      </c>
      <c r="G16" s="27" t="e">
        <f>{#DIV/0!}</f>
        <v>#DIV/0!</v>
      </c>
      <c r="H16" s="28" t="s">
        <v>74</v>
      </c>
      <c r="I16" s="35">
        <v>42575</v>
      </c>
      <c r="J16" s="120">
        <v>17</v>
      </c>
      <c r="K16" s="120"/>
      <c r="L16" s="120">
        <v>16</v>
      </c>
      <c r="M16" s="120"/>
      <c r="N16" s="121">
        <v>16</v>
      </c>
      <c r="O16" s="121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601</v>
      </c>
      <c r="K17" s="113"/>
      <c r="L17" s="114">
        <v>536</v>
      </c>
      <c r="M17" s="114"/>
      <c r="N17" s="115">
        <v>547</v>
      </c>
      <c r="O17" s="115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144</v>
      </c>
      <c r="K18" s="118"/>
      <c r="L18" s="117" t="s">
        <v>144</v>
      </c>
      <c r="M18" s="117"/>
      <c r="N18" s="119" t="s">
        <v>144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164</v>
      </c>
      <c r="D20" s="30" t="s">
        <v>165</v>
      </c>
      <c r="E20" s="30" t="s">
        <v>165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166</v>
      </c>
      <c r="D21" s="14" t="s">
        <v>167</v>
      </c>
      <c r="E21" s="14" t="s">
        <v>168</v>
      </c>
      <c r="F21" s="14" t="s">
        <v>33</v>
      </c>
      <c r="G21" s="14" t="s">
        <v>33</v>
      </c>
      <c r="H21" s="44" t="s">
        <v>80</v>
      </c>
      <c r="I21" s="35">
        <v>42579</v>
      </c>
      <c r="J21" s="120">
        <v>21</v>
      </c>
      <c r="K21" s="120"/>
      <c r="L21" s="120">
        <v>20</v>
      </c>
      <c r="M21" s="120"/>
      <c r="N21" s="121">
        <v>20</v>
      </c>
      <c r="O21" s="121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42586</v>
      </c>
      <c r="D22" s="46">
        <v>42586</v>
      </c>
      <c r="E22" s="46">
        <v>42586</v>
      </c>
      <c r="F22" s="14" t="s">
        <v>33</v>
      </c>
      <c r="G22" s="33" t="s">
        <v>33</v>
      </c>
      <c r="H22" s="28" t="s">
        <v>82</v>
      </c>
      <c r="I22" s="38"/>
      <c r="J22" s="113">
        <v>748</v>
      </c>
      <c r="K22" s="113"/>
      <c r="L22" s="114">
        <v>660</v>
      </c>
      <c r="M22" s="114"/>
      <c r="N22" s="115">
        <v>680</v>
      </c>
      <c r="O22" s="115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194719282</v>
      </c>
      <c r="D23" s="14">
        <v>194719280</v>
      </c>
      <c r="E23" s="14">
        <v>194719281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94</v>
      </c>
      <c r="E25" s="14" t="s">
        <v>94</v>
      </c>
      <c r="F25" s="14" t="s">
        <v>33</v>
      </c>
      <c r="G25" s="33" t="s">
        <v>33</v>
      </c>
      <c r="H25" s="44" t="s">
        <v>118</v>
      </c>
      <c r="I25" s="55">
        <v>42586</v>
      </c>
      <c r="J25" s="118">
        <v>28</v>
      </c>
      <c r="K25" s="118"/>
      <c r="L25" s="117">
        <v>27</v>
      </c>
      <c r="M25" s="117"/>
      <c r="N25" s="119">
        <v>27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119</v>
      </c>
      <c r="I26" s="38"/>
      <c r="J26" s="113">
        <v>812</v>
      </c>
      <c r="K26" s="113"/>
      <c r="L26" s="114">
        <v>772</v>
      </c>
      <c r="M26" s="114"/>
      <c r="N26" s="115">
        <v>803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143</v>
      </c>
      <c r="I27" s="38"/>
      <c r="J27" s="113" t="s">
        <v>144</v>
      </c>
      <c r="K27" s="113"/>
      <c r="L27" s="114" t="s">
        <v>144</v>
      </c>
      <c r="M27" s="114"/>
      <c r="N27" s="115" t="s">
        <v>144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47">
        <v>42589</v>
      </c>
      <c r="J28" s="113">
        <v>31</v>
      </c>
      <c r="K28" s="113"/>
      <c r="L28" s="114">
        <v>30</v>
      </c>
      <c r="M28" s="114"/>
      <c r="N28" s="115">
        <v>30</v>
      </c>
      <c r="O28" s="115"/>
      <c r="P28" s="113" t="s">
        <v>33</v>
      </c>
      <c r="Q28" s="113"/>
    </row>
    <row r="29" spans="1:26" x14ac:dyDescent="0.2">
      <c r="H29" s="28" t="s">
        <v>121</v>
      </c>
      <c r="I29" s="38"/>
      <c r="J29" s="113">
        <v>873</v>
      </c>
      <c r="K29" s="113"/>
      <c r="L29" s="114">
        <v>741</v>
      </c>
      <c r="M29" s="114"/>
      <c r="N29" s="115">
        <v>910</v>
      </c>
      <c r="O29" s="115"/>
      <c r="P29" s="113" t="s">
        <v>33</v>
      </c>
      <c r="Q29" s="113"/>
    </row>
  </sheetData>
  <mergeCells count="136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P28:Q28"/>
    <mergeCell ref="J29:K29"/>
    <mergeCell ref="L29:M29"/>
    <mergeCell ref="N29:O29"/>
    <mergeCell ref="P29:Q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6</v>
      </c>
      <c r="B1" s="2">
        <v>2016</v>
      </c>
      <c r="C1" s="1" t="s">
        <v>1</v>
      </c>
      <c r="D1" s="2"/>
      <c r="E1" s="1" t="s">
        <v>2</v>
      </c>
      <c r="F1" s="2">
        <v>9</v>
      </c>
      <c r="G1" s="3" t="s">
        <v>3</v>
      </c>
      <c r="H1" s="2"/>
      <c r="I1" s="129" t="s">
        <v>4</v>
      </c>
      <c r="J1" s="129"/>
      <c r="K1" s="151" t="s">
        <v>169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170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workbookViewId="0">
      <selection activeCell="R15" sqref="R15:Z27"/>
    </sheetView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10</v>
      </c>
      <c r="E1" s="1" t="s">
        <v>2</v>
      </c>
      <c r="F1" s="2">
        <v>10</v>
      </c>
      <c r="G1" s="3" t="s">
        <v>3</v>
      </c>
      <c r="H1" s="2"/>
      <c r="I1" s="129" t="s">
        <v>4</v>
      </c>
      <c r="J1" s="129"/>
      <c r="K1" s="151" t="s">
        <v>553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42581</v>
      </c>
      <c r="J8" s="133">
        <v>30</v>
      </c>
      <c r="K8" s="133"/>
      <c r="L8" s="133">
        <v>30</v>
      </c>
      <c r="M8" s="133"/>
      <c r="N8" s="133">
        <v>30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812</v>
      </c>
      <c r="K9" s="130"/>
      <c r="L9" s="114">
        <v>886</v>
      </c>
      <c r="M9" s="114"/>
      <c r="N9" s="114">
        <v>887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554</v>
      </c>
      <c r="I10" s="39"/>
      <c r="J10" s="125">
        <v>70.25</v>
      </c>
      <c r="K10" s="125"/>
      <c r="L10" s="117">
        <v>67.150000000000006</v>
      </c>
      <c r="M10" s="117"/>
      <c r="N10" s="117">
        <v>70.510000000000005</v>
      </c>
      <c r="O10" s="11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631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184</v>
      </c>
      <c r="D20" s="30" t="s">
        <v>175</v>
      </c>
      <c r="E20" s="30" t="s">
        <v>184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42581</v>
      </c>
      <c r="D22" s="46">
        <v>42581</v>
      </c>
      <c r="E22" s="46">
        <v>42581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555</v>
      </c>
      <c r="D23" s="14" t="s">
        <v>556</v>
      </c>
      <c r="E23" s="14" t="s">
        <v>557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117</v>
      </c>
      <c r="E25" s="14" t="s">
        <v>94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>
      <selection activeCell="J7" sqref="J7:K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9.25" customWidth="1"/>
    <col min="5" max="6" width="8.125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11</v>
      </c>
      <c r="G1" s="3" t="s">
        <v>3</v>
      </c>
      <c r="H1" s="2"/>
      <c r="I1" s="129" t="s">
        <v>4</v>
      </c>
      <c r="J1" s="129"/>
      <c r="K1" s="142" t="s">
        <v>650</v>
      </c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42582</v>
      </c>
      <c r="J8" s="133">
        <v>35</v>
      </c>
      <c r="K8" s="133"/>
      <c r="L8" s="133">
        <v>35</v>
      </c>
      <c r="M8" s="133"/>
      <c r="N8" s="133">
        <v>35</v>
      </c>
      <c r="O8" s="133"/>
      <c r="P8" s="133">
        <v>30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662</v>
      </c>
      <c r="K9" s="130"/>
      <c r="L9" s="114">
        <v>998</v>
      </c>
      <c r="M9" s="114"/>
      <c r="N9" s="114">
        <v>1051</v>
      </c>
      <c r="O9" s="114"/>
      <c r="P9" s="113">
        <v>849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171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172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173</v>
      </c>
      <c r="D20" s="30" t="s">
        <v>174</v>
      </c>
      <c r="E20" s="30" t="s">
        <v>174</v>
      </c>
      <c r="F20" s="30" t="s">
        <v>175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42582</v>
      </c>
      <c r="D22" s="46">
        <v>42582</v>
      </c>
      <c r="E22" s="46">
        <v>42582</v>
      </c>
      <c r="F22" s="46">
        <v>42582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194719278</v>
      </c>
      <c r="D23" s="14">
        <v>185714510</v>
      </c>
      <c r="E23" s="14">
        <v>185714509</v>
      </c>
      <c r="F23" s="14">
        <v>185714511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129</v>
      </c>
      <c r="E25" s="14" t="s">
        <v>117</v>
      </c>
      <c r="F25" s="14" t="s">
        <v>94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D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12</v>
      </c>
      <c r="E1" s="1" t="s">
        <v>2</v>
      </c>
      <c r="F1" s="2">
        <v>12</v>
      </c>
      <c r="G1" s="3" t="s">
        <v>3</v>
      </c>
      <c r="H1" s="2"/>
      <c r="I1" s="129" t="s">
        <v>4</v>
      </c>
      <c r="J1" s="129"/>
      <c r="K1" s="151" t="s">
        <v>176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177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178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42560</v>
      </c>
      <c r="D16" s="26"/>
      <c r="E16" s="26">
        <v>42561</v>
      </c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/>
      <c r="D17" s="42"/>
      <c r="E17" s="42"/>
      <c r="F17" s="42"/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B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</v>
      </c>
      <c r="G1" s="3" t="s">
        <v>3</v>
      </c>
      <c r="H1" s="2"/>
      <c r="I1" s="129" t="s">
        <v>4</v>
      </c>
      <c r="J1" s="129"/>
      <c r="K1" s="151" t="s">
        <v>179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131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883</v>
      </c>
      <c r="K9" s="130"/>
      <c r="L9" s="114">
        <v>895</v>
      </c>
      <c r="M9" s="114"/>
      <c r="N9" s="114">
        <v>1097</v>
      </c>
      <c r="O9" s="114"/>
      <c r="P9" s="113">
        <v>1019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180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181</v>
      </c>
      <c r="D20" s="30" t="s">
        <v>181</v>
      </c>
      <c r="E20" s="30" t="s">
        <v>182</v>
      </c>
      <c r="F20" s="30" t="s">
        <v>182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131</v>
      </c>
      <c r="D22" s="14" t="s">
        <v>131</v>
      </c>
      <c r="E22" s="14" t="s">
        <v>131</v>
      </c>
      <c r="F22" s="14" t="s">
        <v>131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185702479</v>
      </c>
      <c r="D23" s="14">
        <v>185702480</v>
      </c>
      <c r="E23" s="14">
        <v>185702481</v>
      </c>
      <c r="F23" s="14">
        <v>185702482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129</v>
      </c>
      <c r="E25" s="14" t="s">
        <v>117</v>
      </c>
      <c r="F25" s="14" t="s">
        <v>129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14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183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3"/>
  <sheetViews>
    <sheetView topLeftCell="E1" workbookViewId="0">
      <selection activeCell="F30" sqref="F30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8.37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30</v>
      </c>
      <c r="E1" s="1" t="s">
        <v>2</v>
      </c>
      <c r="F1" s="2">
        <v>15</v>
      </c>
      <c r="G1" s="3" t="s">
        <v>3</v>
      </c>
      <c r="H1" s="2"/>
      <c r="I1" s="129" t="s">
        <v>4</v>
      </c>
      <c r="J1" s="129"/>
      <c r="K1" s="151" t="s">
        <v>236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46">
        <v>42572</v>
      </c>
      <c r="C5" s="14" t="s">
        <v>33</v>
      </c>
      <c r="D5" s="14" t="s">
        <v>33</v>
      </c>
      <c r="E5" s="14" t="s">
        <v>33</v>
      </c>
      <c r="F5" s="14" t="s">
        <v>237</v>
      </c>
      <c r="G5" s="14" t="s">
        <v>238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42525</v>
      </c>
      <c r="D7" s="26">
        <f>C7+2</f>
        <v>42527</v>
      </c>
      <c r="E7" s="26">
        <f>D7+2</f>
        <v>42529</v>
      </c>
      <c r="F7" s="26">
        <f>E7+2</f>
        <v>42531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42567</v>
      </c>
      <c r="J8" s="133">
        <v>5</v>
      </c>
      <c r="K8" s="133"/>
      <c r="L8" s="133">
        <v>5</v>
      </c>
      <c r="M8" s="133"/>
      <c r="N8" s="133">
        <v>4</v>
      </c>
      <c r="O8" s="133"/>
      <c r="P8" s="133" t="s">
        <v>98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94</v>
      </c>
      <c r="K9" s="130"/>
      <c r="L9" s="114">
        <v>84</v>
      </c>
      <c r="M9" s="114"/>
      <c r="N9" s="114">
        <v>65</v>
      </c>
      <c r="O9" s="114"/>
      <c r="P9" s="113">
        <v>26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42572</v>
      </c>
      <c r="J11" s="133">
        <v>10</v>
      </c>
      <c r="K11" s="133"/>
      <c r="L11" s="133">
        <v>10</v>
      </c>
      <c r="M11" s="133"/>
      <c r="N11" s="133">
        <v>9</v>
      </c>
      <c r="O11" s="133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231</v>
      </c>
      <c r="K12" s="130"/>
      <c r="L12" s="114">
        <v>235</v>
      </c>
      <c r="M12" s="114"/>
      <c r="N12" s="114">
        <v>217</v>
      </c>
      <c r="O12" s="114"/>
      <c r="P12" s="113" t="s">
        <v>194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633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42562</v>
      </c>
      <c r="D16" s="26">
        <v>42562</v>
      </c>
      <c r="E16" s="26">
        <v>42563</v>
      </c>
      <c r="F16" s="26" t="s">
        <v>98</v>
      </c>
      <c r="G16" s="27" t="e">
        <f>{#DIV/0!}</f>
        <v>#DIV/0!</v>
      </c>
      <c r="H16" s="28" t="s">
        <v>74</v>
      </c>
      <c r="I16" s="35">
        <v>42577</v>
      </c>
      <c r="J16" s="120">
        <v>15</v>
      </c>
      <c r="K16" s="120"/>
      <c r="L16" s="120">
        <v>15</v>
      </c>
      <c r="M16" s="120"/>
      <c r="N16" s="121">
        <v>14</v>
      </c>
      <c r="O16" s="121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388</v>
      </c>
      <c r="K17" s="113"/>
      <c r="L17" s="114">
        <v>444</v>
      </c>
      <c r="M17" s="114"/>
      <c r="N17" s="115">
        <v>380</v>
      </c>
      <c r="O17" s="115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18" t="s">
        <v>239</v>
      </c>
      <c r="K18" s="118"/>
      <c r="L18" s="117" t="s">
        <v>240</v>
      </c>
      <c r="M18" s="117"/>
      <c r="N18" s="119">
        <v>4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139</v>
      </c>
      <c r="I19" s="39"/>
      <c r="J19" s="118">
        <v>3.35</v>
      </c>
      <c r="K19" s="118"/>
      <c r="L19" s="117">
        <v>2.5</v>
      </c>
      <c r="M19" s="117"/>
      <c r="N19" s="119">
        <v>1.25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195</v>
      </c>
      <c r="D20" s="30" t="s">
        <v>141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116</v>
      </c>
      <c r="F21" s="14" t="s">
        <v>196</v>
      </c>
      <c r="G21" s="14" t="s">
        <v>33</v>
      </c>
      <c r="H21" s="44" t="s">
        <v>80</v>
      </c>
      <c r="I21" s="35">
        <v>42582</v>
      </c>
      <c r="J21" s="120">
        <v>20</v>
      </c>
      <c r="K21" s="120"/>
      <c r="L21" s="120">
        <v>20</v>
      </c>
      <c r="M21" s="120"/>
      <c r="N21" s="121">
        <v>19</v>
      </c>
      <c r="O21" s="121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42588</v>
      </c>
      <c r="D22" s="46">
        <v>42588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519</v>
      </c>
      <c r="K22" s="113"/>
      <c r="L22" s="114">
        <v>649</v>
      </c>
      <c r="M22" s="114"/>
      <c r="N22" s="115">
        <v>554</v>
      </c>
      <c r="O22" s="115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115624016</v>
      </c>
      <c r="D23" s="14">
        <v>194726228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241</v>
      </c>
      <c r="D25" s="14" t="s">
        <v>129</v>
      </c>
      <c r="E25" s="14" t="s">
        <v>33</v>
      </c>
      <c r="F25" s="14" t="s">
        <v>33</v>
      </c>
      <c r="G25" s="33" t="s">
        <v>33</v>
      </c>
      <c r="H25" s="44" t="s">
        <v>118</v>
      </c>
      <c r="I25" s="55">
        <v>42588</v>
      </c>
      <c r="J25" s="118">
        <v>26</v>
      </c>
      <c r="K25" s="118"/>
      <c r="L25" s="117">
        <v>26</v>
      </c>
      <c r="M25" s="117"/>
      <c r="N25" s="119" t="s">
        <v>194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46">
        <v>42586</v>
      </c>
      <c r="F26" s="46">
        <v>42568</v>
      </c>
      <c r="G26" s="33" t="s">
        <v>33</v>
      </c>
      <c r="H26" s="28" t="s">
        <v>119</v>
      </c>
      <c r="I26" s="38"/>
      <c r="J26" s="113">
        <v>447</v>
      </c>
      <c r="K26" s="113"/>
      <c r="L26" s="114">
        <v>592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143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55">
        <v>42592</v>
      </c>
      <c r="J28" s="118">
        <v>30</v>
      </c>
      <c r="K28" s="118"/>
      <c r="L28" s="117">
        <v>30</v>
      </c>
      <c r="M28" s="117"/>
      <c r="N28" s="148"/>
      <c r="O28" s="148"/>
    </row>
    <row r="29" spans="1:26" x14ac:dyDescent="0.2">
      <c r="H29" s="28" t="s">
        <v>121</v>
      </c>
      <c r="I29" s="38"/>
      <c r="J29" s="113">
        <v>402</v>
      </c>
      <c r="K29" s="113"/>
      <c r="L29" s="114">
        <v>479</v>
      </c>
      <c r="M29" s="114"/>
      <c r="N29" s="115" t="s">
        <v>33</v>
      </c>
      <c r="O29" s="115"/>
    </row>
    <row r="32" spans="1:26" x14ac:dyDescent="0.2">
      <c r="H32" s="111"/>
    </row>
    <row r="33" spans="8:8" x14ac:dyDescent="0.2">
      <c r="H33" s="111"/>
    </row>
  </sheetData>
  <mergeCells count="134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P26:Q2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P27:Q27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J29:K29"/>
    <mergeCell ref="L29:M29"/>
    <mergeCell ref="N29:O29"/>
    <mergeCell ref="A26:B26"/>
    <mergeCell ref="J26:K26"/>
    <mergeCell ref="L26:M26"/>
    <mergeCell ref="N26:O26"/>
    <mergeCell ref="A27:B27"/>
    <mergeCell ref="J27:K27"/>
    <mergeCell ref="L27:M27"/>
    <mergeCell ref="N27:O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3" x14ac:dyDescent="0.2">
      <c r="A1" s="1" t="s">
        <v>0</v>
      </c>
      <c r="B1" s="2">
        <v>2016</v>
      </c>
      <c r="C1" s="1" t="s">
        <v>1</v>
      </c>
      <c r="D1" s="2">
        <v>16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3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3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3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  <c r="AE4" s="51" t="s">
        <v>185</v>
      </c>
      <c r="AF4" s="51" t="s">
        <v>186</v>
      </c>
      <c r="AG4" s="51" t="s">
        <v>187</v>
      </c>
    </row>
    <row r="5" spans="1:33" x14ac:dyDescent="0.2">
      <c r="A5" s="14"/>
      <c r="B5" s="49"/>
      <c r="C5" s="14"/>
      <c r="D5" s="14"/>
      <c r="E5" s="14"/>
      <c r="F5" s="14"/>
      <c r="G5" s="14"/>
      <c r="H5" s="14"/>
      <c r="I5" s="19"/>
      <c r="J5" s="19"/>
      <c r="K5" s="19"/>
      <c r="L5" s="20"/>
      <c r="M5" s="20"/>
      <c r="N5" s="19"/>
      <c r="O5" s="19"/>
      <c r="P5" s="21"/>
      <c r="Q5" s="21"/>
      <c r="R5" s="16"/>
      <c r="S5" s="16"/>
      <c r="T5" s="16"/>
      <c r="U5" s="14"/>
      <c r="V5" s="14"/>
      <c r="W5" s="14"/>
      <c r="X5" s="16"/>
      <c r="Y5" s="16"/>
      <c r="Z5" s="16"/>
      <c r="AA5" s="7"/>
      <c r="AB5" s="7"/>
      <c r="AC5" s="7"/>
      <c r="AD5" s="7"/>
      <c r="AF5" s="53"/>
    </row>
    <row r="6" spans="1:33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3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3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3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3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3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3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3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3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3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5" t="s">
        <v>188</v>
      </c>
      <c r="S15" s="155"/>
      <c r="T15" s="155"/>
      <c r="U15" s="155"/>
      <c r="V15" s="155"/>
      <c r="W15" s="155"/>
      <c r="X15" s="155"/>
      <c r="Y15" s="155"/>
      <c r="Z15" s="155"/>
      <c r="AA15" s="7"/>
      <c r="AB15" s="7"/>
      <c r="AC15" s="7"/>
      <c r="AD15" s="7"/>
    </row>
    <row r="16" spans="1:33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5"/>
      <c r="S16" s="155"/>
      <c r="T16" s="155"/>
      <c r="U16" s="155"/>
      <c r="V16" s="155"/>
      <c r="W16" s="155"/>
      <c r="X16" s="155"/>
      <c r="Y16" s="155"/>
      <c r="Z16" s="155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5"/>
      <c r="S17" s="155"/>
      <c r="T17" s="155"/>
      <c r="U17" s="155"/>
      <c r="V17" s="155"/>
      <c r="W17" s="155"/>
      <c r="X17" s="155"/>
      <c r="Y17" s="155"/>
      <c r="Z17" s="155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5"/>
      <c r="S18" s="155"/>
      <c r="T18" s="155"/>
      <c r="U18" s="155"/>
      <c r="V18" s="155"/>
      <c r="W18" s="155"/>
      <c r="X18" s="155"/>
      <c r="Y18" s="155"/>
      <c r="Z18" s="155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5"/>
      <c r="S19" s="155"/>
      <c r="T19" s="155"/>
      <c r="U19" s="155"/>
      <c r="V19" s="155"/>
      <c r="W19" s="155"/>
      <c r="X19" s="155"/>
      <c r="Y19" s="155"/>
      <c r="Z19" s="155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5"/>
      <c r="S20" s="155"/>
      <c r="T20" s="155"/>
      <c r="U20" s="155"/>
      <c r="V20" s="155"/>
      <c r="W20" s="155"/>
      <c r="X20" s="155"/>
      <c r="Y20" s="155"/>
      <c r="Z20" s="155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5"/>
      <c r="S21" s="155"/>
      <c r="T21" s="155"/>
      <c r="U21" s="155"/>
      <c r="V21" s="155"/>
      <c r="W21" s="155"/>
      <c r="X21" s="155"/>
      <c r="Y21" s="155"/>
      <c r="Z21" s="155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5"/>
      <c r="S22" s="155"/>
      <c r="T22" s="155"/>
      <c r="U22" s="155"/>
      <c r="V22" s="155"/>
      <c r="W22" s="155"/>
      <c r="X22" s="155"/>
      <c r="Y22" s="155"/>
      <c r="Z22" s="155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5"/>
      <c r="S23" s="155"/>
      <c r="T23" s="155"/>
      <c r="U23" s="155"/>
      <c r="V23" s="155"/>
      <c r="W23" s="155"/>
      <c r="X23" s="155"/>
      <c r="Y23" s="155"/>
      <c r="Z23" s="155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5"/>
      <c r="S24" s="155"/>
      <c r="T24" s="155"/>
      <c r="U24" s="155"/>
      <c r="V24" s="155"/>
      <c r="W24" s="155"/>
      <c r="X24" s="155"/>
      <c r="Y24" s="155"/>
      <c r="Z24" s="155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5"/>
      <c r="S25" s="155"/>
      <c r="T25" s="155"/>
      <c r="U25" s="155"/>
      <c r="V25" s="155"/>
      <c r="W25" s="155"/>
      <c r="X25" s="155"/>
      <c r="Y25" s="155"/>
      <c r="Z25" s="155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5"/>
      <c r="S26" s="155"/>
      <c r="T26" s="155"/>
      <c r="U26" s="155"/>
      <c r="V26" s="155"/>
      <c r="W26" s="155"/>
      <c r="X26" s="155"/>
      <c r="Y26" s="155"/>
      <c r="Z26" s="155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5"/>
      <c r="S27" s="155"/>
      <c r="T27" s="155"/>
      <c r="U27" s="155"/>
      <c r="V27" s="155"/>
      <c r="W27" s="155"/>
      <c r="X27" s="155"/>
      <c r="Y27" s="155"/>
      <c r="Z27" s="155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>
      <selection activeCell="B1" sqref="B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16</v>
      </c>
      <c r="E1" s="1" t="s">
        <v>2</v>
      </c>
      <c r="F1" s="2">
        <v>17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5" t="s">
        <v>189</v>
      </c>
      <c r="S15" s="155"/>
      <c r="T15" s="155"/>
      <c r="U15" s="155"/>
      <c r="V15" s="155"/>
      <c r="W15" s="155"/>
      <c r="X15" s="155"/>
      <c r="Y15" s="155"/>
      <c r="Z15" s="155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5"/>
      <c r="S16" s="155"/>
      <c r="T16" s="155"/>
      <c r="U16" s="155"/>
      <c r="V16" s="155"/>
      <c r="W16" s="155"/>
      <c r="X16" s="155"/>
      <c r="Y16" s="155"/>
      <c r="Z16" s="155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5"/>
      <c r="S17" s="155"/>
      <c r="T17" s="155"/>
      <c r="U17" s="155"/>
      <c r="V17" s="155"/>
      <c r="W17" s="155"/>
      <c r="X17" s="155"/>
      <c r="Y17" s="155"/>
      <c r="Z17" s="155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5"/>
      <c r="S18" s="155"/>
      <c r="T18" s="155"/>
      <c r="U18" s="155"/>
      <c r="V18" s="155"/>
      <c r="W18" s="155"/>
      <c r="X18" s="155"/>
      <c r="Y18" s="155"/>
      <c r="Z18" s="155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5"/>
      <c r="S19" s="155"/>
      <c r="T19" s="155"/>
      <c r="U19" s="155"/>
      <c r="V19" s="155"/>
      <c r="W19" s="155"/>
      <c r="X19" s="155"/>
      <c r="Y19" s="155"/>
      <c r="Z19" s="155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5"/>
      <c r="S20" s="155"/>
      <c r="T20" s="155"/>
      <c r="U20" s="155"/>
      <c r="V20" s="155"/>
      <c r="W20" s="155"/>
      <c r="X20" s="155"/>
      <c r="Y20" s="155"/>
      <c r="Z20" s="155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5"/>
      <c r="S21" s="155"/>
      <c r="T21" s="155"/>
      <c r="U21" s="155"/>
      <c r="V21" s="155"/>
      <c r="W21" s="155"/>
      <c r="X21" s="155"/>
      <c r="Y21" s="155"/>
      <c r="Z21" s="155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5"/>
      <c r="S22" s="155"/>
      <c r="T22" s="155"/>
      <c r="U22" s="155"/>
      <c r="V22" s="155"/>
      <c r="W22" s="155"/>
      <c r="X22" s="155"/>
      <c r="Y22" s="155"/>
      <c r="Z22" s="155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5"/>
      <c r="S23" s="155"/>
      <c r="T23" s="155"/>
      <c r="U23" s="155"/>
      <c r="V23" s="155"/>
      <c r="W23" s="155"/>
      <c r="X23" s="155"/>
      <c r="Y23" s="155"/>
      <c r="Z23" s="155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5"/>
      <c r="S24" s="155"/>
      <c r="T24" s="155"/>
      <c r="U24" s="155"/>
      <c r="V24" s="155"/>
      <c r="W24" s="155"/>
      <c r="X24" s="155"/>
      <c r="Y24" s="155"/>
      <c r="Z24" s="155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5"/>
      <c r="S25" s="155"/>
      <c r="T25" s="155"/>
      <c r="U25" s="155"/>
      <c r="V25" s="155"/>
      <c r="W25" s="155"/>
      <c r="X25" s="155"/>
      <c r="Y25" s="155"/>
      <c r="Z25" s="155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5"/>
      <c r="S26" s="155"/>
      <c r="T26" s="155"/>
      <c r="U26" s="155"/>
      <c r="V26" s="155"/>
      <c r="W26" s="155"/>
      <c r="X26" s="155"/>
      <c r="Y26" s="155"/>
      <c r="Z26" s="155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5"/>
      <c r="S27" s="155"/>
      <c r="T27" s="155"/>
      <c r="U27" s="155"/>
      <c r="V27" s="155"/>
      <c r="W27" s="155"/>
      <c r="X27" s="155"/>
      <c r="Y27" s="155"/>
      <c r="Z27" s="155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D1"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20</v>
      </c>
      <c r="E1" s="1" t="s">
        <v>2</v>
      </c>
      <c r="F1" s="2">
        <v>18</v>
      </c>
      <c r="G1" s="3" t="s">
        <v>3</v>
      </c>
      <c r="H1" s="2"/>
      <c r="I1" s="129" t="s">
        <v>4</v>
      </c>
      <c r="J1" s="129"/>
      <c r="K1" s="142" t="s">
        <v>655</v>
      </c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190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3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7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.12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8.625" customWidth="1"/>
    <col min="28" max="30" width="9.25" customWidth="1"/>
    <col min="31" max="1024" width="10.625" customWidth="1"/>
  </cols>
  <sheetData>
    <row r="1" spans="1:33" x14ac:dyDescent="0.2">
      <c r="A1" s="1" t="s">
        <v>0</v>
      </c>
      <c r="B1" s="2">
        <v>2016</v>
      </c>
      <c r="C1" s="1" t="s">
        <v>1</v>
      </c>
      <c r="D1" s="2">
        <v>19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191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3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  <c r="AE2" s="51" t="s">
        <v>185</v>
      </c>
      <c r="AF2" s="51" t="s">
        <v>186</v>
      </c>
      <c r="AG2" s="51" t="s">
        <v>187</v>
      </c>
    </row>
    <row r="3" spans="1:33" x14ac:dyDescent="0.2">
      <c r="A3" s="14"/>
      <c r="B3" s="49"/>
      <c r="C3" s="14"/>
      <c r="D3" s="14"/>
      <c r="E3" s="14"/>
      <c r="F3" s="56"/>
      <c r="G3" s="14"/>
      <c r="H3" s="14"/>
      <c r="I3" s="14"/>
      <c r="J3" s="14"/>
      <c r="K3" s="14"/>
      <c r="L3" s="15"/>
      <c r="M3" s="15"/>
      <c r="N3" s="14"/>
      <c r="O3" s="14"/>
      <c r="P3" s="16"/>
      <c r="Q3" s="16"/>
      <c r="R3" s="16"/>
      <c r="S3" s="16"/>
      <c r="T3" s="16"/>
      <c r="U3" s="14"/>
      <c r="V3" s="14"/>
      <c r="X3" s="16"/>
      <c r="Y3" s="17"/>
      <c r="Z3" s="17"/>
      <c r="AA3" s="54"/>
      <c r="AB3" s="7"/>
      <c r="AC3" s="7"/>
      <c r="AD3" s="7"/>
      <c r="AF3" s="53"/>
    </row>
    <row r="4" spans="1:33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  <c r="AE4" s="51" t="s">
        <v>185</v>
      </c>
      <c r="AF4" s="51" t="s">
        <v>186</v>
      </c>
      <c r="AG4" s="51" t="s">
        <v>187</v>
      </c>
    </row>
    <row r="5" spans="1:33" x14ac:dyDescent="0.2">
      <c r="A5" s="14"/>
      <c r="B5" s="49"/>
      <c r="C5" s="14"/>
      <c r="D5" s="14"/>
      <c r="E5" s="14"/>
      <c r="F5" s="14"/>
      <c r="G5" s="14"/>
      <c r="H5" s="14"/>
      <c r="I5" s="19"/>
      <c r="J5" s="19"/>
      <c r="K5" s="19"/>
      <c r="L5" s="20"/>
      <c r="M5" s="20"/>
      <c r="N5" s="19"/>
      <c r="O5" s="19"/>
      <c r="P5" s="21"/>
      <c r="Q5" s="21"/>
      <c r="R5" s="16"/>
      <c r="S5" s="16"/>
      <c r="T5" s="16"/>
      <c r="U5" s="14"/>
      <c r="V5" s="14"/>
      <c r="W5" s="14"/>
      <c r="X5" s="16"/>
      <c r="Y5" s="16"/>
      <c r="Z5" s="16"/>
      <c r="AA5" s="52"/>
      <c r="AB5" s="7"/>
      <c r="AC5" s="7"/>
      <c r="AD5" s="7"/>
    </row>
    <row r="6" spans="1:33" x14ac:dyDescent="0.2">
      <c r="A6" s="14"/>
      <c r="B6" s="49"/>
      <c r="C6" s="14"/>
      <c r="D6" s="14"/>
      <c r="E6" s="14"/>
      <c r="F6" s="14"/>
      <c r="G6" s="14"/>
      <c r="H6" s="14"/>
      <c r="I6" s="19"/>
      <c r="J6" s="19"/>
      <c r="K6" s="19"/>
      <c r="L6" s="20"/>
      <c r="M6" s="20"/>
      <c r="N6" s="19"/>
      <c r="O6" s="19"/>
      <c r="P6" s="21"/>
      <c r="Q6" s="21"/>
      <c r="R6" s="16"/>
      <c r="S6" s="16"/>
      <c r="T6" s="16"/>
      <c r="U6" s="14"/>
      <c r="V6" s="14"/>
      <c r="W6" s="14"/>
      <c r="X6" s="16"/>
      <c r="Y6" s="16"/>
      <c r="Z6" s="16"/>
      <c r="AA6" s="52"/>
      <c r="AB6" s="7"/>
      <c r="AC6" s="7"/>
      <c r="AD6" s="7"/>
      <c r="AF6" s="53"/>
    </row>
    <row r="7" spans="1:33" x14ac:dyDescent="0.2">
      <c r="A7" s="4" t="s">
        <v>37</v>
      </c>
      <c r="B7" s="10" t="s">
        <v>7</v>
      </c>
      <c r="C7" s="22" t="s">
        <v>38</v>
      </c>
      <c r="D7" s="22" t="s">
        <v>39</v>
      </c>
      <c r="E7" s="22" t="s">
        <v>40</v>
      </c>
      <c r="F7" s="22" t="s">
        <v>41</v>
      </c>
      <c r="G7" s="22" t="s">
        <v>42</v>
      </c>
      <c r="H7" s="23" t="s">
        <v>43</v>
      </c>
      <c r="I7" s="22" t="s">
        <v>7</v>
      </c>
      <c r="J7" s="117" t="s">
        <v>44</v>
      </c>
      <c r="K7" s="117"/>
      <c r="L7" s="117" t="s">
        <v>45</v>
      </c>
      <c r="M7" s="117"/>
      <c r="N7" s="117" t="s">
        <v>46</v>
      </c>
      <c r="O7" s="117"/>
      <c r="P7" s="117" t="s">
        <v>47</v>
      </c>
      <c r="Q7" s="117"/>
      <c r="R7" s="24"/>
      <c r="S7" s="136" t="s">
        <v>48</v>
      </c>
      <c r="T7" s="136"/>
      <c r="U7" s="136"/>
      <c r="V7" s="136"/>
      <c r="W7" s="136"/>
      <c r="X7" s="136"/>
      <c r="Y7" s="136"/>
      <c r="Z7" s="136"/>
      <c r="AA7" s="7"/>
      <c r="AB7" s="7"/>
      <c r="AC7" s="7"/>
      <c r="AD7" s="7"/>
    </row>
    <row r="8" spans="1:33" x14ac:dyDescent="0.2">
      <c r="A8" s="25" t="s">
        <v>49</v>
      </c>
      <c r="B8" s="16"/>
      <c r="C8" s="26">
        <v>42528</v>
      </c>
      <c r="D8" s="26"/>
      <c r="E8" s="26"/>
      <c r="F8" s="26"/>
      <c r="G8" s="27" t="e">
        <f>{#DIV/0!}</f>
        <v>#DIV/0!</v>
      </c>
      <c r="H8" s="28" t="s">
        <v>50</v>
      </c>
      <c r="I8" s="29"/>
      <c r="J8" s="137" t="s">
        <v>101</v>
      </c>
      <c r="K8" s="137"/>
      <c r="L8" s="138" t="s">
        <v>102</v>
      </c>
      <c r="M8" s="138"/>
      <c r="N8" s="138" t="s">
        <v>103</v>
      </c>
      <c r="O8" s="138"/>
      <c r="P8" s="139" t="s">
        <v>104</v>
      </c>
      <c r="Q8" s="139"/>
      <c r="R8" s="31" t="s">
        <v>51</v>
      </c>
      <c r="S8" s="32"/>
      <c r="T8" s="33" t="s">
        <v>33</v>
      </c>
      <c r="U8" s="140" t="s">
        <v>52</v>
      </c>
      <c r="V8" s="140"/>
      <c r="W8" s="140"/>
      <c r="X8" s="141" t="s">
        <v>33</v>
      </c>
      <c r="Y8" s="141"/>
      <c r="Z8" s="141"/>
      <c r="AA8" s="7"/>
      <c r="AB8" s="7"/>
      <c r="AC8" s="7"/>
      <c r="AD8" s="7"/>
    </row>
    <row r="9" spans="1:33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54</v>
      </c>
      <c r="I9" s="35">
        <v>42569</v>
      </c>
      <c r="J9" s="133">
        <v>1</v>
      </c>
      <c r="K9" s="133"/>
      <c r="L9" s="133">
        <v>1</v>
      </c>
      <c r="M9" s="133"/>
      <c r="N9" s="133">
        <v>1</v>
      </c>
      <c r="O9" s="133"/>
      <c r="P9" s="133">
        <v>0</v>
      </c>
      <c r="Q9" s="133"/>
      <c r="R9" s="36" t="s">
        <v>55</v>
      </c>
      <c r="S9" s="37"/>
      <c r="T9" s="33" t="s">
        <v>33</v>
      </c>
      <c r="U9" s="134" t="s">
        <v>56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3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57</v>
      </c>
      <c r="I10" s="38"/>
      <c r="J10" s="130">
        <v>44</v>
      </c>
      <c r="K10" s="130"/>
      <c r="L10" s="114">
        <v>42</v>
      </c>
      <c r="M10" s="114"/>
      <c r="N10" s="114">
        <v>40</v>
      </c>
      <c r="O10" s="114"/>
      <c r="P10" s="113">
        <v>32</v>
      </c>
      <c r="Q10" s="113"/>
      <c r="R10" s="36" t="s">
        <v>58</v>
      </c>
      <c r="S10" s="37"/>
      <c r="T10" s="33" t="s">
        <v>33</v>
      </c>
      <c r="U10" s="134" t="s">
        <v>59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3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60</v>
      </c>
      <c r="I11" s="39"/>
      <c r="J11" s="147"/>
      <c r="K11" s="147"/>
      <c r="L11" s="147"/>
      <c r="M11" s="147"/>
      <c r="N11" s="147"/>
      <c r="O11" s="147"/>
      <c r="P11" s="147"/>
      <c r="Q11" s="147"/>
      <c r="R11" s="36" t="s">
        <v>61</v>
      </c>
      <c r="S11" s="37"/>
      <c r="T11" s="33" t="s">
        <v>33</v>
      </c>
      <c r="U11" s="134" t="s">
        <v>62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3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63</v>
      </c>
      <c r="I12" s="35">
        <v>42574</v>
      </c>
      <c r="J12" s="133">
        <v>6</v>
      </c>
      <c r="K12" s="133"/>
      <c r="L12" s="133">
        <v>6</v>
      </c>
      <c r="M12" s="133"/>
      <c r="N12" s="133">
        <v>6</v>
      </c>
      <c r="O12" s="133"/>
      <c r="P12" s="122">
        <v>5</v>
      </c>
      <c r="Q12" s="122"/>
      <c r="R12" s="36" t="s">
        <v>64</v>
      </c>
      <c r="S12" s="37"/>
      <c r="T12" s="33" t="s">
        <v>33</v>
      </c>
      <c r="U12" s="134" t="s">
        <v>65</v>
      </c>
      <c r="V12" s="134"/>
      <c r="W12" s="134"/>
      <c r="X12" s="135" t="s">
        <v>33</v>
      </c>
      <c r="Y12" s="135"/>
      <c r="Z12" s="135"/>
      <c r="AA12" s="7"/>
      <c r="AB12" s="7"/>
      <c r="AC12" s="7"/>
      <c r="AD12" s="7"/>
    </row>
    <row r="13" spans="1:33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66</v>
      </c>
      <c r="I13" s="38"/>
      <c r="J13" s="130">
        <v>129</v>
      </c>
      <c r="K13" s="130"/>
      <c r="L13" s="114">
        <v>125</v>
      </c>
      <c r="M13" s="114"/>
      <c r="N13" s="114">
        <v>130</v>
      </c>
      <c r="O13" s="114"/>
      <c r="P13" s="113">
        <v>92</v>
      </c>
      <c r="Q13" s="113"/>
      <c r="R13" s="36" t="s">
        <v>67</v>
      </c>
      <c r="S13" s="37"/>
      <c r="T13" s="40" t="s">
        <v>33</v>
      </c>
      <c r="U13" s="131" t="s">
        <v>68</v>
      </c>
      <c r="V13" s="131"/>
      <c r="W13" s="131"/>
      <c r="X13" s="132" t="s">
        <v>33</v>
      </c>
      <c r="Y13" s="132"/>
      <c r="Z13" s="132"/>
      <c r="AA13" s="7"/>
      <c r="AB13" s="7"/>
      <c r="AC13" s="7"/>
      <c r="AD13" s="7"/>
    </row>
    <row r="14" spans="1:33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69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 t="s">
        <v>70</v>
      </c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3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71</v>
      </c>
      <c r="I15" s="39"/>
      <c r="J15" s="147"/>
      <c r="K15" s="147"/>
      <c r="L15" s="147"/>
      <c r="M15" s="147"/>
      <c r="N15" s="147"/>
      <c r="O15" s="147"/>
      <c r="P15" s="148"/>
      <c r="Q15" s="148"/>
      <c r="R15" s="129"/>
      <c r="S15" s="129"/>
      <c r="T15" s="129"/>
      <c r="U15" s="129"/>
      <c r="V15" s="129"/>
      <c r="W15" s="129"/>
      <c r="X15" s="129"/>
      <c r="Y15" s="129"/>
      <c r="Z15" s="129"/>
      <c r="AA15" s="7"/>
      <c r="AB15" s="7"/>
      <c r="AC15" s="7"/>
      <c r="AD15" s="7"/>
    </row>
    <row r="16" spans="1:33" x14ac:dyDescent="0.2">
      <c r="A16" s="34" t="s">
        <v>53</v>
      </c>
      <c r="B16" s="16" t="s">
        <v>33</v>
      </c>
      <c r="C16" s="16" t="s">
        <v>33</v>
      </c>
      <c r="D16" s="16" t="s">
        <v>33</v>
      </c>
      <c r="E16" s="16" t="s">
        <v>33</v>
      </c>
      <c r="F16" s="16" t="s">
        <v>33</v>
      </c>
      <c r="G16" s="22"/>
      <c r="H16" s="28" t="s">
        <v>72</v>
      </c>
      <c r="I16" s="39"/>
      <c r="J16" s="147"/>
      <c r="K16" s="147"/>
      <c r="L16" s="147"/>
      <c r="M16" s="147"/>
      <c r="N16" s="147"/>
      <c r="O16" s="147"/>
      <c r="P16" s="149"/>
      <c r="Q16" s="149"/>
      <c r="R16" s="150" t="s">
        <v>192</v>
      </c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30" x14ac:dyDescent="0.2">
      <c r="A17" s="41" t="s">
        <v>73</v>
      </c>
      <c r="B17" s="16"/>
      <c r="C17" s="26">
        <v>42568</v>
      </c>
      <c r="D17" s="26">
        <v>42568</v>
      </c>
      <c r="E17" s="26">
        <v>42568</v>
      </c>
      <c r="F17" s="26">
        <v>42569</v>
      </c>
      <c r="G17" s="27" t="e">
        <f>{#DIV/0!}</f>
        <v>#DIV/0!</v>
      </c>
      <c r="H17" s="28" t="s">
        <v>74</v>
      </c>
      <c r="I17" s="35">
        <v>42579</v>
      </c>
      <c r="J17" s="120">
        <v>11</v>
      </c>
      <c r="K17" s="120"/>
      <c r="L17" s="120" t="s">
        <v>193</v>
      </c>
      <c r="M17" s="120"/>
      <c r="N17" s="121">
        <v>11</v>
      </c>
      <c r="O17" s="121"/>
      <c r="P17" s="122">
        <v>10</v>
      </c>
      <c r="Q17" s="122"/>
      <c r="R17" s="150"/>
      <c r="S17" s="150"/>
      <c r="T17" s="150"/>
      <c r="U17" s="150"/>
      <c r="V17" s="150"/>
      <c r="W17" s="150"/>
      <c r="X17" s="150"/>
      <c r="Y17" s="150"/>
      <c r="Z17" s="150"/>
      <c r="AA17" s="7"/>
      <c r="AB17" s="7"/>
      <c r="AC17" s="7"/>
      <c r="AD17" s="7"/>
    </row>
    <row r="18" spans="1:30" ht="15" customHeight="1" x14ac:dyDescent="0.2">
      <c r="A18" s="123" t="s">
        <v>75</v>
      </c>
      <c r="B18" s="123"/>
      <c r="C18" s="42">
        <v>0</v>
      </c>
      <c r="D18" s="42">
        <v>0</v>
      </c>
      <c r="E18" s="42">
        <v>0</v>
      </c>
      <c r="F18" s="42">
        <v>0</v>
      </c>
      <c r="G18" s="43">
        <v>0</v>
      </c>
      <c r="H18" s="28" t="s">
        <v>76</v>
      </c>
      <c r="I18" s="38"/>
      <c r="J18" s="113">
        <v>283</v>
      </c>
      <c r="K18" s="113"/>
      <c r="L18" s="114" t="s">
        <v>194</v>
      </c>
      <c r="M18" s="114"/>
      <c r="N18" s="115">
        <v>318</v>
      </c>
      <c r="O18" s="115"/>
      <c r="P18" s="113">
        <v>253</v>
      </c>
      <c r="Q18" s="113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30" x14ac:dyDescent="0.2">
      <c r="A19" s="124" t="s">
        <v>77</v>
      </c>
      <c r="B19" s="124"/>
      <c r="C19" s="117" t="s">
        <v>44</v>
      </c>
      <c r="D19" s="117" t="s">
        <v>45</v>
      </c>
      <c r="E19" s="117" t="s">
        <v>46</v>
      </c>
      <c r="F19" s="117" t="s">
        <v>47</v>
      </c>
      <c r="G19" s="117" t="s">
        <v>42</v>
      </c>
      <c r="H19" s="39" t="s">
        <v>78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30" x14ac:dyDescent="0.2">
      <c r="A20" s="124"/>
      <c r="B20" s="124"/>
      <c r="C20" s="117"/>
      <c r="D20" s="117"/>
      <c r="E20" s="117"/>
      <c r="F20" s="117"/>
      <c r="G20" s="117"/>
      <c r="H20" s="39" t="s">
        <v>71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30" x14ac:dyDescent="0.2">
      <c r="A21" s="117" t="s">
        <v>79</v>
      </c>
      <c r="B21" s="117"/>
      <c r="C21" s="30" t="s">
        <v>195</v>
      </c>
      <c r="D21" s="30"/>
      <c r="E21" s="30" t="s">
        <v>33</v>
      </c>
      <c r="F21" s="30" t="s">
        <v>33</v>
      </c>
      <c r="G21" s="30" t="s">
        <v>33</v>
      </c>
      <c r="H21" s="28" t="s">
        <v>72</v>
      </c>
      <c r="I21" s="39"/>
      <c r="J21" s="147"/>
      <c r="K21" s="147"/>
      <c r="L21" s="147"/>
      <c r="M21" s="147"/>
      <c r="N21" s="148"/>
      <c r="O21" s="148"/>
      <c r="P21" s="147"/>
      <c r="Q21" s="147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30" x14ac:dyDescent="0.2">
      <c r="A22" s="117" t="s">
        <v>50</v>
      </c>
      <c r="B22" s="117"/>
      <c r="C22" s="14" t="s">
        <v>114</v>
      </c>
      <c r="D22" s="14" t="s">
        <v>115</v>
      </c>
      <c r="E22" s="14" t="s">
        <v>116</v>
      </c>
      <c r="F22" s="14" t="s">
        <v>196</v>
      </c>
      <c r="G22" s="14" t="s">
        <v>33</v>
      </c>
      <c r="H22" s="44" t="s">
        <v>80</v>
      </c>
      <c r="I22" s="35">
        <v>42585</v>
      </c>
      <c r="J22" s="120">
        <v>17</v>
      </c>
      <c r="K22" s="120"/>
      <c r="L22" s="142"/>
      <c r="M22" s="142"/>
      <c r="N22" s="121">
        <v>17</v>
      </c>
      <c r="O22" s="121"/>
      <c r="P22" s="122" t="s">
        <v>193</v>
      </c>
      <c r="Q22" s="12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30" x14ac:dyDescent="0.2">
      <c r="A23" s="117" t="s">
        <v>81</v>
      </c>
      <c r="B23" s="117"/>
      <c r="C23" s="14" t="s">
        <v>197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82</v>
      </c>
      <c r="I23" s="38"/>
      <c r="J23" s="113">
        <v>395</v>
      </c>
      <c r="K23" s="113"/>
      <c r="L23" s="142"/>
      <c r="M23" s="142"/>
      <c r="N23" s="115">
        <v>482</v>
      </c>
      <c r="O23" s="115"/>
      <c r="P23" s="113" t="s">
        <v>194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30" x14ac:dyDescent="0.2">
      <c r="A24" s="117" t="s">
        <v>10</v>
      </c>
      <c r="B24" s="117"/>
      <c r="C24" s="14">
        <v>115618951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111</v>
      </c>
      <c r="I24" s="38"/>
      <c r="J24" s="113">
        <v>5</v>
      </c>
      <c r="K24" s="113"/>
      <c r="L24" s="114" t="s">
        <v>33</v>
      </c>
      <c r="M24" s="114"/>
      <c r="N24" s="115">
        <v>3</v>
      </c>
      <c r="O24" s="115"/>
      <c r="P24" s="113" t="s">
        <v>33</v>
      </c>
      <c r="Q24" s="113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30" x14ac:dyDescent="0.2">
      <c r="A25" s="117" t="s">
        <v>84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71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30" x14ac:dyDescent="0.2">
      <c r="A26" s="117" t="s">
        <v>9</v>
      </c>
      <c r="B26" s="117"/>
      <c r="C26" s="14" t="s">
        <v>117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72</v>
      </c>
      <c r="I26" s="39"/>
      <c r="J26" s="118" t="s">
        <v>33</v>
      </c>
      <c r="K26" s="118"/>
      <c r="L26" s="117" t="s">
        <v>33</v>
      </c>
      <c r="M26" s="117"/>
      <c r="N26" s="119" t="s">
        <v>33</v>
      </c>
      <c r="O26" s="119"/>
      <c r="P26" s="118" t="s">
        <v>33</v>
      </c>
      <c r="Q26" s="118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30" x14ac:dyDescent="0.2">
      <c r="A27" s="112" t="s">
        <v>85</v>
      </c>
      <c r="B27" s="112"/>
      <c r="C27" s="14" t="s">
        <v>33</v>
      </c>
      <c r="D27" s="46">
        <v>42577</v>
      </c>
      <c r="E27" s="14" t="s">
        <v>198</v>
      </c>
      <c r="F27" s="46">
        <v>42584</v>
      </c>
      <c r="G27" s="33" t="s">
        <v>33</v>
      </c>
      <c r="H27" s="44" t="s">
        <v>80</v>
      </c>
      <c r="I27" s="47">
        <v>42589</v>
      </c>
      <c r="J27" s="113">
        <v>21</v>
      </c>
      <c r="K27" s="113"/>
      <c r="L27" s="114" t="s">
        <v>33</v>
      </c>
      <c r="M27" s="114"/>
      <c r="N27" s="115" t="s">
        <v>193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30" x14ac:dyDescent="0.2">
      <c r="A28" s="116" t="s">
        <v>87</v>
      </c>
      <c r="B28" s="116"/>
      <c r="C28" s="14" t="s">
        <v>33</v>
      </c>
      <c r="D28" s="14">
        <v>9</v>
      </c>
      <c r="E28" s="14">
        <v>18</v>
      </c>
      <c r="F28" s="14">
        <v>15</v>
      </c>
      <c r="G28" s="33" t="s">
        <v>33</v>
      </c>
      <c r="H28" s="28" t="s">
        <v>82</v>
      </c>
      <c r="I28" s="38"/>
      <c r="J28" s="113">
        <v>537</v>
      </c>
      <c r="K28" s="113"/>
      <c r="L28" s="114" t="s">
        <v>33</v>
      </c>
      <c r="M28" s="114"/>
      <c r="N28" s="115" t="s">
        <v>194</v>
      </c>
      <c r="O28" s="115"/>
      <c r="P28" s="113" t="s">
        <v>33</v>
      </c>
      <c r="Q28" s="113"/>
      <c r="R28" s="150"/>
      <c r="S28" s="150"/>
      <c r="T28" s="150"/>
      <c r="U28" s="150"/>
      <c r="V28" s="150"/>
      <c r="W28" s="150"/>
      <c r="X28" s="150"/>
      <c r="Y28" s="150"/>
      <c r="Z28" s="150"/>
    </row>
    <row r="29" spans="1:30" x14ac:dyDescent="0.2">
      <c r="H29" s="48" t="s">
        <v>111</v>
      </c>
      <c r="I29" s="39"/>
      <c r="J29" s="125">
        <v>9.58</v>
      </c>
      <c r="K29" s="125"/>
      <c r="L29" s="147"/>
      <c r="M29" s="147"/>
      <c r="N29" s="147"/>
      <c r="O29" s="147"/>
      <c r="P29" s="148"/>
      <c r="Q29" s="148"/>
    </row>
    <row r="30" spans="1:30" x14ac:dyDescent="0.2">
      <c r="H30" s="44" t="s">
        <v>118</v>
      </c>
      <c r="I30" s="47" t="s">
        <v>197</v>
      </c>
      <c r="J30" s="113">
        <v>26</v>
      </c>
      <c r="K30" s="113"/>
    </row>
    <row r="31" spans="1:30" x14ac:dyDescent="0.2">
      <c r="H31" s="28" t="s">
        <v>119</v>
      </c>
      <c r="I31" s="38"/>
      <c r="J31" s="113">
        <v>596</v>
      </c>
      <c r="K31" s="113"/>
    </row>
    <row r="32" spans="1:30" x14ac:dyDescent="0.2">
      <c r="H32" s="44" t="s">
        <v>120</v>
      </c>
      <c r="I32" s="47" t="s">
        <v>199</v>
      </c>
      <c r="J32" s="113">
        <v>31</v>
      </c>
      <c r="K32" s="113"/>
    </row>
    <row r="33" spans="8:11" x14ac:dyDescent="0.2">
      <c r="H33" s="28" t="s">
        <v>121</v>
      </c>
      <c r="I33" s="38"/>
      <c r="J33" s="113">
        <v>607</v>
      </c>
      <c r="K33" s="113"/>
    </row>
  </sheetData>
  <mergeCells count="136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7:K7"/>
    <mergeCell ref="L7:M7"/>
    <mergeCell ref="N7:O7"/>
    <mergeCell ref="P7:Q7"/>
    <mergeCell ref="S7:Z7"/>
    <mergeCell ref="J9:K9"/>
    <mergeCell ref="L9:M9"/>
    <mergeCell ref="N9:O9"/>
    <mergeCell ref="P9:Q9"/>
    <mergeCell ref="U9:W9"/>
    <mergeCell ref="X9:Z9"/>
    <mergeCell ref="J8:K8"/>
    <mergeCell ref="L8:M8"/>
    <mergeCell ref="N8:O8"/>
    <mergeCell ref="P8:Q8"/>
    <mergeCell ref="U8:W8"/>
    <mergeCell ref="X8:Z8"/>
    <mergeCell ref="J11:K11"/>
    <mergeCell ref="L11:M11"/>
    <mergeCell ref="N11:O11"/>
    <mergeCell ref="P11:Q11"/>
    <mergeCell ref="U11:W11"/>
    <mergeCell ref="X11:Z11"/>
    <mergeCell ref="J10:K10"/>
    <mergeCell ref="L10:M10"/>
    <mergeCell ref="N10:O10"/>
    <mergeCell ref="P10:Q10"/>
    <mergeCell ref="U10:W10"/>
    <mergeCell ref="X10:Z10"/>
    <mergeCell ref="J13:K13"/>
    <mergeCell ref="L13:M13"/>
    <mergeCell ref="N13:O13"/>
    <mergeCell ref="P13:Q13"/>
    <mergeCell ref="U13:W13"/>
    <mergeCell ref="X13:Z13"/>
    <mergeCell ref="J12:K12"/>
    <mergeCell ref="L12:M12"/>
    <mergeCell ref="N12:O12"/>
    <mergeCell ref="P12:Q12"/>
    <mergeCell ref="U12:W12"/>
    <mergeCell ref="X12:Z12"/>
    <mergeCell ref="J14:K14"/>
    <mergeCell ref="L14:M14"/>
    <mergeCell ref="N14:O14"/>
    <mergeCell ref="P14:Q14"/>
    <mergeCell ref="R14:Z15"/>
    <mergeCell ref="J15:K15"/>
    <mergeCell ref="L15:M15"/>
    <mergeCell ref="N15:O15"/>
    <mergeCell ref="P15:Q15"/>
    <mergeCell ref="J16:K16"/>
    <mergeCell ref="L16:M16"/>
    <mergeCell ref="N16:O16"/>
    <mergeCell ref="P16:Q16"/>
    <mergeCell ref="R16:Z28"/>
    <mergeCell ref="J17:K17"/>
    <mergeCell ref="L17:M17"/>
    <mergeCell ref="N17:O17"/>
    <mergeCell ref="P17:Q17"/>
    <mergeCell ref="A18:B18"/>
    <mergeCell ref="J18:K18"/>
    <mergeCell ref="L18:M18"/>
    <mergeCell ref="N18:O18"/>
    <mergeCell ref="P18:Q18"/>
    <mergeCell ref="A19:B20"/>
    <mergeCell ref="C19:C20"/>
    <mergeCell ref="D19:D20"/>
    <mergeCell ref="E19:E20"/>
    <mergeCell ref="F19:F20"/>
    <mergeCell ref="G19:G20"/>
    <mergeCell ref="J19:K19"/>
    <mergeCell ref="L19:M19"/>
    <mergeCell ref="N19:O19"/>
    <mergeCell ref="P19:Q19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J32:K32"/>
    <mergeCell ref="J33:K33"/>
    <mergeCell ref="J29:K29"/>
    <mergeCell ref="L29:M29"/>
    <mergeCell ref="N29:O29"/>
    <mergeCell ref="P29:Q29"/>
    <mergeCell ref="J30:K30"/>
    <mergeCell ref="J31:K31"/>
    <mergeCell ref="A27:B27"/>
    <mergeCell ref="J27:K27"/>
    <mergeCell ref="L27:M27"/>
    <mergeCell ref="N27:O27"/>
    <mergeCell ref="P27:Q27"/>
    <mergeCell ref="A28:B28"/>
    <mergeCell ref="J28:K28"/>
    <mergeCell ref="L28:M28"/>
    <mergeCell ref="N28:O28"/>
    <mergeCell ref="P28:Q28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topLeftCell="B1" workbookViewId="0">
      <selection activeCell="R15" sqref="R15:Z27"/>
    </sheetView>
  </sheetViews>
  <sheetFormatPr defaultRowHeight="14.25" x14ac:dyDescent="0.2"/>
  <cols>
    <col min="1" max="1" width="8.125" customWidth="1"/>
    <col min="2" max="2" width="10.75" customWidth="1"/>
    <col min="3" max="4" width="8.125" customWidth="1"/>
    <col min="5" max="5" width="10.625" customWidth="1"/>
    <col min="6" max="28" width="8.125" customWidth="1"/>
    <col min="29" max="29" width="12.625" customWidth="1"/>
    <col min="30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20</v>
      </c>
      <c r="E1" s="1" t="s">
        <v>2</v>
      </c>
      <c r="F1" s="2">
        <v>20</v>
      </c>
      <c r="G1" s="3" t="s">
        <v>3</v>
      </c>
      <c r="H1" s="2"/>
      <c r="I1" s="129" t="s">
        <v>4</v>
      </c>
      <c r="J1" s="129"/>
      <c r="K1" s="151" t="s">
        <v>200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572</v>
      </c>
      <c r="AC2" s="13" t="s">
        <v>581</v>
      </c>
      <c r="AD2" s="12" t="s">
        <v>579</v>
      </c>
    </row>
    <row r="3" spans="1:30" x14ac:dyDescent="0.2">
      <c r="A3" s="14" t="s">
        <v>578</v>
      </c>
      <c r="B3" s="105">
        <v>42583</v>
      </c>
      <c r="C3" s="14" t="s">
        <v>213</v>
      </c>
      <c r="D3" s="14" t="s">
        <v>569</v>
      </c>
      <c r="E3" s="14" t="s">
        <v>577</v>
      </c>
      <c r="F3" s="14" t="s">
        <v>33</v>
      </c>
      <c r="G3" s="14" t="s">
        <v>571</v>
      </c>
      <c r="H3" s="14" t="s">
        <v>33</v>
      </c>
      <c r="I3" s="14" t="s">
        <v>33</v>
      </c>
      <c r="J3" s="14">
        <v>795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91" t="s">
        <v>580</v>
      </c>
      <c r="AC3" s="91">
        <v>48797731628</v>
      </c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ht="15" x14ac:dyDescent="0.2">
      <c r="A5" s="14" t="s">
        <v>90</v>
      </c>
      <c r="B5" s="14" t="s">
        <v>565</v>
      </c>
      <c r="C5" s="14" t="s">
        <v>93</v>
      </c>
      <c r="D5" s="14" t="s">
        <v>264</v>
      </c>
      <c r="E5" s="100" t="s">
        <v>566</v>
      </c>
      <c r="F5" s="14" t="s">
        <v>366</v>
      </c>
      <c r="G5" s="14" t="s">
        <v>567</v>
      </c>
      <c r="H5" s="14" t="s">
        <v>33</v>
      </c>
      <c r="I5" s="19" t="s">
        <v>33</v>
      </c>
      <c r="J5" s="19">
        <v>1100</v>
      </c>
      <c r="K5" s="19" t="s">
        <v>33</v>
      </c>
      <c r="L5" s="20" t="s">
        <v>33</v>
      </c>
      <c r="M5" s="20" t="s">
        <v>33</v>
      </c>
      <c r="N5" s="19">
        <v>169</v>
      </c>
      <c r="O5" s="19">
        <v>365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201</v>
      </c>
      <c r="J8" s="133" t="s">
        <v>202</v>
      </c>
      <c r="K8" s="133"/>
      <c r="L8" s="133" t="s">
        <v>202</v>
      </c>
      <c r="M8" s="133"/>
      <c r="N8" s="133" t="s">
        <v>202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862</v>
      </c>
      <c r="K9" s="130"/>
      <c r="L9" s="114">
        <v>1085</v>
      </c>
      <c r="M9" s="114"/>
      <c r="N9" s="114">
        <v>1017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601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203</v>
      </c>
      <c r="D20" s="30" t="s">
        <v>204</v>
      </c>
      <c r="E20" s="30" t="s">
        <v>204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201</v>
      </c>
      <c r="D22" s="14" t="s">
        <v>201</v>
      </c>
      <c r="E22" s="14" t="s">
        <v>201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194719287</v>
      </c>
      <c r="D23" s="14">
        <v>185702477</v>
      </c>
      <c r="E23" s="14">
        <v>185702476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205</v>
      </c>
      <c r="D25" s="14" t="s">
        <v>205</v>
      </c>
      <c r="E25" s="14" t="s">
        <v>205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G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21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206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42589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881</v>
      </c>
      <c r="K9" s="130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207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208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42589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185702472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22</v>
      </c>
      <c r="E1" s="1" t="s">
        <v>2</v>
      </c>
      <c r="F1" s="2">
        <v>22</v>
      </c>
      <c r="G1" s="3" t="s">
        <v>3</v>
      </c>
      <c r="H1" s="2"/>
      <c r="I1" s="129" t="s">
        <v>4</v>
      </c>
      <c r="J1" s="129"/>
      <c r="K1" s="151" t="s">
        <v>209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632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2"/>
  <sheetViews>
    <sheetView workbookViewId="0">
      <selection activeCell="H15" sqref="H15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10.375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.2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23</v>
      </c>
      <c r="G1" s="3" t="s">
        <v>3</v>
      </c>
      <c r="H1" s="2"/>
      <c r="I1" s="129" t="s">
        <v>4</v>
      </c>
      <c r="J1" s="129"/>
      <c r="K1" s="151" t="s">
        <v>210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s="60" customFormat="1" ht="38.25" x14ac:dyDescent="0.2">
      <c r="A5" s="57"/>
      <c r="B5" s="58">
        <v>42521</v>
      </c>
      <c r="C5" s="59" t="s">
        <v>93</v>
      </c>
      <c r="D5" s="60" t="s">
        <v>98</v>
      </c>
      <c r="E5" s="61">
        <v>168705193</v>
      </c>
      <c r="F5" s="59" t="s">
        <v>211</v>
      </c>
      <c r="G5" s="59" t="s">
        <v>96</v>
      </c>
      <c r="H5" s="59"/>
      <c r="I5" s="62"/>
      <c r="J5" s="62" t="s">
        <v>212</v>
      </c>
      <c r="K5" s="62">
        <v>4</v>
      </c>
      <c r="L5" s="63"/>
      <c r="M5" s="64"/>
      <c r="N5" s="62">
        <v>358</v>
      </c>
      <c r="O5" s="62">
        <v>171</v>
      </c>
      <c r="P5" s="62"/>
      <c r="Q5" s="63"/>
      <c r="R5" s="65"/>
      <c r="S5" s="59"/>
      <c r="T5" s="59"/>
      <c r="U5" s="59" t="s">
        <v>97</v>
      </c>
      <c r="V5" s="59" t="s">
        <v>97</v>
      </c>
      <c r="W5" s="59"/>
      <c r="X5" s="59"/>
      <c r="Y5" s="66"/>
      <c r="Z5" s="67"/>
      <c r="AA5" s="68"/>
      <c r="AB5" s="68"/>
      <c r="AC5" s="69"/>
      <c r="AD5" s="68"/>
    </row>
    <row r="6" spans="1:30" s="60" customFormat="1" x14ac:dyDescent="0.2">
      <c r="A6" s="57"/>
      <c r="B6" s="58">
        <v>42613</v>
      </c>
      <c r="C6" s="59"/>
      <c r="E6" s="61"/>
      <c r="F6" s="59" t="s">
        <v>211</v>
      </c>
      <c r="G6" s="59" t="s">
        <v>652</v>
      </c>
      <c r="H6" s="59" t="s">
        <v>645</v>
      </c>
      <c r="I6" s="62"/>
      <c r="J6" s="62"/>
      <c r="K6" s="62"/>
      <c r="L6" s="63"/>
      <c r="M6" s="64"/>
      <c r="N6" s="62"/>
      <c r="O6" s="62"/>
      <c r="P6" s="62"/>
      <c r="Q6" s="63"/>
      <c r="R6" s="65"/>
      <c r="S6" s="59"/>
      <c r="T6" s="59"/>
      <c r="U6" s="59"/>
      <c r="V6" s="59"/>
      <c r="W6" s="59"/>
      <c r="X6" s="59"/>
      <c r="Y6" s="66"/>
      <c r="Z6" s="67"/>
      <c r="AA6" s="68"/>
      <c r="AB6" s="68"/>
      <c r="AC6" s="69"/>
      <c r="AD6" s="68"/>
    </row>
    <row r="7" spans="1:30" x14ac:dyDescent="0.2">
      <c r="A7" s="14" t="s">
        <v>33</v>
      </c>
      <c r="B7" s="46">
        <v>42521</v>
      </c>
      <c r="C7" s="14" t="s">
        <v>213</v>
      </c>
      <c r="D7" s="14" t="s">
        <v>214</v>
      </c>
      <c r="E7" s="14">
        <v>194726306</v>
      </c>
      <c r="F7" s="14" t="s">
        <v>215</v>
      </c>
      <c r="G7" s="14" t="s">
        <v>96</v>
      </c>
      <c r="H7" s="14" t="s">
        <v>33</v>
      </c>
      <c r="I7" s="19" t="s">
        <v>33</v>
      </c>
      <c r="J7" s="19" t="s">
        <v>216</v>
      </c>
      <c r="K7" s="19">
        <v>4</v>
      </c>
      <c r="L7" s="20" t="s">
        <v>33</v>
      </c>
      <c r="M7" s="20" t="s">
        <v>33</v>
      </c>
      <c r="N7" s="19">
        <v>367</v>
      </c>
      <c r="O7" s="19">
        <v>186</v>
      </c>
      <c r="P7" s="21" t="s">
        <v>33</v>
      </c>
      <c r="Q7" s="21" t="s">
        <v>33</v>
      </c>
      <c r="R7" s="16" t="s">
        <v>33</v>
      </c>
      <c r="S7" s="16" t="s">
        <v>33</v>
      </c>
      <c r="T7" s="16" t="s">
        <v>33</v>
      </c>
      <c r="U7" s="14" t="s">
        <v>97</v>
      </c>
      <c r="V7" s="14" t="s">
        <v>97</v>
      </c>
      <c r="W7" s="14" t="s">
        <v>33</v>
      </c>
      <c r="X7" s="16" t="s">
        <v>33</v>
      </c>
      <c r="Y7" s="16" t="s">
        <v>33</v>
      </c>
      <c r="Z7" s="16" t="s">
        <v>33</v>
      </c>
      <c r="AA7" s="7"/>
      <c r="AB7" s="7"/>
      <c r="AC7" s="7"/>
      <c r="AD7" s="7"/>
    </row>
    <row r="8" spans="1:30" x14ac:dyDescent="0.2">
      <c r="A8" s="4" t="s">
        <v>37</v>
      </c>
      <c r="B8" s="10" t="s">
        <v>7</v>
      </c>
      <c r="C8" s="22" t="s">
        <v>38</v>
      </c>
      <c r="D8" s="22" t="s">
        <v>39</v>
      </c>
      <c r="E8" s="22" t="s">
        <v>40</v>
      </c>
      <c r="F8" s="22" t="s">
        <v>41</v>
      </c>
      <c r="G8" s="22" t="s">
        <v>42</v>
      </c>
      <c r="H8" s="23" t="s">
        <v>43</v>
      </c>
      <c r="I8" s="22" t="s">
        <v>7</v>
      </c>
      <c r="J8" s="117" t="s">
        <v>44</v>
      </c>
      <c r="K8" s="117"/>
      <c r="L8" s="117" t="s">
        <v>45</v>
      </c>
      <c r="M8" s="117"/>
      <c r="N8" s="117" t="s">
        <v>46</v>
      </c>
      <c r="O8" s="117"/>
      <c r="P8" s="117" t="s">
        <v>47</v>
      </c>
      <c r="Q8" s="117"/>
      <c r="R8" s="24"/>
      <c r="S8" s="136" t="s">
        <v>48</v>
      </c>
      <c r="T8" s="136"/>
      <c r="U8" s="136"/>
      <c r="V8" s="136"/>
      <c r="W8" s="136"/>
      <c r="X8" s="136"/>
      <c r="Y8" s="136"/>
      <c r="Z8" s="136"/>
      <c r="AA8" s="7"/>
      <c r="AB8" s="7"/>
      <c r="AC8" s="7"/>
      <c r="AD8" s="7"/>
    </row>
    <row r="9" spans="1:30" x14ac:dyDescent="0.2">
      <c r="A9" s="25" t="s">
        <v>49</v>
      </c>
      <c r="B9" s="16"/>
      <c r="C9" s="26"/>
      <c r="D9" s="26"/>
      <c r="E9" s="26"/>
      <c r="F9" s="26"/>
      <c r="G9" s="27" t="e">
        <f>{#DIV/0!}</f>
        <v>#DIV/0!</v>
      </c>
      <c r="H9" s="28" t="s">
        <v>50</v>
      </c>
      <c r="I9" s="29"/>
      <c r="J9" s="137" t="s">
        <v>101</v>
      </c>
      <c r="K9" s="137"/>
      <c r="L9" s="138" t="s">
        <v>102</v>
      </c>
      <c r="M9" s="138"/>
      <c r="N9" s="138" t="s">
        <v>103</v>
      </c>
      <c r="O9" s="138"/>
      <c r="P9" s="139" t="s">
        <v>33</v>
      </c>
      <c r="Q9" s="139"/>
      <c r="R9" s="31" t="s">
        <v>51</v>
      </c>
      <c r="S9" s="32"/>
      <c r="T9" s="33" t="s">
        <v>33</v>
      </c>
      <c r="U9" s="140" t="s">
        <v>52</v>
      </c>
      <c r="V9" s="140"/>
      <c r="W9" s="140"/>
      <c r="X9" s="141" t="s">
        <v>33</v>
      </c>
      <c r="Y9" s="141"/>
      <c r="Z9" s="141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54</v>
      </c>
      <c r="I10" s="35">
        <v>42569</v>
      </c>
      <c r="J10" s="133">
        <v>4</v>
      </c>
      <c r="K10" s="133"/>
      <c r="L10" s="133">
        <v>4</v>
      </c>
      <c r="M10" s="133"/>
      <c r="N10" s="133">
        <v>2</v>
      </c>
      <c r="O10" s="133"/>
      <c r="P10" s="142"/>
      <c r="Q10" s="142"/>
      <c r="R10" s="36" t="s">
        <v>55</v>
      </c>
      <c r="S10" s="37"/>
      <c r="T10" s="33" t="s">
        <v>33</v>
      </c>
      <c r="U10" s="134" t="s">
        <v>56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57</v>
      </c>
      <c r="I11" s="38"/>
      <c r="J11" s="130">
        <v>92</v>
      </c>
      <c r="K11" s="130"/>
      <c r="L11" s="114">
        <v>81</v>
      </c>
      <c r="M11" s="114"/>
      <c r="N11" s="114">
        <v>58</v>
      </c>
      <c r="O11" s="114"/>
      <c r="P11" s="142"/>
      <c r="Q11" s="142"/>
      <c r="R11" s="36" t="s">
        <v>58</v>
      </c>
      <c r="S11" s="37"/>
      <c r="T11" s="33" t="s">
        <v>33</v>
      </c>
      <c r="U11" s="134" t="s">
        <v>59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60</v>
      </c>
      <c r="I12" s="39"/>
      <c r="J12" s="147"/>
      <c r="K12" s="147"/>
      <c r="L12" s="147"/>
      <c r="M12" s="147"/>
      <c r="N12" s="147"/>
      <c r="O12" s="147"/>
      <c r="P12" s="147"/>
      <c r="Q12" s="147"/>
      <c r="R12" s="36" t="s">
        <v>61</v>
      </c>
      <c r="S12" s="37"/>
      <c r="T12" s="33" t="s">
        <v>33</v>
      </c>
      <c r="U12" s="134" t="s">
        <v>62</v>
      </c>
      <c r="V12" s="134"/>
      <c r="W12" s="134"/>
      <c r="X12" s="135" t="s">
        <v>33</v>
      </c>
      <c r="Y12" s="135"/>
      <c r="Z12" s="135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63</v>
      </c>
      <c r="I13" s="35">
        <v>42574</v>
      </c>
      <c r="J13" s="133">
        <v>9</v>
      </c>
      <c r="K13" s="133"/>
      <c r="L13" s="133">
        <v>9</v>
      </c>
      <c r="M13" s="133"/>
      <c r="N13" s="133">
        <v>7</v>
      </c>
      <c r="O13" s="133"/>
      <c r="P13" s="142"/>
      <c r="Q13" s="142"/>
      <c r="R13" s="36" t="s">
        <v>64</v>
      </c>
      <c r="S13" s="37"/>
      <c r="T13" s="33" t="s">
        <v>33</v>
      </c>
      <c r="U13" s="134" t="s">
        <v>65</v>
      </c>
      <c r="V13" s="134"/>
      <c r="W13" s="134"/>
      <c r="X13" s="135" t="s">
        <v>33</v>
      </c>
      <c r="Y13" s="135"/>
      <c r="Z13" s="135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66</v>
      </c>
      <c r="I14" s="38"/>
      <c r="J14" s="130">
        <v>246</v>
      </c>
      <c r="K14" s="130"/>
      <c r="L14" s="114">
        <v>231</v>
      </c>
      <c r="M14" s="114"/>
      <c r="N14" s="114">
        <v>170</v>
      </c>
      <c r="O14" s="114"/>
      <c r="P14" s="142"/>
      <c r="Q14" s="142"/>
      <c r="R14" s="36" t="s">
        <v>67</v>
      </c>
      <c r="S14" s="37"/>
      <c r="T14" s="40" t="s">
        <v>33</v>
      </c>
      <c r="U14" s="131" t="s">
        <v>68</v>
      </c>
      <c r="V14" s="131"/>
      <c r="W14" s="131"/>
      <c r="X14" s="132" t="s">
        <v>33</v>
      </c>
      <c r="Y14" s="132"/>
      <c r="Z14" s="132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69</v>
      </c>
      <c r="I15" s="39"/>
      <c r="J15" s="147"/>
      <c r="K15" s="147"/>
      <c r="L15" s="147"/>
      <c r="M15" s="147"/>
      <c r="N15" s="147"/>
      <c r="O15" s="147"/>
      <c r="P15" s="148"/>
      <c r="Q15" s="148"/>
      <c r="R15" s="129" t="s">
        <v>70</v>
      </c>
      <c r="S15" s="129"/>
      <c r="T15" s="129"/>
      <c r="U15" s="129"/>
      <c r="V15" s="129"/>
      <c r="W15" s="129"/>
      <c r="X15" s="129"/>
      <c r="Y15" s="129"/>
      <c r="Z15" s="129"/>
      <c r="AA15" s="7"/>
      <c r="AB15" s="7"/>
      <c r="AC15" s="7"/>
      <c r="AD15" s="7"/>
    </row>
    <row r="16" spans="1:30" x14ac:dyDescent="0.2">
      <c r="A16" s="34" t="s">
        <v>53</v>
      </c>
      <c r="B16" s="16" t="s">
        <v>33</v>
      </c>
      <c r="C16" s="16" t="s">
        <v>33</v>
      </c>
      <c r="D16" s="16" t="s">
        <v>33</v>
      </c>
      <c r="E16" s="16" t="s">
        <v>33</v>
      </c>
      <c r="F16" s="16" t="s">
        <v>33</v>
      </c>
      <c r="G16" s="22"/>
      <c r="H16" s="28" t="s">
        <v>71</v>
      </c>
      <c r="I16" s="39"/>
      <c r="J16" s="147"/>
      <c r="K16" s="147"/>
      <c r="L16" s="147"/>
      <c r="M16" s="147"/>
      <c r="N16" s="147"/>
      <c r="O16" s="147"/>
      <c r="P16" s="148"/>
      <c r="Q16" s="148"/>
      <c r="R16" s="129"/>
      <c r="S16" s="129"/>
      <c r="T16" s="129"/>
      <c r="U16" s="129"/>
      <c r="V16" s="129"/>
      <c r="W16" s="129"/>
      <c r="X16" s="129"/>
      <c r="Y16" s="129"/>
      <c r="Z16" s="129"/>
      <c r="AA16" s="7"/>
      <c r="AB16" s="7"/>
      <c r="AC16" s="7"/>
      <c r="AD16" s="7"/>
    </row>
    <row r="17" spans="1:30" x14ac:dyDescent="0.2">
      <c r="A17" s="34" t="s">
        <v>53</v>
      </c>
      <c r="B17" s="16" t="s">
        <v>33</v>
      </c>
      <c r="C17" s="16" t="s">
        <v>33</v>
      </c>
      <c r="D17" s="16" t="s">
        <v>33</v>
      </c>
      <c r="E17" s="16" t="s">
        <v>33</v>
      </c>
      <c r="F17" s="16" t="s">
        <v>33</v>
      </c>
      <c r="G17" s="22"/>
      <c r="H17" s="28" t="s">
        <v>72</v>
      </c>
      <c r="I17" s="39"/>
      <c r="J17" s="147"/>
      <c r="K17" s="147"/>
      <c r="L17" s="147"/>
      <c r="M17" s="147"/>
      <c r="N17" s="147"/>
      <c r="O17" s="147"/>
      <c r="P17" s="149"/>
      <c r="Q17" s="149"/>
      <c r="R17" s="150" t="s">
        <v>217</v>
      </c>
      <c r="S17" s="150"/>
      <c r="T17" s="150"/>
      <c r="U17" s="150"/>
      <c r="V17" s="150"/>
      <c r="W17" s="150"/>
      <c r="X17" s="150"/>
      <c r="Y17" s="150"/>
      <c r="Z17" s="150"/>
      <c r="AA17" s="7"/>
      <c r="AB17" s="7"/>
      <c r="AC17" s="7"/>
      <c r="AD17" s="7"/>
    </row>
    <row r="18" spans="1:30" x14ac:dyDescent="0.2">
      <c r="A18" s="41" t="s">
        <v>73</v>
      </c>
      <c r="B18" s="16"/>
      <c r="C18" s="26">
        <v>42565</v>
      </c>
      <c r="D18" s="26">
        <v>42565</v>
      </c>
      <c r="E18" s="26">
        <v>42567</v>
      </c>
      <c r="F18" s="26"/>
      <c r="G18" s="27" t="e">
        <f>{#DIV/0!}</f>
        <v>#DIV/0!</v>
      </c>
      <c r="H18" s="28" t="s">
        <v>74</v>
      </c>
      <c r="I18" s="35">
        <v>42579</v>
      </c>
      <c r="J18" s="120">
        <v>14</v>
      </c>
      <c r="K18" s="120"/>
      <c r="L18" s="120">
        <v>14</v>
      </c>
      <c r="M18" s="120"/>
      <c r="N18" s="121">
        <v>12</v>
      </c>
      <c r="O18" s="121"/>
      <c r="P18" s="142"/>
      <c r="Q18" s="142"/>
      <c r="R18" s="150"/>
      <c r="S18" s="150"/>
      <c r="T18" s="150"/>
      <c r="U18" s="150"/>
      <c r="V18" s="150"/>
      <c r="W18" s="150"/>
      <c r="X18" s="150"/>
      <c r="Y18" s="150"/>
      <c r="Z18" s="150"/>
      <c r="AA18" s="7"/>
      <c r="AB18" s="7"/>
      <c r="AC18" s="7"/>
      <c r="AD18" s="7"/>
    </row>
    <row r="19" spans="1:30" ht="15" customHeight="1" x14ac:dyDescent="0.2">
      <c r="A19" s="123" t="s">
        <v>75</v>
      </c>
      <c r="B19" s="123"/>
      <c r="C19" s="42">
        <v>0</v>
      </c>
      <c r="D19" s="42">
        <v>0</v>
      </c>
      <c r="E19" s="42">
        <v>0</v>
      </c>
      <c r="F19" s="42">
        <v>0</v>
      </c>
      <c r="G19" s="43">
        <v>0</v>
      </c>
      <c r="H19" s="28" t="s">
        <v>76</v>
      </c>
      <c r="I19" s="38"/>
      <c r="J19" s="113">
        <v>500</v>
      </c>
      <c r="K19" s="113"/>
      <c r="L19" s="114">
        <v>412</v>
      </c>
      <c r="M19" s="114"/>
      <c r="N19" s="115">
        <v>375</v>
      </c>
      <c r="O19" s="115"/>
      <c r="P19" s="142"/>
      <c r="Q19" s="142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30" x14ac:dyDescent="0.2">
      <c r="A20" s="124" t="s">
        <v>77</v>
      </c>
      <c r="B20" s="124"/>
      <c r="C20" s="117" t="s">
        <v>44</v>
      </c>
      <c r="D20" s="117" t="s">
        <v>45</v>
      </c>
      <c r="E20" s="117" t="s">
        <v>46</v>
      </c>
      <c r="F20" s="117" t="s">
        <v>47</v>
      </c>
      <c r="G20" s="117" t="s">
        <v>42</v>
      </c>
      <c r="H20" s="39" t="s">
        <v>107</v>
      </c>
      <c r="I20" s="39"/>
      <c r="J20" s="118" t="s">
        <v>218</v>
      </c>
      <c r="K20" s="118"/>
      <c r="L20" s="117" t="s">
        <v>126</v>
      </c>
      <c r="M20" s="117"/>
      <c r="N20" s="119" t="s">
        <v>126</v>
      </c>
      <c r="O20" s="119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30" x14ac:dyDescent="0.2">
      <c r="A21" s="124"/>
      <c r="B21" s="124"/>
      <c r="C21" s="117"/>
      <c r="D21" s="117"/>
      <c r="E21" s="117"/>
      <c r="F21" s="117"/>
      <c r="G21" s="117"/>
      <c r="H21" s="39" t="s">
        <v>219</v>
      </c>
      <c r="I21" s="39"/>
      <c r="J21" s="118">
        <v>2.61</v>
      </c>
      <c r="K21" s="118"/>
      <c r="L21" s="117">
        <v>2.39</v>
      </c>
      <c r="M21" s="117"/>
      <c r="N21" s="119">
        <v>0</v>
      </c>
      <c r="O21" s="119"/>
      <c r="P21" s="147"/>
      <c r="Q21" s="147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30" x14ac:dyDescent="0.2">
      <c r="A22" s="117" t="s">
        <v>79</v>
      </c>
      <c r="B22" s="117"/>
      <c r="C22" s="30" t="s">
        <v>220</v>
      </c>
      <c r="D22" s="30" t="s">
        <v>220</v>
      </c>
      <c r="E22" s="30" t="s">
        <v>221</v>
      </c>
      <c r="F22" s="30" t="s">
        <v>33</v>
      </c>
      <c r="G22" s="30" t="s">
        <v>33</v>
      </c>
      <c r="H22" s="28" t="s">
        <v>72</v>
      </c>
      <c r="I22" s="39"/>
      <c r="J22" s="147"/>
      <c r="K22" s="147"/>
      <c r="L22" s="147"/>
      <c r="M22" s="147"/>
      <c r="N22" s="148"/>
      <c r="O22" s="148"/>
      <c r="P22" s="147"/>
      <c r="Q22" s="147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30" x14ac:dyDescent="0.2">
      <c r="A23" s="117" t="s">
        <v>50</v>
      </c>
      <c r="B23" s="117"/>
      <c r="C23" s="14" t="s">
        <v>114</v>
      </c>
      <c r="D23" s="14" t="s">
        <v>115</v>
      </c>
      <c r="E23" s="14" t="s">
        <v>116</v>
      </c>
      <c r="F23" s="14" t="s">
        <v>33</v>
      </c>
      <c r="G23" s="14" t="s">
        <v>33</v>
      </c>
      <c r="H23" s="44" t="s">
        <v>80</v>
      </c>
      <c r="I23" s="35">
        <v>42585</v>
      </c>
      <c r="J23" s="120">
        <v>19</v>
      </c>
      <c r="K23" s="120"/>
      <c r="L23" s="120">
        <v>19</v>
      </c>
      <c r="M23" s="120"/>
      <c r="N23" s="121">
        <v>17</v>
      </c>
      <c r="O23" s="121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30" x14ac:dyDescent="0.2">
      <c r="A24" s="117" t="s">
        <v>81</v>
      </c>
      <c r="B24" s="117"/>
      <c r="C24" s="46">
        <v>42589</v>
      </c>
      <c r="D24" s="46">
        <v>42589</v>
      </c>
      <c r="E24" s="46">
        <v>42589</v>
      </c>
      <c r="F24" s="14" t="s">
        <v>33</v>
      </c>
      <c r="G24" s="33" t="s">
        <v>33</v>
      </c>
      <c r="H24" s="28" t="s">
        <v>82</v>
      </c>
      <c r="I24" s="38"/>
      <c r="J24" s="113">
        <v>644</v>
      </c>
      <c r="K24" s="113"/>
      <c r="L24" s="114">
        <v>613</v>
      </c>
      <c r="M24" s="114"/>
      <c r="N24" s="115">
        <v>560</v>
      </c>
      <c r="O24" s="115"/>
      <c r="P24" s="142"/>
      <c r="Q24" s="142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30" x14ac:dyDescent="0.2">
      <c r="A25" s="117" t="s">
        <v>10</v>
      </c>
      <c r="B25" s="117"/>
      <c r="C25" s="14">
        <v>194726229</v>
      </c>
      <c r="D25" s="14">
        <v>194726230</v>
      </c>
      <c r="E25" s="14">
        <v>194726231</v>
      </c>
      <c r="F25" s="14" t="s">
        <v>33</v>
      </c>
      <c r="G25" s="33" t="s">
        <v>33</v>
      </c>
      <c r="H25" s="28" t="s">
        <v>83</v>
      </c>
      <c r="I25" s="38"/>
      <c r="J25" s="142"/>
      <c r="K25" s="142"/>
      <c r="L25" s="142"/>
      <c r="M25" s="142"/>
      <c r="N25" s="153"/>
      <c r="O25" s="153"/>
      <c r="P25" s="142"/>
      <c r="Q25" s="142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30" x14ac:dyDescent="0.2">
      <c r="A26" s="117" t="s">
        <v>84</v>
      </c>
      <c r="B26" s="117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71</v>
      </c>
      <c r="I26" s="39"/>
      <c r="J26" s="118" t="s">
        <v>33</v>
      </c>
      <c r="K26" s="118"/>
      <c r="L26" s="117" t="s">
        <v>33</v>
      </c>
      <c r="M26" s="117"/>
      <c r="N26" s="119" t="s">
        <v>33</v>
      </c>
      <c r="O26" s="119"/>
      <c r="P26" s="118" t="s">
        <v>33</v>
      </c>
      <c r="Q26" s="118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30" x14ac:dyDescent="0.2">
      <c r="A27" s="117" t="s">
        <v>9</v>
      </c>
      <c r="B27" s="117"/>
      <c r="C27" s="14" t="s">
        <v>94</v>
      </c>
      <c r="D27" s="14" t="s">
        <v>94</v>
      </c>
      <c r="E27" s="14" t="s">
        <v>94</v>
      </c>
      <c r="F27" s="14" t="s">
        <v>33</v>
      </c>
      <c r="G27" s="33" t="s">
        <v>33</v>
      </c>
      <c r="H27" s="28" t="s">
        <v>72</v>
      </c>
      <c r="I27" s="39"/>
      <c r="J27" s="118" t="s">
        <v>33</v>
      </c>
      <c r="K27" s="118"/>
      <c r="L27" s="117" t="s">
        <v>33</v>
      </c>
      <c r="M27" s="117"/>
      <c r="N27" s="119" t="s">
        <v>33</v>
      </c>
      <c r="O27" s="119"/>
      <c r="P27" s="118" t="s">
        <v>33</v>
      </c>
      <c r="Q27" s="118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30" x14ac:dyDescent="0.2">
      <c r="A28" s="112" t="s">
        <v>85</v>
      </c>
      <c r="B28" s="112"/>
      <c r="C28" s="14" t="s">
        <v>33</v>
      </c>
      <c r="D28" s="14" t="s">
        <v>33</v>
      </c>
      <c r="E28" s="14" t="s">
        <v>33</v>
      </c>
      <c r="F28" s="14" t="s">
        <v>33</v>
      </c>
      <c r="G28" s="33" t="s">
        <v>33</v>
      </c>
      <c r="H28" s="44" t="s">
        <v>118</v>
      </c>
      <c r="I28" s="47">
        <v>42589</v>
      </c>
      <c r="J28" s="113">
        <v>23</v>
      </c>
      <c r="K28" s="113"/>
      <c r="L28" s="114">
        <v>23</v>
      </c>
      <c r="M28" s="114"/>
      <c r="N28" s="115">
        <v>21</v>
      </c>
      <c r="O28" s="115"/>
      <c r="P28" s="113" t="s">
        <v>33</v>
      </c>
      <c r="Q28" s="113"/>
      <c r="R28" s="150"/>
      <c r="S28" s="150"/>
      <c r="T28" s="150"/>
      <c r="U28" s="150"/>
      <c r="V28" s="150"/>
      <c r="W28" s="150"/>
      <c r="X28" s="150"/>
      <c r="Y28" s="150"/>
      <c r="Z28" s="150"/>
    </row>
    <row r="29" spans="1:30" x14ac:dyDescent="0.2">
      <c r="A29" s="116" t="s">
        <v>87</v>
      </c>
      <c r="B29" s="116"/>
      <c r="C29" s="14" t="s">
        <v>33</v>
      </c>
      <c r="D29" s="14" t="s">
        <v>33</v>
      </c>
      <c r="E29" s="14" t="s">
        <v>33</v>
      </c>
      <c r="F29" s="14" t="s">
        <v>33</v>
      </c>
      <c r="G29" s="33" t="s">
        <v>33</v>
      </c>
      <c r="H29" s="28" t="s">
        <v>119</v>
      </c>
      <c r="I29" s="38"/>
      <c r="J29" s="113">
        <v>714</v>
      </c>
      <c r="K29" s="113"/>
      <c r="L29" s="114">
        <v>738</v>
      </c>
      <c r="M29" s="114"/>
      <c r="N29" s="115">
        <v>665</v>
      </c>
      <c r="O29" s="115"/>
      <c r="P29" s="113" t="s">
        <v>33</v>
      </c>
      <c r="Q29" s="113"/>
      <c r="R29" s="150"/>
      <c r="S29" s="150"/>
      <c r="T29" s="150"/>
      <c r="U29" s="150"/>
      <c r="V29" s="150"/>
      <c r="W29" s="150"/>
      <c r="X29" s="150"/>
      <c r="Y29" s="150"/>
      <c r="Z29" s="150"/>
    </row>
    <row r="30" spans="1:30" x14ac:dyDescent="0.2">
      <c r="H30" s="28" t="s">
        <v>143</v>
      </c>
      <c r="I30" s="38"/>
      <c r="J30" s="113" t="s">
        <v>144</v>
      </c>
      <c r="K30" s="113"/>
      <c r="L30" s="114" t="s">
        <v>144</v>
      </c>
      <c r="M30" s="114"/>
      <c r="N30" s="115" t="s">
        <v>144</v>
      </c>
      <c r="O30" s="115"/>
      <c r="P30" s="142"/>
      <c r="Q30" s="142"/>
    </row>
    <row r="31" spans="1:30" x14ac:dyDescent="0.2">
      <c r="H31" s="44" t="s">
        <v>120</v>
      </c>
      <c r="I31" s="47">
        <v>42589</v>
      </c>
      <c r="J31" s="113">
        <v>28</v>
      </c>
      <c r="K31" s="113"/>
      <c r="L31" s="114">
        <v>28</v>
      </c>
      <c r="M31" s="114"/>
      <c r="N31" s="115">
        <v>26</v>
      </c>
      <c r="O31" s="115"/>
      <c r="P31" s="113" t="s">
        <v>33</v>
      </c>
      <c r="Q31" s="113"/>
    </row>
    <row r="32" spans="1:30" x14ac:dyDescent="0.2">
      <c r="H32" s="28" t="s">
        <v>121</v>
      </c>
      <c r="I32" s="38"/>
      <c r="J32" s="113">
        <v>815</v>
      </c>
      <c r="K32" s="113"/>
      <c r="L32" s="114">
        <v>805</v>
      </c>
      <c r="M32" s="114"/>
      <c r="N32" s="115">
        <v>786</v>
      </c>
      <c r="O32" s="115"/>
      <c r="P32" s="113" t="s">
        <v>33</v>
      </c>
      <c r="Q32" s="113"/>
    </row>
  </sheetData>
  <mergeCells count="140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8:K8"/>
    <mergeCell ref="L8:M8"/>
    <mergeCell ref="N8:O8"/>
    <mergeCell ref="P8:Q8"/>
    <mergeCell ref="S8:Z8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4:K14"/>
    <mergeCell ref="L14:M14"/>
    <mergeCell ref="N14:O14"/>
    <mergeCell ref="P14:Q14"/>
    <mergeCell ref="U14:W14"/>
    <mergeCell ref="X14:Z14"/>
    <mergeCell ref="J13:K13"/>
    <mergeCell ref="L13:M13"/>
    <mergeCell ref="N13:O13"/>
    <mergeCell ref="P13:Q13"/>
    <mergeCell ref="U13:W13"/>
    <mergeCell ref="X13:Z13"/>
    <mergeCell ref="J15:K15"/>
    <mergeCell ref="L15:M15"/>
    <mergeCell ref="N15:O15"/>
    <mergeCell ref="P15:Q15"/>
    <mergeCell ref="R15:Z16"/>
    <mergeCell ref="J16:K16"/>
    <mergeCell ref="L16:M16"/>
    <mergeCell ref="N16:O16"/>
    <mergeCell ref="P16:Q16"/>
    <mergeCell ref="J17:K17"/>
    <mergeCell ref="L17:M17"/>
    <mergeCell ref="N17:O17"/>
    <mergeCell ref="P17:Q17"/>
    <mergeCell ref="R17:Z29"/>
    <mergeCell ref="J18:K18"/>
    <mergeCell ref="L18:M18"/>
    <mergeCell ref="N18:O18"/>
    <mergeCell ref="P18:Q18"/>
    <mergeCell ref="A19:B19"/>
    <mergeCell ref="J19:K19"/>
    <mergeCell ref="L19:M19"/>
    <mergeCell ref="N19:O19"/>
    <mergeCell ref="P19:Q19"/>
    <mergeCell ref="A20:B21"/>
    <mergeCell ref="C20:C21"/>
    <mergeCell ref="D20:D21"/>
    <mergeCell ref="E20:E21"/>
    <mergeCell ref="F20:F21"/>
    <mergeCell ref="G20:G21"/>
    <mergeCell ref="J20:K20"/>
    <mergeCell ref="L20:M20"/>
    <mergeCell ref="N20:O20"/>
    <mergeCell ref="P20:Q20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A28:B28"/>
    <mergeCell ref="J28:K28"/>
    <mergeCell ref="L28:M28"/>
    <mergeCell ref="N28:O28"/>
    <mergeCell ref="P28:Q28"/>
    <mergeCell ref="A29:B29"/>
    <mergeCell ref="J29:K29"/>
    <mergeCell ref="L29:M29"/>
    <mergeCell ref="N29:O29"/>
    <mergeCell ref="P29:Q29"/>
    <mergeCell ref="J32:K32"/>
    <mergeCell ref="L32:M32"/>
    <mergeCell ref="N32:O32"/>
    <mergeCell ref="P32:Q32"/>
    <mergeCell ref="J30:K30"/>
    <mergeCell ref="L30:M30"/>
    <mergeCell ref="N30:O30"/>
    <mergeCell ref="P30:Q30"/>
    <mergeCell ref="J31:K31"/>
    <mergeCell ref="L31:M31"/>
    <mergeCell ref="N31:O31"/>
    <mergeCell ref="P31:Q31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24</v>
      </c>
      <c r="E1" s="1" t="s">
        <v>2</v>
      </c>
      <c r="F1" s="2">
        <v>24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222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25</v>
      </c>
      <c r="G1" s="3" t="s">
        <v>3</v>
      </c>
      <c r="H1" s="2"/>
      <c r="I1" s="129" t="s">
        <v>4</v>
      </c>
      <c r="J1" s="129"/>
      <c r="K1" s="151" t="s">
        <v>223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224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9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26</v>
      </c>
      <c r="G1" s="3" t="s">
        <v>3</v>
      </c>
      <c r="H1" s="2"/>
      <c r="I1" s="129" t="s">
        <v>4</v>
      </c>
      <c r="J1" s="129"/>
      <c r="K1" s="151" t="s">
        <v>225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42589</v>
      </c>
      <c r="J8" s="133">
        <v>565</v>
      </c>
      <c r="K8" s="133"/>
      <c r="L8" s="133">
        <v>886</v>
      </c>
      <c r="M8" s="133"/>
      <c r="N8" s="133">
        <v>826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70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226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227</v>
      </c>
      <c r="D20" s="30" t="s">
        <v>208</v>
      </c>
      <c r="E20" s="30" t="s">
        <v>208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42589</v>
      </c>
      <c r="D22" s="46">
        <v>42589</v>
      </c>
      <c r="E22" s="46">
        <v>42589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194726232</v>
      </c>
      <c r="D23" s="14">
        <v>185702474</v>
      </c>
      <c r="E23" s="14">
        <v>185702475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94</v>
      </c>
      <c r="E25" s="14" t="s">
        <v>94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B1" workbookViewId="0">
      <selection activeCell="L31" sqref="L3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27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228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topLeftCell="E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.2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28</v>
      </c>
      <c r="E1" s="1" t="s">
        <v>2</v>
      </c>
      <c r="F1" s="2">
        <v>28</v>
      </c>
      <c r="G1" s="3" t="s">
        <v>3</v>
      </c>
      <c r="H1" s="2"/>
      <c r="I1" s="129" t="s">
        <v>4</v>
      </c>
      <c r="J1" s="129"/>
      <c r="K1" s="151" t="s">
        <v>229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/>
      <c r="B3" s="49"/>
      <c r="C3" s="14"/>
      <c r="D3" s="14"/>
      <c r="E3" s="14"/>
      <c r="F3" s="14"/>
      <c r="G3" s="14"/>
      <c r="H3" s="14"/>
      <c r="I3" s="14"/>
      <c r="J3" s="14"/>
      <c r="K3" s="14"/>
      <c r="L3" s="15"/>
      <c r="M3" s="15"/>
      <c r="N3" s="14"/>
      <c r="O3" s="14"/>
      <c r="P3" s="16"/>
      <c r="Q3" s="16"/>
      <c r="R3" s="16"/>
      <c r="S3" s="16"/>
      <c r="T3" s="16"/>
      <c r="U3" s="14"/>
      <c r="V3" s="14"/>
      <c r="W3" s="14"/>
      <c r="X3" s="16"/>
      <c r="Y3" s="17"/>
      <c r="Z3" s="17"/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/>
      <c r="B5" s="49"/>
      <c r="C5" s="14" t="s">
        <v>230</v>
      </c>
      <c r="D5" s="14"/>
      <c r="E5" s="14"/>
      <c r="F5" s="14" t="s">
        <v>231</v>
      </c>
      <c r="G5" s="14"/>
      <c r="H5" s="14" t="s">
        <v>232</v>
      </c>
      <c r="I5" s="19"/>
      <c r="J5" s="19"/>
      <c r="K5" s="19"/>
      <c r="L5" s="20"/>
      <c r="M5" s="20"/>
      <c r="N5" s="19"/>
      <c r="O5" s="19"/>
      <c r="P5" s="21"/>
      <c r="Q5" s="21"/>
      <c r="R5" s="16"/>
      <c r="S5" s="16"/>
      <c r="T5" s="16"/>
      <c r="U5" s="14"/>
      <c r="V5" s="14"/>
      <c r="W5" s="14"/>
      <c r="X5" s="16"/>
      <c r="Y5" s="16"/>
      <c r="Z5" s="16"/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42527</v>
      </c>
      <c r="D7" s="26">
        <v>42529</v>
      </c>
      <c r="E7" s="26">
        <v>42531</v>
      </c>
      <c r="F7" s="26">
        <v>42533</v>
      </c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233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29</v>
      </c>
      <c r="G1" s="3" t="s">
        <v>3</v>
      </c>
      <c r="H1" s="2"/>
      <c r="I1" s="129" t="s">
        <v>4</v>
      </c>
      <c r="J1" s="129"/>
      <c r="K1" s="142" t="s">
        <v>656</v>
      </c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197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467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234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204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197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185714517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235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workbookViewId="0">
      <selection activeCell="J13" sqref="J13:K13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10.375" customWidth="1"/>
    <col min="5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30</v>
      </c>
      <c r="E1" s="1"/>
      <c r="F1" s="2">
        <v>30</v>
      </c>
      <c r="G1" s="3" t="s">
        <v>3</v>
      </c>
      <c r="H1" s="2"/>
      <c r="I1" s="129" t="s">
        <v>4</v>
      </c>
      <c r="J1" s="129"/>
      <c r="K1" s="142" t="s">
        <v>657</v>
      </c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42582</v>
      </c>
      <c r="J8" s="133">
        <v>30</v>
      </c>
      <c r="K8" s="133"/>
      <c r="L8" s="133">
        <v>30</v>
      </c>
      <c r="M8" s="133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613</v>
      </c>
      <c r="K9" s="130"/>
      <c r="L9" s="114">
        <v>500</v>
      </c>
      <c r="M9" s="114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171</v>
      </c>
      <c r="I10" s="39"/>
      <c r="J10" s="125">
        <v>65.430000000000007</v>
      </c>
      <c r="K10" s="125"/>
      <c r="L10" s="117">
        <v>61.26</v>
      </c>
      <c r="M10" s="11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634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184</v>
      </c>
      <c r="D20" s="30" t="s">
        <v>184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42582</v>
      </c>
      <c r="D22" s="46">
        <v>42582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194719270</v>
      </c>
      <c r="D23" s="14">
        <v>194719271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94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2"/>
  <sheetViews>
    <sheetView zoomScale="90" zoomScaleNormal="90" workbookViewId="0">
      <selection activeCell="L31" sqref="L31:M3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7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.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31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242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46">
        <v>42521</v>
      </c>
      <c r="C3" s="14" t="s">
        <v>243</v>
      </c>
      <c r="D3" s="14" t="s">
        <v>117</v>
      </c>
      <c r="E3" s="14">
        <v>220612758</v>
      </c>
      <c r="F3" s="14" t="s">
        <v>244</v>
      </c>
      <c r="G3" s="14" t="s">
        <v>245</v>
      </c>
      <c r="H3" s="14" t="s">
        <v>33</v>
      </c>
      <c r="I3" s="14" t="s">
        <v>33</v>
      </c>
      <c r="J3" s="14">
        <v>670</v>
      </c>
      <c r="K3" s="14">
        <v>4</v>
      </c>
      <c r="L3" s="15">
        <v>55.29</v>
      </c>
      <c r="M3" s="15" t="s">
        <v>33</v>
      </c>
      <c r="N3" s="14">
        <v>314</v>
      </c>
      <c r="O3" s="14">
        <v>136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97</v>
      </c>
      <c r="V3" s="14" t="s">
        <v>97</v>
      </c>
      <c r="W3" s="14"/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46">
        <v>42521</v>
      </c>
      <c r="C5" s="14" t="s">
        <v>93</v>
      </c>
      <c r="D5" s="14" t="s">
        <v>98</v>
      </c>
      <c r="E5" s="14">
        <v>98741383</v>
      </c>
      <c r="F5" s="14" t="s">
        <v>246</v>
      </c>
      <c r="G5" s="14" t="s">
        <v>245</v>
      </c>
      <c r="H5" s="14" t="s">
        <v>33</v>
      </c>
      <c r="I5" s="19" t="s">
        <v>33</v>
      </c>
      <c r="J5" s="19">
        <v>1070</v>
      </c>
      <c r="K5" s="19">
        <v>4</v>
      </c>
      <c r="L5" s="20">
        <v>63.25</v>
      </c>
      <c r="M5" s="20" t="s">
        <v>33</v>
      </c>
      <c r="N5" s="19">
        <v>361</v>
      </c>
      <c r="O5" s="19">
        <v>174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97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14"/>
      <c r="B6" s="46">
        <v>42579</v>
      </c>
      <c r="C6" s="14"/>
      <c r="D6" s="14"/>
      <c r="E6" s="14"/>
      <c r="F6" s="14" t="s">
        <v>246</v>
      </c>
      <c r="G6" s="14" t="s">
        <v>136</v>
      </c>
      <c r="H6" s="33"/>
      <c r="I6" s="71"/>
      <c r="J6" s="71"/>
      <c r="K6" s="71"/>
      <c r="L6" s="72"/>
      <c r="M6" s="72"/>
      <c r="N6" s="71"/>
      <c r="O6" s="71"/>
      <c r="P6" s="73"/>
      <c r="Q6" s="73"/>
      <c r="R6" s="74"/>
      <c r="S6" s="74"/>
      <c r="T6" s="74"/>
      <c r="U6" s="75"/>
      <c r="V6" s="75"/>
      <c r="W6" s="75"/>
      <c r="X6" s="74"/>
      <c r="Y6" s="74"/>
      <c r="Z6" s="76"/>
      <c r="AA6" s="7"/>
      <c r="AB6" s="7"/>
      <c r="AC6" s="7"/>
      <c r="AD6" s="7"/>
    </row>
    <row r="7" spans="1:30" x14ac:dyDescent="0.2">
      <c r="A7" s="4" t="s">
        <v>37</v>
      </c>
      <c r="B7" s="10" t="s">
        <v>7</v>
      </c>
      <c r="C7" s="22" t="s">
        <v>38</v>
      </c>
      <c r="D7" s="22" t="s">
        <v>39</v>
      </c>
      <c r="E7" s="22" t="s">
        <v>40</v>
      </c>
      <c r="F7" s="22" t="s">
        <v>41</v>
      </c>
      <c r="G7" s="22" t="s">
        <v>42</v>
      </c>
      <c r="H7" s="23" t="s">
        <v>43</v>
      </c>
      <c r="I7" s="22" t="s">
        <v>7</v>
      </c>
      <c r="J7" s="117" t="s">
        <v>44</v>
      </c>
      <c r="K7" s="117"/>
      <c r="L7" s="117" t="s">
        <v>45</v>
      </c>
      <c r="M7" s="117"/>
      <c r="N7" s="117" t="s">
        <v>46</v>
      </c>
      <c r="O7" s="117"/>
      <c r="P7" s="117" t="s">
        <v>47</v>
      </c>
      <c r="Q7" s="117"/>
      <c r="R7" s="24"/>
      <c r="S7" s="136" t="s">
        <v>48</v>
      </c>
      <c r="T7" s="136"/>
      <c r="U7" s="136"/>
      <c r="V7" s="136"/>
      <c r="W7" s="136"/>
      <c r="X7" s="136"/>
      <c r="Y7" s="136"/>
      <c r="Z7" s="136"/>
      <c r="AA7" s="7"/>
      <c r="AB7" s="7"/>
      <c r="AC7" s="7"/>
      <c r="AD7" s="7"/>
    </row>
    <row r="8" spans="1:30" x14ac:dyDescent="0.2">
      <c r="A8" s="25" t="s">
        <v>49</v>
      </c>
      <c r="B8" s="16"/>
      <c r="C8" s="26">
        <v>42533</v>
      </c>
      <c r="D8" s="26">
        <f>C8+2</f>
        <v>42535</v>
      </c>
      <c r="E8" s="26">
        <v>42537</v>
      </c>
      <c r="F8" s="26"/>
      <c r="G8" s="27" t="e">
        <f>{#DIV/0!}</f>
        <v>#DIV/0!</v>
      </c>
      <c r="H8" s="28" t="s">
        <v>50</v>
      </c>
      <c r="I8" s="29"/>
      <c r="J8" s="137" t="s">
        <v>101</v>
      </c>
      <c r="K8" s="137"/>
      <c r="L8" s="138" t="s">
        <v>102</v>
      </c>
      <c r="M8" s="138"/>
      <c r="N8" s="138" t="s">
        <v>103</v>
      </c>
      <c r="O8" s="138"/>
      <c r="P8" s="139" t="s">
        <v>33</v>
      </c>
      <c r="Q8" s="139"/>
      <c r="R8" s="31" t="s">
        <v>51</v>
      </c>
      <c r="S8" s="32"/>
      <c r="T8" s="33" t="s">
        <v>33</v>
      </c>
      <c r="U8" s="140" t="s">
        <v>52</v>
      </c>
      <c r="V8" s="140"/>
      <c r="W8" s="140"/>
      <c r="X8" s="141" t="s">
        <v>33</v>
      </c>
      <c r="Y8" s="141"/>
      <c r="Z8" s="141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54</v>
      </c>
      <c r="I9" s="35">
        <v>42574</v>
      </c>
      <c r="J9" s="133">
        <v>4</v>
      </c>
      <c r="K9" s="133"/>
      <c r="L9" s="133">
        <v>4</v>
      </c>
      <c r="M9" s="133"/>
      <c r="N9" s="133">
        <v>1</v>
      </c>
      <c r="O9" s="133"/>
      <c r="P9" s="142"/>
      <c r="Q9" s="142"/>
      <c r="R9" s="36" t="s">
        <v>55</v>
      </c>
      <c r="S9" s="37"/>
      <c r="T9" s="33" t="s">
        <v>33</v>
      </c>
      <c r="U9" s="134" t="s">
        <v>56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57</v>
      </c>
      <c r="I10" s="38"/>
      <c r="J10" s="130">
        <v>79</v>
      </c>
      <c r="K10" s="130"/>
      <c r="L10" s="114">
        <v>69</v>
      </c>
      <c r="M10" s="114"/>
      <c r="N10" s="114">
        <v>37</v>
      </c>
      <c r="O10" s="114"/>
      <c r="P10" s="142"/>
      <c r="Q10" s="142"/>
      <c r="R10" s="36" t="s">
        <v>58</v>
      </c>
      <c r="S10" s="37"/>
      <c r="T10" s="33" t="s">
        <v>33</v>
      </c>
      <c r="U10" s="134" t="s">
        <v>59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60</v>
      </c>
      <c r="I11" s="39"/>
      <c r="J11" s="147"/>
      <c r="K11" s="147"/>
      <c r="L11" s="147"/>
      <c r="M11" s="147"/>
      <c r="N11" s="147"/>
      <c r="O11" s="147"/>
      <c r="P11" s="147"/>
      <c r="Q11" s="147"/>
      <c r="R11" s="36" t="s">
        <v>61</v>
      </c>
      <c r="S11" s="37"/>
      <c r="T11" s="33" t="s">
        <v>33</v>
      </c>
      <c r="U11" s="134" t="s">
        <v>62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63</v>
      </c>
      <c r="I12" s="35">
        <v>42579</v>
      </c>
      <c r="J12" s="133">
        <v>9</v>
      </c>
      <c r="K12" s="133"/>
      <c r="L12" s="133">
        <v>9</v>
      </c>
      <c r="M12" s="133"/>
      <c r="N12" s="133" t="s">
        <v>193</v>
      </c>
      <c r="O12" s="133"/>
      <c r="P12" s="142"/>
      <c r="Q12" s="142"/>
      <c r="R12" s="36" t="s">
        <v>64</v>
      </c>
      <c r="S12" s="37"/>
      <c r="T12" s="33" t="s">
        <v>33</v>
      </c>
      <c r="U12" s="134" t="s">
        <v>65</v>
      </c>
      <c r="V12" s="134"/>
      <c r="W12" s="134"/>
      <c r="X12" s="135" t="s">
        <v>33</v>
      </c>
      <c r="Y12" s="135"/>
      <c r="Z12" s="135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66</v>
      </c>
      <c r="I13" s="38"/>
      <c r="J13" s="130">
        <v>207</v>
      </c>
      <c r="K13" s="130"/>
      <c r="L13" s="114">
        <v>180</v>
      </c>
      <c r="M13" s="114"/>
      <c r="N13" s="114" t="s">
        <v>194</v>
      </c>
      <c r="O13" s="114"/>
      <c r="P13" s="142"/>
      <c r="Q13" s="142"/>
      <c r="R13" s="36" t="s">
        <v>67</v>
      </c>
      <c r="S13" s="37"/>
      <c r="T13" s="40" t="s">
        <v>33</v>
      </c>
      <c r="U13" s="131" t="s">
        <v>68</v>
      </c>
      <c r="V13" s="131"/>
      <c r="W13" s="131"/>
      <c r="X13" s="132" t="s">
        <v>33</v>
      </c>
      <c r="Y13" s="132"/>
      <c r="Z13" s="132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69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 t="s">
        <v>70</v>
      </c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71</v>
      </c>
      <c r="I15" s="39"/>
      <c r="J15" s="147"/>
      <c r="K15" s="147"/>
      <c r="L15" s="147"/>
      <c r="M15" s="147"/>
      <c r="N15" s="147"/>
      <c r="O15" s="147"/>
      <c r="P15" s="148"/>
      <c r="Q15" s="148"/>
      <c r="R15" s="129"/>
      <c r="S15" s="129"/>
      <c r="T15" s="129"/>
      <c r="U15" s="129"/>
      <c r="V15" s="129"/>
      <c r="W15" s="129"/>
      <c r="X15" s="129"/>
      <c r="Y15" s="129"/>
      <c r="Z15" s="129"/>
      <c r="AA15" s="7"/>
      <c r="AB15" s="7"/>
      <c r="AC15" s="7"/>
      <c r="AD15" s="7"/>
    </row>
    <row r="16" spans="1:30" x14ac:dyDescent="0.2">
      <c r="A16" s="34" t="s">
        <v>53</v>
      </c>
      <c r="B16" s="16" t="s">
        <v>33</v>
      </c>
      <c r="C16" s="16" t="s">
        <v>33</v>
      </c>
      <c r="D16" s="16" t="s">
        <v>33</v>
      </c>
      <c r="E16" s="16" t="s">
        <v>33</v>
      </c>
      <c r="F16" s="16" t="s">
        <v>33</v>
      </c>
      <c r="G16" s="22"/>
      <c r="H16" s="28" t="s">
        <v>72</v>
      </c>
      <c r="I16" s="39"/>
      <c r="J16" s="147"/>
      <c r="K16" s="147"/>
      <c r="L16" s="147"/>
      <c r="M16" s="147"/>
      <c r="N16" s="147"/>
      <c r="O16" s="147"/>
      <c r="P16" s="149"/>
      <c r="Q16" s="149"/>
      <c r="R16" s="150" t="s">
        <v>635</v>
      </c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30" x14ac:dyDescent="0.2">
      <c r="A17" s="41" t="s">
        <v>73</v>
      </c>
      <c r="B17" s="16"/>
      <c r="C17" s="26">
        <v>42570</v>
      </c>
      <c r="D17" s="26">
        <v>42570</v>
      </c>
      <c r="E17" s="26">
        <v>42573</v>
      </c>
      <c r="F17" s="26"/>
      <c r="G17" s="27" t="e">
        <f>{#DIV/0!}</f>
        <v>#DIV/0!</v>
      </c>
      <c r="H17" s="28" t="s">
        <v>74</v>
      </c>
      <c r="I17" s="35">
        <v>42585</v>
      </c>
      <c r="J17" s="120">
        <v>15</v>
      </c>
      <c r="K17" s="120"/>
      <c r="L17" s="120">
        <v>15</v>
      </c>
      <c r="M17" s="120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  <c r="AA17" s="7"/>
      <c r="AB17" s="7"/>
      <c r="AC17" s="7"/>
      <c r="AD17" s="7"/>
    </row>
    <row r="18" spans="1:30" ht="15" customHeight="1" x14ac:dyDescent="0.2">
      <c r="A18" s="123" t="s">
        <v>75</v>
      </c>
      <c r="B18" s="123"/>
      <c r="C18" s="42">
        <v>0</v>
      </c>
      <c r="D18" s="42">
        <v>0</v>
      </c>
      <c r="E18" s="42">
        <v>0</v>
      </c>
      <c r="F18" s="42">
        <v>0</v>
      </c>
      <c r="G18" s="43">
        <v>0</v>
      </c>
      <c r="H18" s="28" t="s">
        <v>76</v>
      </c>
      <c r="I18" s="38"/>
      <c r="J18" s="113">
        <v>300</v>
      </c>
      <c r="K18" s="113"/>
      <c r="L18" s="114">
        <v>278</v>
      </c>
      <c r="M18" s="114"/>
      <c r="N18" s="153"/>
      <c r="O18" s="153"/>
      <c r="P18" s="142"/>
      <c r="Q18" s="142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30" x14ac:dyDescent="0.2">
      <c r="A19" s="124" t="s">
        <v>77</v>
      </c>
      <c r="B19" s="124"/>
      <c r="C19" s="117" t="s">
        <v>44</v>
      </c>
      <c r="D19" s="117" t="s">
        <v>45</v>
      </c>
      <c r="E19" s="117" t="s">
        <v>46</v>
      </c>
      <c r="F19" s="117" t="s">
        <v>47</v>
      </c>
      <c r="G19" s="117" t="s">
        <v>42</v>
      </c>
      <c r="H19" s="39" t="s">
        <v>111</v>
      </c>
      <c r="I19" s="39"/>
      <c r="J19" s="118">
        <v>1.72</v>
      </c>
      <c r="K19" s="118"/>
      <c r="L19" s="117">
        <v>2.25</v>
      </c>
      <c r="M19" s="11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30" x14ac:dyDescent="0.2">
      <c r="A20" s="124"/>
      <c r="B20" s="124"/>
      <c r="C20" s="117"/>
      <c r="D20" s="117"/>
      <c r="E20" s="117"/>
      <c r="F20" s="117"/>
      <c r="G20" s="117"/>
      <c r="H20" s="39" t="s">
        <v>71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30" x14ac:dyDescent="0.2">
      <c r="A21" s="117" t="s">
        <v>79</v>
      </c>
      <c r="B21" s="117"/>
      <c r="C21" s="30" t="s">
        <v>33</v>
      </c>
      <c r="D21" s="30" t="s">
        <v>33</v>
      </c>
      <c r="E21" s="30" t="s">
        <v>33</v>
      </c>
      <c r="F21" s="30" t="s">
        <v>33</v>
      </c>
      <c r="G21" s="30" t="s">
        <v>33</v>
      </c>
      <c r="H21" s="28" t="s">
        <v>72</v>
      </c>
      <c r="I21" s="39"/>
      <c r="J21" s="147"/>
      <c r="K21" s="147"/>
      <c r="L21" s="147"/>
      <c r="M21" s="147"/>
      <c r="N21" s="148"/>
      <c r="O21" s="148"/>
      <c r="P21" s="147"/>
      <c r="Q21" s="147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30" x14ac:dyDescent="0.2">
      <c r="A22" s="117" t="s">
        <v>50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14" t="s">
        <v>33</v>
      </c>
      <c r="H22" s="44" t="s">
        <v>80</v>
      </c>
      <c r="I22" s="35">
        <v>42589</v>
      </c>
      <c r="J22" s="120">
        <v>19</v>
      </c>
      <c r="K22" s="120"/>
      <c r="L22" s="120">
        <v>19</v>
      </c>
      <c r="M22" s="120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30" x14ac:dyDescent="0.2">
      <c r="A23" s="117" t="s">
        <v>81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82</v>
      </c>
      <c r="I23" s="38"/>
      <c r="J23" s="113">
        <v>417</v>
      </c>
      <c r="K23" s="113"/>
      <c r="L23" s="114">
        <v>393</v>
      </c>
      <c r="M23" s="114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30" x14ac:dyDescent="0.2">
      <c r="A24" s="117" t="s">
        <v>10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111</v>
      </c>
      <c r="I24" s="38"/>
      <c r="J24" s="113">
        <v>3.16</v>
      </c>
      <c r="K24" s="113"/>
      <c r="L24" s="114">
        <v>4.0599999999999996</v>
      </c>
      <c r="M24" s="114"/>
      <c r="N24" s="115" t="s">
        <v>33</v>
      </c>
      <c r="O24" s="115"/>
      <c r="P24" s="113" t="s">
        <v>33</v>
      </c>
      <c r="Q24" s="113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30" x14ac:dyDescent="0.2">
      <c r="A25" s="117" t="s">
        <v>84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71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30" x14ac:dyDescent="0.2">
      <c r="A26" s="117" t="s">
        <v>9</v>
      </c>
      <c r="B26" s="117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72</v>
      </c>
      <c r="I26" s="39"/>
      <c r="J26" s="118" t="s">
        <v>33</v>
      </c>
      <c r="K26" s="118"/>
      <c r="L26" s="117" t="s">
        <v>33</v>
      </c>
      <c r="M26" s="117"/>
      <c r="N26" s="119" t="s">
        <v>33</v>
      </c>
      <c r="O26" s="119"/>
      <c r="P26" s="118" t="s">
        <v>33</v>
      </c>
      <c r="Q26" s="118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30" x14ac:dyDescent="0.2">
      <c r="A27" s="112" t="s">
        <v>85</v>
      </c>
      <c r="B27" s="112"/>
      <c r="C27" s="14" t="s">
        <v>33</v>
      </c>
      <c r="D27" s="14" t="s">
        <v>33</v>
      </c>
      <c r="E27" s="46">
        <v>42577</v>
      </c>
      <c r="F27" s="14" t="s">
        <v>33</v>
      </c>
      <c r="G27" s="33" t="s">
        <v>33</v>
      </c>
      <c r="H27" s="28" t="s">
        <v>86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30" x14ac:dyDescent="0.2">
      <c r="A28" s="116" t="s">
        <v>87</v>
      </c>
      <c r="B28" s="116"/>
      <c r="C28" s="14" t="s">
        <v>33</v>
      </c>
      <c r="D28" s="14" t="s">
        <v>33</v>
      </c>
      <c r="E28" s="14" t="s">
        <v>33</v>
      </c>
      <c r="F28" s="14" t="s">
        <v>33</v>
      </c>
      <c r="G28" s="33" t="s">
        <v>33</v>
      </c>
      <c r="H28" s="28" t="s">
        <v>88</v>
      </c>
      <c r="I28" s="38"/>
      <c r="J28" s="113" t="s">
        <v>33</v>
      </c>
      <c r="K28" s="113"/>
      <c r="L28" s="114" t="s">
        <v>33</v>
      </c>
      <c r="M28" s="114"/>
      <c r="N28" s="115" t="s">
        <v>33</v>
      </c>
      <c r="O28" s="115"/>
      <c r="P28" s="113" t="s">
        <v>33</v>
      </c>
      <c r="Q28" s="113"/>
      <c r="R28" s="150"/>
      <c r="S28" s="150"/>
      <c r="T28" s="150"/>
      <c r="U28" s="150"/>
      <c r="V28" s="150"/>
      <c r="W28" s="150"/>
      <c r="X28" s="150"/>
      <c r="Y28" s="150"/>
      <c r="Z28" s="150"/>
    </row>
    <row r="29" spans="1:30" x14ac:dyDescent="0.2">
      <c r="H29" s="44" t="s">
        <v>118</v>
      </c>
      <c r="I29" s="35" t="s">
        <v>197</v>
      </c>
      <c r="J29" s="120">
        <v>25</v>
      </c>
      <c r="K29" s="120"/>
      <c r="L29" s="120">
        <v>25</v>
      </c>
      <c r="M29" s="120"/>
    </row>
    <row r="30" spans="1:30" x14ac:dyDescent="0.2">
      <c r="H30" s="28" t="s">
        <v>119</v>
      </c>
      <c r="I30" s="38"/>
      <c r="J30" s="113">
        <v>511</v>
      </c>
      <c r="K30" s="113"/>
      <c r="L30" s="114">
        <v>521</v>
      </c>
      <c r="M30" s="114"/>
    </row>
    <row r="31" spans="1:30" x14ac:dyDescent="0.2">
      <c r="H31" s="44" t="s">
        <v>120</v>
      </c>
      <c r="I31" s="35" t="s">
        <v>199</v>
      </c>
      <c r="J31" s="120">
        <v>30</v>
      </c>
      <c r="K31" s="120"/>
      <c r="L31" s="120">
        <v>30</v>
      </c>
      <c r="M31" s="120"/>
    </row>
    <row r="32" spans="1:30" x14ac:dyDescent="0.2">
      <c r="H32" s="28" t="s">
        <v>121</v>
      </c>
      <c r="I32" s="38"/>
      <c r="J32" s="113">
        <v>600</v>
      </c>
      <c r="K32" s="113"/>
      <c r="L32" s="114">
        <v>610</v>
      </c>
      <c r="M32" s="114"/>
    </row>
  </sheetData>
  <mergeCells count="136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7:K7"/>
    <mergeCell ref="L7:M7"/>
    <mergeCell ref="N7:O7"/>
    <mergeCell ref="P7:Q7"/>
    <mergeCell ref="S7:Z7"/>
    <mergeCell ref="J9:K9"/>
    <mergeCell ref="L9:M9"/>
    <mergeCell ref="N9:O9"/>
    <mergeCell ref="P9:Q9"/>
    <mergeCell ref="U9:W9"/>
    <mergeCell ref="X9:Z9"/>
    <mergeCell ref="J8:K8"/>
    <mergeCell ref="L8:M8"/>
    <mergeCell ref="N8:O8"/>
    <mergeCell ref="P8:Q8"/>
    <mergeCell ref="U8:W8"/>
    <mergeCell ref="X8:Z8"/>
    <mergeCell ref="J11:K11"/>
    <mergeCell ref="L11:M11"/>
    <mergeCell ref="N11:O11"/>
    <mergeCell ref="P11:Q11"/>
    <mergeCell ref="U11:W11"/>
    <mergeCell ref="X11:Z11"/>
    <mergeCell ref="J10:K10"/>
    <mergeCell ref="L10:M10"/>
    <mergeCell ref="N10:O10"/>
    <mergeCell ref="P10:Q10"/>
    <mergeCell ref="U10:W10"/>
    <mergeCell ref="X10:Z10"/>
    <mergeCell ref="J13:K13"/>
    <mergeCell ref="L13:M13"/>
    <mergeCell ref="N13:O13"/>
    <mergeCell ref="P13:Q13"/>
    <mergeCell ref="U13:W13"/>
    <mergeCell ref="X13:Z13"/>
    <mergeCell ref="J12:K12"/>
    <mergeCell ref="L12:M12"/>
    <mergeCell ref="N12:O12"/>
    <mergeCell ref="P12:Q12"/>
    <mergeCell ref="U12:W12"/>
    <mergeCell ref="X12:Z12"/>
    <mergeCell ref="J14:K14"/>
    <mergeCell ref="L14:M14"/>
    <mergeCell ref="N14:O14"/>
    <mergeCell ref="P14:Q14"/>
    <mergeCell ref="R14:Z15"/>
    <mergeCell ref="J15:K15"/>
    <mergeCell ref="L15:M15"/>
    <mergeCell ref="N15:O15"/>
    <mergeCell ref="P15:Q15"/>
    <mergeCell ref="J16:K16"/>
    <mergeCell ref="L16:M16"/>
    <mergeCell ref="N16:O16"/>
    <mergeCell ref="P16:Q16"/>
    <mergeCell ref="R16:Z28"/>
    <mergeCell ref="J17:K17"/>
    <mergeCell ref="L17:M17"/>
    <mergeCell ref="N17:O17"/>
    <mergeCell ref="P17:Q17"/>
    <mergeCell ref="N27:O27"/>
    <mergeCell ref="P27:Q27"/>
    <mergeCell ref="A18:B18"/>
    <mergeCell ref="J18:K18"/>
    <mergeCell ref="L18:M18"/>
    <mergeCell ref="N18:O18"/>
    <mergeCell ref="P18:Q18"/>
    <mergeCell ref="A19:B20"/>
    <mergeCell ref="C19:C20"/>
    <mergeCell ref="D19:D20"/>
    <mergeCell ref="E19:E20"/>
    <mergeCell ref="F19:F20"/>
    <mergeCell ref="G19:G20"/>
    <mergeCell ref="J19:K19"/>
    <mergeCell ref="L19:M19"/>
    <mergeCell ref="N19:O19"/>
    <mergeCell ref="P19:Q19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N28:O28"/>
    <mergeCell ref="P28:Q28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J32:K32"/>
    <mergeCell ref="L32:M32"/>
    <mergeCell ref="J29:K29"/>
    <mergeCell ref="L29:M29"/>
    <mergeCell ref="J30:K30"/>
    <mergeCell ref="L30:M30"/>
    <mergeCell ref="J31:K31"/>
    <mergeCell ref="L31:M31"/>
    <mergeCell ref="A27:B27"/>
    <mergeCell ref="J27:K27"/>
    <mergeCell ref="L27:M27"/>
    <mergeCell ref="A28:B28"/>
    <mergeCell ref="J28:K28"/>
    <mergeCell ref="L28:M28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>
      <selection activeCell="L7" sqref="L7:M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32</v>
      </c>
      <c r="G1" s="3" t="s">
        <v>3</v>
      </c>
      <c r="H1" s="2"/>
      <c r="I1" s="129" t="s">
        <v>4</v>
      </c>
      <c r="J1" s="129"/>
      <c r="K1" s="142" t="s">
        <v>658</v>
      </c>
      <c r="L1" s="142"/>
      <c r="M1" s="142"/>
      <c r="N1" s="142"/>
      <c r="O1" s="142"/>
      <c r="P1" s="143" t="s">
        <v>5</v>
      </c>
      <c r="Q1" s="143"/>
      <c r="R1" s="152" t="s">
        <v>247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80"/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248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D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33</v>
      </c>
      <c r="E1" s="1" t="s">
        <v>2</v>
      </c>
      <c r="F1" s="2">
        <v>33</v>
      </c>
      <c r="G1" s="3" t="s">
        <v>3</v>
      </c>
      <c r="H1" s="2"/>
      <c r="I1" s="129" t="s">
        <v>4</v>
      </c>
      <c r="J1" s="129"/>
      <c r="K1" s="151" t="s">
        <v>249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46">
        <v>42579</v>
      </c>
      <c r="C5" s="14"/>
      <c r="D5" s="14" t="s">
        <v>33</v>
      </c>
      <c r="E5" s="14" t="s">
        <v>33</v>
      </c>
      <c r="F5" s="14" t="s">
        <v>250</v>
      </c>
      <c r="G5" s="14" t="s">
        <v>251</v>
      </c>
      <c r="H5" s="14" t="s">
        <v>252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253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zoomScale="80" zoomScaleNormal="80" workbookViewId="0">
      <selection activeCell="N25" sqref="N25:O25"/>
    </sheetView>
  </sheetViews>
  <sheetFormatPr defaultRowHeight="14.25" x14ac:dyDescent="0.2"/>
  <cols>
    <col min="1" max="1" width="8.25" customWidth="1"/>
    <col min="2" max="2" width="7.375" customWidth="1"/>
    <col min="3" max="3" width="13.625" customWidth="1"/>
    <col min="4" max="4" width="11.25" customWidth="1"/>
    <col min="5" max="5" width="7.625" customWidth="1"/>
    <col min="6" max="6" width="8.25" customWidth="1"/>
    <col min="7" max="7" width="7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33</v>
      </c>
      <c r="E1" s="1" t="s">
        <v>2</v>
      </c>
      <c r="F1" s="2">
        <v>34</v>
      </c>
      <c r="G1" s="3" t="s">
        <v>3</v>
      </c>
      <c r="H1" s="2"/>
      <c r="I1" s="129" t="s">
        <v>4</v>
      </c>
      <c r="J1" s="129"/>
      <c r="K1" s="151" t="s">
        <v>254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593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582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01">
        <v>42591</v>
      </c>
      <c r="D22" s="101">
        <v>42591</v>
      </c>
      <c r="E22" s="101">
        <v>42591</v>
      </c>
      <c r="F22" s="101">
        <v>42591</v>
      </c>
      <c r="G22" s="101">
        <v>42591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07" t="s">
        <v>583</v>
      </c>
      <c r="D23" s="107" t="s">
        <v>584</v>
      </c>
      <c r="E23" s="14" t="s">
        <v>585</v>
      </c>
      <c r="F23" s="107" t="s">
        <v>586</v>
      </c>
      <c r="G23" s="33" t="s">
        <v>587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588</v>
      </c>
      <c r="D25" s="14" t="s">
        <v>588</v>
      </c>
      <c r="E25" s="14" t="s">
        <v>588</v>
      </c>
      <c r="F25" s="14" t="s">
        <v>588</v>
      </c>
      <c r="G25" s="14" t="s">
        <v>588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57" t="s">
        <v>87</v>
      </c>
      <c r="B27" s="157"/>
      <c r="C27" s="19" t="s">
        <v>33</v>
      </c>
      <c r="D27" s="19" t="s">
        <v>33</v>
      </c>
      <c r="E27" s="19" t="s">
        <v>33</v>
      </c>
      <c r="F27" s="19" t="s">
        <v>33</v>
      </c>
      <c r="G27" s="40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A28" s="156" t="s">
        <v>590</v>
      </c>
      <c r="B28" s="156"/>
      <c r="C28" s="108" t="s">
        <v>591</v>
      </c>
      <c r="D28" s="108" t="s">
        <v>592</v>
      </c>
      <c r="E28" s="109"/>
      <c r="F28" s="109"/>
      <c r="G28" s="109"/>
    </row>
    <row r="29" spans="1:26" x14ac:dyDescent="0.2">
      <c r="A29" s="156" t="s">
        <v>589</v>
      </c>
      <c r="B29" s="156"/>
      <c r="C29" s="108">
        <v>48500697531</v>
      </c>
      <c r="D29" s="108">
        <v>48500699447</v>
      </c>
      <c r="E29" s="109"/>
      <c r="F29" s="109"/>
      <c r="G29" s="109"/>
    </row>
  </sheetData>
  <mergeCells count="130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8:B28"/>
    <mergeCell ref="A29:B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10.75" customWidth="1"/>
    <col min="4" max="4" width="10.5" customWidth="1"/>
    <col min="5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35</v>
      </c>
      <c r="E1" s="1" t="s">
        <v>2</v>
      </c>
      <c r="F1" s="2">
        <v>35</v>
      </c>
      <c r="G1" s="3" t="s">
        <v>3</v>
      </c>
      <c r="H1" s="2"/>
      <c r="I1" s="129" t="s">
        <v>4</v>
      </c>
      <c r="J1" s="129"/>
      <c r="K1" s="158" t="s">
        <v>255</v>
      </c>
      <c r="L1" s="158"/>
      <c r="M1" s="158"/>
      <c r="N1" s="158"/>
      <c r="O1" s="158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46">
        <v>42568</v>
      </c>
      <c r="C3" s="14" t="s">
        <v>33</v>
      </c>
      <c r="D3" s="14" t="s">
        <v>33</v>
      </c>
      <c r="E3" s="14" t="s">
        <v>33</v>
      </c>
      <c r="F3" s="14" t="s">
        <v>256</v>
      </c>
      <c r="G3" s="14" t="s">
        <v>136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/>
      <c r="B5" s="49">
        <v>42517</v>
      </c>
      <c r="C5" s="14" t="s">
        <v>243</v>
      </c>
      <c r="D5" s="14" t="s">
        <v>117</v>
      </c>
      <c r="E5" s="14" t="s">
        <v>257</v>
      </c>
      <c r="F5" s="14" t="s">
        <v>258</v>
      </c>
      <c r="G5" s="14" t="s">
        <v>96</v>
      </c>
      <c r="H5" s="14"/>
      <c r="I5" s="19"/>
      <c r="J5" s="19">
        <v>1010</v>
      </c>
      <c r="K5" s="19">
        <v>5</v>
      </c>
      <c r="L5" s="20">
        <v>55.01</v>
      </c>
      <c r="M5" s="20"/>
      <c r="N5" s="19">
        <v>362</v>
      </c>
      <c r="O5" s="19">
        <v>174</v>
      </c>
      <c r="P5" s="21"/>
      <c r="Q5" s="21"/>
      <c r="R5" s="16"/>
      <c r="S5" s="16"/>
      <c r="T5" s="16"/>
      <c r="U5" s="14"/>
      <c r="V5" s="14" t="s">
        <v>98</v>
      </c>
      <c r="W5" s="14"/>
      <c r="X5" s="16"/>
      <c r="Y5" s="16"/>
      <c r="Z5" s="16"/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42573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133</v>
      </c>
      <c r="K9" s="130"/>
      <c r="L9" s="114">
        <v>89</v>
      </c>
      <c r="M9" s="114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42588</v>
      </c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465</v>
      </c>
      <c r="K12" s="130"/>
      <c r="L12" s="114">
        <v>497</v>
      </c>
      <c r="M12" s="114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259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42593</v>
      </c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597</v>
      </c>
      <c r="K17" s="113"/>
      <c r="L17" s="114">
        <v>576</v>
      </c>
      <c r="M17" s="114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260</v>
      </c>
      <c r="D20" s="30" t="s">
        <v>260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42593</v>
      </c>
      <c r="D22" s="46">
        <v>42593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ht="15" x14ac:dyDescent="0.25">
      <c r="A23" s="117" t="s">
        <v>10</v>
      </c>
      <c r="B23" s="117"/>
      <c r="C23" s="77">
        <v>115618947</v>
      </c>
      <c r="D23" s="77">
        <v>115618948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117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C1"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10.375" customWidth="1"/>
    <col min="5" max="6" width="8.125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36</v>
      </c>
      <c r="G1" s="3" t="s">
        <v>3</v>
      </c>
      <c r="H1" s="2"/>
      <c r="I1" s="129" t="s">
        <v>4</v>
      </c>
      <c r="J1" s="129"/>
      <c r="K1" s="153" t="s">
        <v>659</v>
      </c>
      <c r="L1" s="144"/>
      <c r="M1" s="144"/>
      <c r="N1" s="144"/>
      <c r="O1" s="181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42582</v>
      </c>
      <c r="J8" s="133">
        <v>35</v>
      </c>
      <c r="K8" s="133"/>
      <c r="L8" s="133">
        <v>35</v>
      </c>
      <c r="M8" s="133"/>
      <c r="N8" s="133">
        <v>35</v>
      </c>
      <c r="O8" s="133"/>
      <c r="P8" s="133">
        <v>35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626</v>
      </c>
      <c r="K9" s="130"/>
      <c r="L9" s="114">
        <v>797</v>
      </c>
      <c r="M9" s="114"/>
      <c r="N9" s="114">
        <v>664</v>
      </c>
      <c r="O9" s="114"/>
      <c r="P9" s="113">
        <v>714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171</v>
      </c>
      <c r="I10" s="39"/>
      <c r="J10" s="125">
        <v>68.150000000000006</v>
      </c>
      <c r="K10" s="125"/>
      <c r="L10" s="117">
        <v>68.66</v>
      </c>
      <c r="M10" s="117"/>
      <c r="N10" s="117">
        <v>67.650000000000006</v>
      </c>
      <c r="O10" s="117"/>
      <c r="P10" s="118">
        <v>72.19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53"/>
      <c r="K12" s="181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261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173</v>
      </c>
      <c r="D20" s="30" t="s">
        <v>173</v>
      </c>
      <c r="E20" s="30" t="s">
        <v>173</v>
      </c>
      <c r="F20" s="30" t="s">
        <v>173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42582</v>
      </c>
      <c r="D22" s="46">
        <v>42582</v>
      </c>
      <c r="E22" s="46">
        <v>42582</v>
      </c>
      <c r="F22" s="46">
        <v>42582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194719272</v>
      </c>
      <c r="D23" s="14">
        <v>194719276</v>
      </c>
      <c r="E23" s="14">
        <v>194719273</v>
      </c>
      <c r="F23" s="14">
        <v>194719274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94</v>
      </c>
      <c r="E25" s="14" t="s">
        <v>129</v>
      </c>
      <c r="F25" s="14" t="s">
        <v>117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opLeftCell="F1" workbookViewId="0">
      <selection activeCell="R16" sqref="R16:Z28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10.125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9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20</v>
      </c>
      <c r="E1" s="1" t="s">
        <v>2</v>
      </c>
      <c r="F1" s="2">
        <v>37</v>
      </c>
      <c r="G1" s="3" t="s">
        <v>3</v>
      </c>
      <c r="H1" s="2"/>
      <c r="I1" s="129" t="s">
        <v>4</v>
      </c>
      <c r="J1" s="129"/>
      <c r="K1" s="151" t="s">
        <v>262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s="60" customFormat="1" ht="25.5" x14ac:dyDescent="0.2">
      <c r="A5" s="57"/>
      <c r="B5" s="58">
        <v>42571</v>
      </c>
      <c r="C5" s="59"/>
      <c r="D5" s="59"/>
      <c r="E5" s="59"/>
      <c r="F5" s="59" t="s">
        <v>263</v>
      </c>
      <c r="G5" s="59"/>
      <c r="H5" s="59"/>
      <c r="I5" s="62"/>
      <c r="J5" s="62"/>
      <c r="K5" s="62"/>
      <c r="L5" s="63"/>
      <c r="M5" s="64"/>
      <c r="N5" s="62"/>
      <c r="O5" s="62"/>
      <c r="P5" s="62"/>
      <c r="Q5" s="63"/>
      <c r="R5" s="65"/>
      <c r="S5" s="59"/>
      <c r="T5" s="59"/>
      <c r="U5" s="59"/>
      <c r="V5" s="59"/>
      <c r="W5" s="59"/>
      <c r="X5" s="59"/>
      <c r="Y5" s="66"/>
      <c r="Z5" s="67"/>
      <c r="AA5" s="68"/>
      <c r="AB5" s="68"/>
      <c r="AC5" s="69"/>
      <c r="AD5" s="68"/>
    </row>
    <row r="6" spans="1:30" x14ac:dyDescent="0.2">
      <c r="A6" s="14" t="s">
        <v>33</v>
      </c>
      <c r="B6" s="46">
        <v>42511</v>
      </c>
      <c r="C6" s="14" t="s">
        <v>93</v>
      </c>
      <c r="D6" s="14" t="s">
        <v>264</v>
      </c>
      <c r="E6" s="14">
        <v>168705192</v>
      </c>
      <c r="F6" s="14" t="s">
        <v>265</v>
      </c>
      <c r="G6" s="14" t="s">
        <v>96</v>
      </c>
      <c r="H6" s="14" t="s">
        <v>33</v>
      </c>
      <c r="I6" s="19" t="s">
        <v>33</v>
      </c>
      <c r="J6" s="19">
        <v>1100</v>
      </c>
      <c r="K6" s="19">
        <v>4</v>
      </c>
      <c r="L6" s="20">
        <v>63.73</v>
      </c>
      <c r="M6" s="20" t="s">
        <v>33</v>
      </c>
      <c r="N6" s="19">
        <v>365</v>
      </c>
      <c r="O6" s="19">
        <v>168.5</v>
      </c>
      <c r="P6" s="21" t="s">
        <v>33</v>
      </c>
      <c r="Q6" s="21" t="s">
        <v>33</v>
      </c>
      <c r="R6" s="16" t="s">
        <v>33</v>
      </c>
      <c r="S6" s="16" t="s">
        <v>33</v>
      </c>
      <c r="T6" s="16" t="s">
        <v>33</v>
      </c>
      <c r="U6" s="14" t="s">
        <v>97</v>
      </c>
      <c r="V6" s="14" t="s">
        <v>266</v>
      </c>
      <c r="W6" s="14" t="s">
        <v>33</v>
      </c>
      <c r="X6" s="16" t="s">
        <v>33</v>
      </c>
      <c r="Y6" s="16" t="s">
        <v>33</v>
      </c>
      <c r="Z6" s="16" t="s">
        <v>33</v>
      </c>
      <c r="AA6" s="7"/>
      <c r="AB6" s="7"/>
      <c r="AC6" s="7"/>
      <c r="AD6" s="7"/>
    </row>
    <row r="7" spans="1:30" x14ac:dyDescent="0.2">
      <c r="A7" s="4" t="s">
        <v>37</v>
      </c>
      <c r="B7" s="10" t="s">
        <v>7</v>
      </c>
      <c r="C7" s="22" t="s">
        <v>38</v>
      </c>
      <c r="D7" s="22" t="s">
        <v>39</v>
      </c>
      <c r="E7" s="22" t="s">
        <v>40</v>
      </c>
      <c r="F7" s="22" t="s">
        <v>41</v>
      </c>
      <c r="G7" s="22" t="s">
        <v>42</v>
      </c>
      <c r="H7" s="23" t="s">
        <v>43</v>
      </c>
      <c r="I7" s="22" t="s">
        <v>7</v>
      </c>
      <c r="J7" s="117" t="s">
        <v>44</v>
      </c>
      <c r="K7" s="117"/>
      <c r="L7" s="117" t="s">
        <v>45</v>
      </c>
      <c r="M7" s="117"/>
      <c r="N7" s="117" t="s">
        <v>46</v>
      </c>
      <c r="O7" s="117"/>
      <c r="P7" s="117" t="s">
        <v>47</v>
      </c>
      <c r="Q7" s="117"/>
      <c r="R7" s="24"/>
      <c r="S7" s="136" t="s">
        <v>48</v>
      </c>
      <c r="T7" s="136"/>
      <c r="U7" s="136"/>
      <c r="V7" s="136"/>
      <c r="W7" s="136"/>
      <c r="X7" s="136"/>
      <c r="Y7" s="136"/>
      <c r="Z7" s="136"/>
      <c r="AA7" s="7"/>
      <c r="AB7" s="7"/>
      <c r="AC7" s="7"/>
      <c r="AD7" s="7"/>
    </row>
    <row r="8" spans="1:30" x14ac:dyDescent="0.2">
      <c r="A8" s="25" t="s">
        <v>49</v>
      </c>
      <c r="B8" s="16"/>
      <c r="C8" s="26"/>
      <c r="D8" s="26"/>
      <c r="E8" s="26"/>
      <c r="F8" s="26"/>
      <c r="G8" s="27" t="e">
        <f>{#DIV/0!}</f>
        <v>#DIV/0!</v>
      </c>
      <c r="H8" s="28" t="s">
        <v>50</v>
      </c>
      <c r="I8" s="29"/>
      <c r="J8" s="137" t="s">
        <v>101</v>
      </c>
      <c r="K8" s="137"/>
      <c r="L8" s="138" t="s">
        <v>102</v>
      </c>
      <c r="M8" s="138"/>
      <c r="N8" s="138" t="s">
        <v>33</v>
      </c>
      <c r="O8" s="138"/>
      <c r="P8" s="139" t="s">
        <v>33</v>
      </c>
      <c r="Q8" s="139"/>
      <c r="R8" s="31" t="s">
        <v>51</v>
      </c>
      <c r="S8" s="32"/>
      <c r="T8" s="33" t="s">
        <v>33</v>
      </c>
      <c r="U8" s="140" t="s">
        <v>52</v>
      </c>
      <c r="V8" s="140"/>
      <c r="W8" s="140"/>
      <c r="X8" s="141" t="s">
        <v>33</v>
      </c>
      <c r="Y8" s="141"/>
      <c r="Z8" s="141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54</v>
      </c>
      <c r="I9" s="35">
        <v>42576</v>
      </c>
      <c r="J9" s="142"/>
      <c r="K9" s="142"/>
      <c r="L9" s="142"/>
      <c r="M9" s="142"/>
      <c r="N9" s="142"/>
      <c r="O9" s="142"/>
      <c r="P9" s="142"/>
      <c r="Q9" s="142"/>
      <c r="R9" s="36" t="s">
        <v>55</v>
      </c>
      <c r="S9" s="37"/>
      <c r="T9" s="33" t="s">
        <v>33</v>
      </c>
      <c r="U9" s="134" t="s">
        <v>56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57</v>
      </c>
      <c r="I10" s="38"/>
      <c r="J10" s="130">
        <v>384</v>
      </c>
      <c r="K10" s="130"/>
      <c r="L10" s="114">
        <v>309</v>
      </c>
      <c r="M10" s="114"/>
      <c r="N10" s="142"/>
      <c r="O10" s="142"/>
      <c r="P10" s="142"/>
      <c r="Q10" s="142"/>
      <c r="R10" s="36" t="s">
        <v>58</v>
      </c>
      <c r="S10" s="37"/>
      <c r="T10" s="33" t="s">
        <v>33</v>
      </c>
      <c r="U10" s="134" t="s">
        <v>59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60</v>
      </c>
      <c r="I11" s="39"/>
      <c r="J11" s="147"/>
      <c r="K11" s="147"/>
      <c r="L11" s="147"/>
      <c r="M11" s="147"/>
      <c r="N11" s="147"/>
      <c r="O11" s="147"/>
      <c r="P11" s="147"/>
      <c r="Q11" s="147"/>
      <c r="R11" s="36" t="s">
        <v>61</v>
      </c>
      <c r="S11" s="37"/>
      <c r="T11" s="33" t="s">
        <v>33</v>
      </c>
      <c r="U11" s="134" t="s">
        <v>62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63</v>
      </c>
      <c r="I12" s="35">
        <v>42595</v>
      </c>
      <c r="J12" s="133" t="s">
        <v>267</v>
      </c>
      <c r="K12" s="133"/>
      <c r="L12" s="133" t="s">
        <v>267</v>
      </c>
      <c r="M12" s="133"/>
      <c r="N12" s="142"/>
      <c r="O12" s="142"/>
      <c r="P12" s="142"/>
      <c r="Q12" s="142"/>
      <c r="R12" s="36" t="s">
        <v>64</v>
      </c>
      <c r="S12" s="37"/>
      <c r="T12" s="33" t="s">
        <v>33</v>
      </c>
      <c r="U12" s="134" t="s">
        <v>65</v>
      </c>
      <c r="V12" s="134"/>
      <c r="W12" s="134"/>
      <c r="X12" s="135" t="s">
        <v>33</v>
      </c>
      <c r="Y12" s="135"/>
      <c r="Z12" s="135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66</v>
      </c>
      <c r="I13" s="38"/>
      <c r="J13" s="130">
        <v>624</v>
      </c>
      <c r="K13" s="130"/>
      <c r="L13" s="114">
        <v>574</v>
      </c>
      <c r="M13" s="114"/>
      <c r="N13" s="142"/>
      <c r="O13" s="142"/>
      <c r="P13" s="142"/>
      <c r="Q13" s="142"/>
      <c r="R13" s="36" t="s">
        <v>67</v>
      </c>
      <c r="S13" s="37"/>
      <c r="T13" s="40" t="s">
        <v>33</v>
      </c>
      <c r="U13" s="131" t="s">
        <v>68</v>
      </c>
      <c r="V13" s="131"/>
      <c r="W13" s="131"/>
      <c r="X13" s="132" t="s">
        <v>33</v>
      </c>
      <c r="Y13" s="132"/>
      <c r="Z13" s="132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69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 t="s">
        <v>70</v>
      </c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71</v>
      </c>
      <c r="I15" s="39"/>
      <c r="J15" s="147"/>
      <c r="K15" s="147"/>
      <c r="L15" s="147"/>
      <c r="M15" s="147"/>
      <c r="N15" s="147"/>
      <c r="O15" s="147"/>
      <c r="P15" s="148"/>
      <c r="Q15" s="148"/>
      <c r="R15" s="129"/>
      <c r="S15" s="129"/>
      <c r="T15" s="129"/>
      <c r="U15" s="129"/>
      <c r="V15" s="129"/>
      <c r="W15" s="129"/>
      <c r="X15" s="129"/>
      <c r="Y15" s="129"/>
      <c r="Z15" s="129"/>
      <c r="AA15" s="7"/>
      <c r="AB15" s="7"/>
      <c r="AC15" s="7"/>
      <c r="AD15" s="7"/>
    </row>
    <row r="16" spans="1:30" x14ac:dyDescent="0.2">
      <c r="A16" s="34" t="s">
        <v>53</v>
      </c>
      <c r="B16" s="16" t="s">
        <v>33</v>
      </c>
      <c r="C16" s="16" t="s">
        <v>33</v>
      </c>
      <c r="D16" s="16" t="s">
        <v>33</v>
      </c>
      <c r="E16" s="16" t="s">
        <v>33</v>
      </c>
      <c r="F16" s="16" t="s">
        <v>33</v>
      </c>
      <c r="G16" s="22"/>
      <c r="H16" s="28" t="s">
        <v>72</v>
      </c>
      <c r="I16" s="39"/>
      <c r="J16" s="147"/>
      <c r="K16" s="147"/>
      <c r="L16" s="147"/>
      <c r="M16" s="147"/>
      <c r="N16" s="147"/>
      <c r="O16" s="147"/>
      <c r="P16" s="149"/>
      <c r="Q16" s="149"/>
      <c r="R16" s="150" t="s">
        <v>636</v>
      </c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30" x14ac:dyDescent="0.2">
      <c r="A17" s="41" t="s">
        <v>73</v>
      </c>
      <c r="B17" s="16"/>
      <c r="C17" s="26"/>
      <c r="D17" s="26"/>
      <c r="E17" s="26"/>
      <c r="F17" s="26"/>
      <c r="G17" s="27" t="e">
        <f>{#DIV/0!}</f>
        <v>#DIV/0!</v>
      </c>
      <c r="H17" s="28" t="s">
        <v>74</v>
      </c>
      <c r="I17" s="35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  <c r="AA17" s="7"/>
      <c r="AB17" s="7"/>
      <c r="AC17" s="7"/>
      <c r="AD17" s="7"/>
    </row>
    <row r="18" spans="1:30" ht="15" customHeight="1" x14ac:dyDescent="0.2">
      <c r="A18" s="123" t="s">
        <v>75</v>
      </c>
      <c r="B18" s="123"/>
      <c r="C18" s="42">
        <v>0</v>
      </c>
      <c r="D18" s="42">
        <v>0</v>
      </c>
      <c r="E18" s="42">
        <v>0</v>
      </c>
      <c r="F18" s="42">
        <v>0</v>
      </c>
      <c r="G18" s="43">
        <v>0</v>
      </c>
      <c r="H18" s="28" t="s">
        <v>76</v>
      </c>
      <c r="I18" s="38"/>
      <c r="J18" s="142"/>
      <c r="K18" s="142"/>
      <c r="L18" s="142"/>
      <c r="M18" s="142"/>
      <c r="N18" s="153"/>
      <c r="O18" s="153"/>
      <c r="P18" s="142"/>
      <c r="Q18" s="142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30" x14ac:dyDescent="0.2">
      <c r="A19" s="124" t="s">
        <v>77</v>
      </c>
      <c r="B19" s="124"/>
      <c r="C19" s="117" t="s">
        <v>44</v>
      </c>
      <c r="D19" s="117" t="s">
        <v>45</v>
      </c>
      <c r="E19" s="117" t="s">
        <v>46</v>
      </c>
      <c r="F19" s="117" t="s">
        <v>47</v>
      </c>
      <c r="G19" s="117" t="s">
        <v>42</v>
      </c>
      <c r="H19" s="39" t="s">
        <v>78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30" x14ac:dyDescent="0.2">
      <c r="A20" s="124"/>
      <c r="B20" s="124"/>
      <c r="C20" s="117"/>
      <c r="D20" s="117"/>
      <c r="E20" s="117"/>
      <c r="F20" s="117"/>
      <c r="G20" s="117"/>
      <c r="H20" s="39" t="s">
        <v>71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30" x14ac:dyDescent="0.2">
      <c r="A21" s="117" t="s">
        <v>79</v>
      </c>
      <c r="B21" s="117"/>
      <c r="C21" s="30" t="s">
        <v>268</v>
      </c>
      <c r="D21" s="30" t="s">
        <v>203</v>
      </c>
      <c r="E21" s="30" t="s">
        <v>33</v>
      </c>
      <c r="F21" s="30" t="s">
        <v>33</v>
      </c>
      <c r="G21" s="30" t="s">
        <v>33</v>
      </c>
      <c r="H21" s="28" t="s">
        <v>72</v>
      </c>
      <c r="I21" s="39"/>
      <c r="J21" s="147"/>
      <c r="K21" s="147"/>
      <c r="L21" s="147"/>
      <c r="M21" s="147"/>
      <c r="N21" s="148"/>
      <c r="O21" s="148"/>
      <c r="P21" s="147"/>
      <c r="Q21" s="147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30" x14ac:dyDescent="0.2">
      <c r="A22" s="117" t="s">
        <v>50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14" t="s">
        <v>33</v>
      </c>
      <c r="H22" s="44" t="s">
        <v>80</v>
      </c>
      <c r="I22" s="35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30" x14ac:dyDescent="0.2">
      <c r="A23" s="117" t="s">
        <v>81</v>
      </c>
      <c r="B23" s="117"/>
      <c r="C23" s="14" t="s">
        <v>201</v>
      </c>
      <c r="D23" s="14" t="s">
        <v>201</v>
      </c>
      <c r="E23" s="14" t="s">
        <v>33</v>
      </c>
      <c r="F23" s="14" t="s">
        <v>33</v>
      </c>
      <c r="G23" s="33" t="s">
        <v>33</v>
      </c>
      <c r="H23" s="28" t="s">
        <v>82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30" x14ac:dyDescent="0.2">
      <c r="A24" s="117" t="s">
        <v>10</v>
      </c>
      <c r="B24" s="117"/>
      <c r="C24" s="14">
        <v>115618953</v>
      </c>
      <c r="D24" s="14">
        <v>115618954</v>
      </c>
      <c r="E24" s="14" t="s">
        <v>33</v>
      </c>
      <c r="F24" s="14" t="s">
        <v>33</v>
      </c>
      <c r="G24" s="33" t="s">
        <v>33</v>
      </c>
      <c r="H24" s="28" t="s">
        <v>83</v>
      </c>
      <c r="I24" s="38"/>
      <c r="J24" s="113" t="s">
        <v>33</v>
      </c>
      <c r="K24" s="113"/>
      <c r="L24" s="114" t="s">
        <v>33</v>
      </c>
      <c r="M24" s="114"/>
      <c r="N24" s="115" t="s">
        <v>33</v>
      </c>
      <c r="O24" s="115"/>
      <c r="P24" s="113" t="s">
        <v>33</v>
      </c>
      <c r="Q24" s="113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30" x14ac:dyDescent="0.2">
      <c r="A25" s="117" t="s">
        <v>84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71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30" x14ac:dyDescent="0.2">
      <c r="A26" s="117" t="s">
        <v>9</v>
      </c>
      <c r="B26" s="117"/>
      <c r="C26" s="14" t="s">
        <v>205</v>
      </c>
      <c r="D26" s="14" t="s">
        <v>205</v>
      </c>
      <c r="E26" s="14" t="s">
        <v>33</v>
      </c>
      <c r="F26" s="14" t="s">
        <v>33</v>
      </c>
      <c r="G26" s="33" t="s">
        <v>33</v>
      </c>
      <c r="H26" s="28" t="s">
        <v>72</v>
      </c>
      <c r="I26" s="39"/>
      <c r="J26" s="118" t="s">
        <v>33</v>
      </c>
      <c r="K26" s="118"/>
      <c r="L26" s="117" t="s">
        <v>33</v>
      </c>
      <c r="M26" s="117"/>
      <c r="N26" s="119" t="s">
        <v>33</v>
      </c>
      <c r="O26" s="119"/>
      <c r="P26" s="118" t="s">
        <v>33</v>
      </c>
      <c r="Q26" s="118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30" x14ac:dyDescent="0.2">
      <c r="A27" s="112" t="s">
        <v>85</v>
      </c>
      <c r="B27" s="112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86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30" x14ac:dyDescent="0.2">
      <c r="A28" s="116" t="s">
        <v>87</v>
      </c>
      <c r="B28" s="116"/>
      <c r="C28" s="14" t="s">
        <v>33</v>
      </c>
      <c r="D28" s="14" t="s">
        <v>33</v>
      </c>
      <c r="E28" s="14" t="s">
        <v>33</v>
      </c>
      <c r="F28" s="14" t="s">
        <v>33</v>
      </c>
      <c r="G28" s="33" t="s">
        <v>33</v>
      </c>
      <c r="H28" s="28" t="s">
        <v>88</v>
      </c>
      <c r="I28" s="38"/>
      <c r="J28" s="113" t="s">
        <v>33</v>
      </c>
      <c r="K28" s="113"/>
      <c r="L28" s="114" t="s">
        <v>33</v>
      </c>
      <c r="M28" s="114"/>
      <c r="N28" s="115" t="s">
        <v>33</v>
      </c>
      <c r="O28" s="115"/>
      <c r="P28" s="113" t="s">
        <v>33</v>
      </c>
      <c r="Q28" s="113"/>
      <c r="R28" s="150"/>
      <c r="S28" s="150"/>
      <c r="T28" s="150"/>
      <c r="U28" s="150"/>
      <c r="V28" s="150"/>
      <c r="W28" s="150"/>
      <c r="X28" s="150"/>
      <c r="Y28" s="150"/>
      <c r="Z28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7:K7"/>
    <mergeCell ref="L7:M7"/>
    <mergeCell ref="N7:O7"/>
    <mergeCell ref="P7:Q7"/>
    <mergeCell ref="S7:Z7"/>
    <mergeCell ref="J9:K9"/>
    <mergeCell ref="L9:M9"/>
    <mergeCell ref="N9:O9"/>
    <mergeCell ref="P9:Q9"/>
    <mergeCell ref="U9:W9"/>
    <mergeCell ref="X9:Z9"/>
    <mergeCell ref="J8:K8"/>
    <mergeCell ref="L8:M8"/>
    <mergeCell ref="N8:O8"/>
    <mergeCell ref="P8:Q8"/>
    <mergeCell ref="U8:W8"/>
    <mergeCell ref="X8:Z8"/>
    <mergeCell ref="J11:K11"/>
    <mergeCell ref="L11:M11"/>
    <mergeCell ref="N11:O11"/>
    <mergeCell ref="P11:Q11"/>
    <mergeCell ref="U11:W11"/>
    <mergeCell ref="X11:Z11"/>
    <mergeCell ref="J10:K10"/>
    <mergeCell ref="L10:M10"/>
    <mergeCell ref="N10:O10"/>
    <mergeCell ref="P10:Q10"/>
    <mergeCell ref="U10:W10"/>
    <mergeCell ref="X10:Z10"/>
    <mergeCell ref="J13:K13"/>
    <mergeCell ref="L13:M13"/>
    <mergeCell ref="N13:O13"/>
    <mergeCell ref="P13:Q13"/>
    <mergeCell ref="U13:W13"/>
    <mergeCell ref="X13:Z13"/>
    <mergeCell ref="J12:K12"/>
    <mergeCell ref="L12:M12"/>
    <mergeCell ref="N12:O12"/>
    <mergeCell ref="P12:Q12"/>
    <mergeCell ref="U12:W12"/>
    <mergeCell ref="X12:Z12"/>
    <mergeCell ref="J14:K14"/>
    <mergeCell ref="L14:M14"/>
    <mergeCell ref="N14:O14"/>
    <mergeCell ref="P14:Q14"/>
    <mergeCell ref="R14:Z15"/>
    <mergeCell ref="J15:K15"/>
    <mergeCell ref="L15:M15"/>
    <mergeCell ref="N15:O15"/>
    <mergeCell ref="P15:Q15"/>
    <mergeCell ref="J16:K16"/>
    <mergeCell ref="L16:M16"/>
    <mergeCell ref="N16:O16"/>
    <mergeCell ref="P16:Q16"/>
    <mergeCell ref="R16:Z28"/>
    <mergeCell ref="J17:K17"/>
    <mergeCell ref="L17:M17"/>
    <mergeCell ref="N17:O17"/>
    <mergeCell ref="P17:Q17"/>
    <mergeCell ref="A18:B18"/>
    <mergeCell ref="J18:K18"/>
    <mergeCell ref="L18:M18"/>
    <mergeCell ref="N18:O18"/>
    <mergeCell ref="P18:Q18"/>
    <mergeCell ref="A19:B20"/>
    <mergeCell ref="C19:C20"/>
    <mergeCell ref="D19:D20"/>
    <mergeCell ref="E19:E20"/>
    <mergeCell ref="F19:F20"/>
    <mergeCell ref="G19:G20"/>
    <mergeCell ref="J19:K19"/>
    <mergeCell ref="L19:M19"/>
    <mergeCell ref="N19:O19"/>
    <mergeCell ref="P19:Q19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A28:B28"/>
    <mergeCell ref="J28:K28"/>
    <mergeCell ref="L28:M28"/>
    <mergeCell ref="N28:O28"/>
    <mergeCell ref="P28:Q28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topLeftCell="E1"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38</v>
      </c>
      <c r="G1" s="3" t="s">
        <v>3</v>
      </c>
      <c r="H1" s="2"/>
      <c r="I1" s="129" t="s">
        <v>4</v>
      </c>
      <c r="J1" s="129"/>
      <c r="K1" s="142" t="s">
        <v>660</v>
      </c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33">
        <v>25</v>
      </c>
      <c r="K8" s="133"/>
      <c r="L8" s="133">
        <v>25</v>
      </c>
      <c r="M8" s="133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740</v>
      </c>
      <c r="K9" s="130"/>
      <c r="L9" s="114">
        <v>709</v>
      </c>
      <c r="M9" s="114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149</v>
      </c>
      <c r="I10" s="39"/>
      <c r="J10" s="125">
        <v>64.91</v>
      </c>
      <c r="K10" s="125"/>
      <c r="L10" s="117">
        <v>63.03</v>
      </c>
      <c r="M10" s="11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269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270</v>
      </c>
      <c r="D20" s="30" t="s">
        <v>271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42581</v>
      </c>
      <c r="D22" s="46">
        <v>42581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272</v>
      </c>
      <c r="D23" s="14" t="s">
        <v>273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94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B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39</v>
      </c>
      <c r="G1" s="3" t="s">
        <v>3</v>
      </c>
      <c r="H1" s="2"/>
      <c r="I1" s="129" t="s">
        <v>4</v>
      </c>
      <c r="J1" s="129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/>
      <c r="B5" s="49"/>
      <c r="C5" s="14"/>
      <c r="D5" s="14"/>
      <c r="E5" s="14"/>
      <c r="F5" s="14"/>
      <c r="G5" s="14"/>
      <c r="H5" s="14"/>
      <c r="I5" s="19"/>
      <c r="J5" s="19"/>
      <c r="K5" s="19"/>
      <c r="L5" s="20"/>
      <c r="M5" s="20"/>
      <c r="N5" s="19"/>
      <c r="O5" s="19"/>
      <c r="P5" s="21"/>
      <c r="Q5" s="21"/>
      <c r="R5" s="16"/>
      <c r="S5" s="16"/>
      <c r="T5" s="16"/>
      <c r="U5" s="14"/>
      <c r="V5" s="78"/>
      <c r="W5" s="14"/>
      <c r="X5" s="16"/>
      <c r="Y5" s="16"/>
      <c r="Z5" s="16"/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274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7">
    <mergeCell ref="L4:M4"/>
    <mergeCell ref="Q4:R4"/>
    <mergeCell ref="Y4:Z4"/>
    <mergeCell ref="J6:K6"/>
    <mergeCell ref="L6:M6"/>
    <mergeCell ref="N6:O6"/>
    <mergeCell ref="P6:Q6"/>
    <mergeCell ref="S6:Z6"/>
    <mergeCell ref="I1:J1"/>
    <mergeCell ref="P1:Q1"/>
    <mergeCell ref="R1:S1"/>
    <mergeCell ref="L2:M2"/>
    <mergeCell ref="Q2:R2"/>
    <mergeCell ref="Y2:Z2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42</v>
      </c>
      <c r="G1" s="3" t="s">
        <v>3</v>
      </c>
      <c r="H1" s="2"/>
      <c r="I1" s="129" t="s">
        <v>4</v>
      </c>
      <c r="J1" s="129"/>
      <c r="K1" s="151" t="s">
        <v>275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42580</v>
      </c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3">
        <v>878</v>
      </c>
      <c r="K9" s="133"/>
      <c r="L9" s="133">
        <v>957</v>
      </c>
      <c r="M9" s="133"/>
      <c r="N9" s="133">
        <v>692</v>
      </c>
      <c r="O9" s="133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149</v>
      </c>
      <c r="I10" s="39"/>
      <c r="J10" s="125">
        <v>67.13</v>
      </c>
      <c r="K10" s="125"/>
      <c r="L10" s="117">
        <v>68.040000000000006</v>
      </c>
      <c r="M10" s="117"/>
      <c r="N10" s="117">
        <v>64.459999999999994</v>
      </c>
      <c r="O10" s="11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9" t="s">
        <v>276</v>
      </c>
      <c r="S15" s="159"/>
      <c r="T15" s="159"/>
      <c r="U15" s="159"/>
      <c r="V15" s="159"/>
      <c r="W15" s="159"/>
      <c r="X15" s="159"/>
      <c r="Y15" s="159"/>
      <c r="Z15" s="159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9"/>
      <c r="S16" s="159"/>
      <c r="T16" s="159"/>
      <c r="U16" s="159"/>
      <c r="V16" s="159"/>
      <c r="W16" s="159"/>
      <c r="X16" s="159"/>
      <c r="Y16" s="159"/>
      <c r="Z16" s="159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9"/>
      <c r="S17" s="159"/>
      <c r="T17" s="159"/>
      <c r="U17" s="159"/>
      <c r="V17" s="159"/>
      <c r="W17" s="159"/>
      <c r="X17" s="159"/>
      <c r="Y17" s="159"/>
      <c r="Z17" s="159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9"/>
      <c r="S18" s="159"/>
      <c r="T18" s="159"/>
      <c r="U18" s="159"/>
      <c r="V18" s="159"/>
      <c r="W18" s="159"/>
      <c r="X18" s="159"/>
      <c r="Y18" s="159"/>
      <c r="Z18" s="159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9"/>
      <c r="S19" s="159"/>
      <c r="T19" s="159"/>
      <c r="U19" s="159"/>
      <c r="V19" s="159"/>
      <c r="W19" s="159"/>
      <c r="X19" s="159"/>
      <c r="Y19" s="159"/>
      <c r="Z19" s="159"/>
    </row>
    <row r="20" spans="1:26" x14ac:dyDescent="0.2">
      <c r="A20" s="117" t="s">
        <v>79</v>
      </c>
      <c r="B20" s="117"/>
      <c r="C20" s="30" t="s">
        <v>277</v>
      </c>
      <c r="D20" s="30" t="s">
        <v>277</v>
      </c>
      <c r="E20" s="30" t="s">
        <v>278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9"/>
      <c r="S20" s="159"/>
      <c r="T20" s="159"/>
      <c r="U20" s="159"/>
      <c r="V20" s="159"/>
      <c r="W20" s="159"/>
      <c r="X20" s="159"/>
      <c r="Y20" s="159"/>
      <c r="Z20" s="159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9"/>
      <c r="S21" s="159"/>
      <c r="T21" s="159"/>
      <c r="U21" s="159"/>
      <c r="V21" s="159"/>
      <c r="W21" s="159"/>
      <c r="X21" s="159"/>
      <c r="Y21" s="159"/>
      <c r="Z21" s="159"/>
    </row>
    <row r="22" spans="1:26" x14ac:dyDescent="0.2">
      <c r="A22" s="117" t="s">
        <v>81</v>
      </c>
      <c r="B22" s="117"/>
      <c r="C22" s="46">
        <v>42580</v>
      </c>
      <c r="D22" s="46">
        <v>42580</v>
      </c>
      <c r="E22" s="46">
        <v>42580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9"/>
      <c r="S22" s="159"/>
      <c r="T22" s="159"/>
      <c r="U22" s="159"/>
      <c r="V22" s="159"/>
      <c r="W22" s="159"/>
      <c r="X22" s="159"/>
      <c r="Y22" s="159"/>
      <c r="Z22" s="159"/>
    </row>
    <row r="23" spans="1:26" x14ac:dyDescent="0.2">
      <c r="A23" s="117" t="s">
        <v>10</v>
      </c>
      <c r="B23" s="117"/>
      <c r="C23" s="14" t="s">
        <v>279</v>
      </c>
      <c r="D23" s="14" t="s">
        <v>280</v>
      </c>
      <c r="E23" s="14" t="s">
        <v>281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9"/>
      <c r="S23" s="159"/>
      <c r="T23" s="159"/>
      <c r="U23" s="159"/>
      <c r="V23" s="159"/>
      <c r="W23" s="159"/>
      <c r="X23" s="159"/>
      <c r="Y23" s="159"/>
      <c r="Z23" s="159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9"/>
      <c r="S24" s="159"/>
      <c r="T24" s="159"/>
      <c r="U24" s="159"/>
      <c r="V24" s="159"/>
      <c r="W24" s="159"/>
      <c r="X24" s="159"/>
      <c r="Y24" s="159"/>
      <c r="Z24" s="159"/>
    </row>
    <row r="25" spans="1:26" x14ac:dyDescent="0.2">
      <c r="A25" s="117" t="s">
        <v>9</v>
      </c>
      <c r="B25" s="117"/>
      <c r="C25" s="14" t="s">
        <v>241</v>
      </c>
      <c r="D25" s="14" t="s">
        <v>129</v>
      </c>
      <c r="E25" s="14" t="s">
        <v>94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9"/>
      <c r="S25" s="159"/>
      <c r="T25" s="159"/>
      <c r="U25" s="159"/>
      <c r="V25" s="159"/>
      <c r="W25" s="159"/>
      <c r="X25" s="159"/>
      <c r="Y25" s="159"/>
      <c r="Z25" s="159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9"/>
      <c r="S26" s="159"/>
      <c r="T26" s="159"/>
      <c r="U26" s="159"/>
      <c r="V26" s="159"/>
      <c r="W26" s="159"/>
      <c r="X26" s="159"/>
      <c r="Y26" s="159"/>
      <c r="Z26" s="159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9"/>
      <c r="S27" s="159"/>
      <c r="T27" s="159"/>
      <c r="U27" s="159"/>
      <c r="V27" s="159"/>
      <c r="W27" s="159"/>
      <c r="X27" s="159"/>
      <c r="Y27" s="159"/>
      <c r="Z27" s="159"/>
    </row>
  </sheetData>
  <mergeCells count="125">
    <mergeCell ref="I1:J1"/>
    <mergeCell ref="K1:O1"/>
    <mergeCell ref="P1:Q1"/>
    <mergeCell ref="R1:S1"/>
    <mergeCell ref="L2:M2"/>
    <mergeCell ref="Q2:R2"/>
    <mergeCell ref="J7:K7"/>
    <mergeCell ref="L7:M7"/>
    <mergeCell ref="N7:O7"/>
    <mergeCell ref="P7:Q7"/>
    <mergeCell ref="U7:W7"/>
    <mergeCell ref="X7:Z7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10:K10"/>
    <mergeCell ref="L10:M10"/>
    <mergeCell ref="N10:O10"/>
    <mergeCell ref="P10:Q10"/>
    <mergeCell ref="U10:W10"/>
    <mergeCell ref="X10:Z10"/>
    <mergeCell ref="P8:Q8"/>
    <mergeCell ref="U8:W8"/>
    <mergeCell ref="X8:Z8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0"/>
  <sheetViews>
    <sheetView zoomScale="90" zoomScaleNormal="9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9.75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39</v>
      </c>
      <c r="E1" s="1" t="s">
        <v>2</v>
      </c>
      <c r="F1" s="2">
        <v>41</v>
      </c>
      <c r="G1" s="3" t="s">
        <v>3</v>
      </c>
      <c r="H1" s="2"/>
      <c r="I1" s="129" t="s">
        <v>4</v>
      </c>
      <c r="J1" s="129"/>
      <c r="K1" s="151" t="s">
        <v>282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283</v>
      </c>
      <c r="G3" s="14" t="s">
        <v>136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284</v>
      </c>
      <c r="G5" s="14" t="s">
        <v>136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42529</v>
      </c>
      <c r="D7" s="26">
        <f>C7+2</f>
        <v>42531</v>
      </c>
      <c r="E7" s="26">
        <f>D7+2</f>
        <v>42533</v>
      </c>
      <c r="F7" s="26"/>
      <c r="G7" s="27" t="e">
        <f>{#DIV/0!}</f>
        <v>#DIV/0!</v>
      </c>
      <c r="H7" s="28" t="s">
        <v>50</v>
      </c>
      <c r="I7" s="29"/>
      <c r="J7" s="137" t="s">
        <v>285</v>
      </c>
      <c r="K7" s="137"/>
      <c r="L7" s="138" t="s">
        <v>286</v>
      </c>
      <c r="M7" s="138"/>
      <c r="N7" s="138" t="s">
        <v>287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47">
        <v>42570</v>
      </c>
      <c r="J8" s="160">
        <v>5</v>
      </c>
      <c r="K8" s="160"/>
      <c r="L8" s="161">
        <v>4</v>
      </c>
      <c r="M8" s="161"/>
      <c r="N8" s="162">
        <v>3</v>
      </c>
      <c r="O8" s="16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J9" s="133">
        <v>86</v>
      </c>
      <c r="K9" s="133"/>
      <c r="L9" s="133">
        <v>62</v>
      </c>
      <c r="M9" s="133"/>
      <c r="N9" s="133">
        <v>49</v>
      </c>
      <c r="O9" s="133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42575</v>
      </c>
      <c r="J11" s="133">
        <v>10</v>
      </c>
      <c r="K11" s="133"/>
      <c r="L11" s="133">
        <v>9</v>
      </c>
      <c r="M11" s="133"/>
      <c r="N11" s="133">
        <v>8</v>
      </c>
      <c r="O11" s="133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202</v>
      </c>
      <c r="K12" s="130"/>
      <c r="L12" s="114">
        <v>158</v>
      </c>
      <c r="M12" s="114"/>
      <c r="N12" s="114">
        <v>139</v>
      </c>
      <c r="O12" s="114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288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42565</v>
      </c>
      <c r="D16" s="26">
        <v>42566</v>
      </c>
      <c r="E16" s="26">
        <v>42567</v>
      </c>
      <c r="F16" s="26"/>
      <c r="G16" s="27" t="e">
        <f>{#DIV/0!}</f>
        <v>#DIV/0!</v>
      </c>
      <c r="H16" s="28" t="s">
        <v>74</v>
      </c>
      <c r="I16" s="35">
        <v>42580</v>
      </c>
      <c r="J16" s="120">
        <v>15</v>
      </c>
      <c r="K16" s="120"/>
      <c r="L16" s="120">
        <v>14</v>
      </c>
      <c r="M16" s="120"/>
      <c r="N16" s="121">
        <v>13</v>
      </c>
      <c r="O16" s="121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409</v>
      </c>
      <c r="K17" s="113"/>
      <c r="L17" s="114">
        <v>417</v>
      </c>
      <c r="M17" s="114"/>
      <c r="N17" s="115">
        <v>335</v>
      </c>
      <c r="O17" s="115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289</v>
      </c>
      <c r="I18" s="39"/>
      <c r="J18" s="118" t="s">
        <v>290</v>
      </c>
      <c r="K18" s="118"/>
      <c r="L18" s="117" t="s">
        <v>126</v>
      </c>
      <c r="M18" s="117"/>
      <c r="N18" s="119" t="s">
        <v>126</v>
      </c>
      <c r="O18" s="119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18">
        <v>3.66</v>
      </c>
      <c r="K19" s="118"/>
      <c r="L19" s="117">
        <v>1.72</v>
      </c>
      <c r="M19" s="117"/>
      <c r="N19" s="119">
        <v>1.1000000000000001</v>
      </c>
      <c r="O19" s="119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142</v>
      </c>
      <c r="D20" s="30" t="s">
        <v>220</v>
      </c>
      <c r="E20" s="30" t="s">
        <v>291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116</v>
      </c>
      <c r="F21" s="14" t="s">
        <v>33</v>
      </c>
      <c r="G21" s="14" t="s">
        <v>33</v>
      </c>
      <c r="H21" s="44" t="s">
        <v>80</v>
      </c>
      <c r="I21" s="35">
        <v>42586</v>
      </c>
      <c r="J21" s="120">
        <v>20</v>
      </c>
      <c r="K21" s="120"/>
      <c r="L21" s="120">
        <v>19</v>
      </c>
      <c r="M21" s="120"/>
      <c r="N21" s="121">
        <v>18</v>
      </c>
      <c r="O21" s="121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42590</v>
      </c>
      <c r="D22" s="46">
        <v>42590</v>
      </c>
      <c r="E22" s="46">
        <v>42590</v>
      </c>
      <c r="F22" s="14" t="s">
        <v>33</v>
      </c>
      <c r="G22" s="33" t="s">
        <v>33</v>
      </c>
      <c r="H22" s="28" t="s">
        <v>82</v>
      </c>
      <c r="I22" s="38"/>
      <c r="J22" s="113">
        <v>496</v>
      </c>
      <c r="K22" s="113"/>
      <c r="L22" s="114">
        <v>518</v>
      </c>
      <c r="M22" s="114"/>
      <c r="N22" s="115">
        <v>407</v>
      </c>
      <c r="O22" s="115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115618941</v>
      </c>
      <c r="D23" s="14">
        <v>194726239</v>
      </c>
      <c r="E23" s="14">
        <v>115618942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94</v>
      </c>
      <c r="E25" s="14" t="s">
        <v>94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44" t="s">
        <v>118</v>
      </c>
      <c r="I26" s="47">
        <v>42590</v>
      </c>
      <c r="J26" s="113">
        <v>24</v>
      </c>
      <c r="K26" s="113"/>
      <c r="L26" s="114">
        <v>23</v>
      </c>
      <c r="M26" s="114"/>
      <c r="N26" s="115">
        <v>22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119</v>
      </c>
      <c r="I27" s="38"/>
      <c r="J27" s="113">
        <v>546</v>
      </c>
      <c r="K27" s="113"/>
      <c r="L27" s="114">
        <v>656</v>
      </c>
      <c r="M27" s="114"/>
      <c r="N27" s="115">
        <v>476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28" t="s">
        <v>143</v>
      </c>
      <c r="I28" s="38"/>
      <c r="J28" s="113" t="s">
        <v>144</v>
      </c>
      <c r="K28" s="113"/>
      <c r="L28" s="114" t="s">
        <v>144</v>
      </c>
      <c r="M28" s="114"/>
      <c r="N28" s="115" t="s">
        <v>144</v>
      </c>
      <c r="O28" s="115"/>
    </row>
    <row r="29" spans="1:26" x14ac:dyDescent="0.2">
      <c r="H29" s="44" t="s">
        <v>120</v>
      </c>
      <c r="I29" s="47" t="s">
        <v>131</v>
      </c>
      <c r="J29" s="113">
        <v>29</v>
      </c>
      <c r="K29" s="113"/>
      <c r="L29" s="114">
        <v>28</v>
      </c>
      <c r="M29" s="114"/>
      <c r="N29" s="115">
        <v>27</v>
      </c>
      <c r="O29" s="115"/>
    </row>
    <row r="30" spans="1:26" x14ac:dyDescent="0.2">
      <c r="H30" s="28" t="s">
        <v>121</v>
      </c>
      <c r="I30" s="38"/>
      <c r="J30" s="113">
        <v>621</v>
      </c>
      <c r="K30" s="113"/>
      <c r="L30" s="114">
        <v>743</v>
      </c>
      <c r="M30" s="114"/>
      <c r="N30" s="115">
        <v>557</v>
      </c>
      <c r="O30" s="115"/>
    </row>
  </sheetData>
  <mergeCells count="137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J30:K30"/>
    <mergeCell ref="L30:M30"/>
    <mergeCell ref="N30:O30"/>
    <mergeCell ref="J28:K28"/>
    <mergeCell ref="L28:M28"/>
    <mergeCell ref="N28:O28"/>
    <mergeCell ref="J29:K29"/>
    <mergeCell ref="L29:M29"/>
    <mergeCell ref="N29:O29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.87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42</v>
      </c>
      <c r="E1" s="1" t="s">
        <v>2</v>
      </c>
      <c r="F1" s="2">
        <v>42</v>
      </c>
      <c r="G1" s="3" t="s">
        <v>3</v>
      </c>
      <c r="H1" s="2"/>
      <c r="I1" s="129" t="s">
        <v>4</v>
      </c>
      <c r="J1" s="129"/>
      <c r="K1" s="151" t="s">
        <v>292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285</v>
      </c>
      <c r="K7" s="137"/>
      <c r="L7" s="138" t="s">
        <v>286</v>
      </c>
      <c r="M7" s="138"/>
      <c r="N7" s="138" t="s">
        <v>287</v>
      </c>
      <c r="O7" s="138"/>
      <c r="P7" s="139" t="s">
        <v>293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42570</v>
      </c>
      <c r="J8" s="142"/>
      <c r="K8" s="142"/>
      <c r="L8" s="142"/>
      <c r="M8" s="142"/>
      <c r="N8" s="142"/>
      <c r="O8" s="142"/>
      <c r="P8" s="133">
        <v>0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80</v>
      </c>
      <c r="K9" s="130"/>
      <c r="L9" s="114">
        <v>69</v>
      </c>
      <c r="M9" s="114"/>
      <c r="N9" s="114">
        <v>45</v>
      </c>
      <c r="O9" s="114"/>
      <c r="P9" s="113" t="s">
        <v>294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42575</v>
      </c>
      <c r="J11" s="142"/>
      <c r="K11" s="142"/>
      <c r="L11" s="142"/>
      <c r="M11" s="142"/>
      <c r="N11" s="142"/>
      <c r="O11" s="142"/>
      <c r="P11" s="122">
        <v>5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175</v>
      </c>
      <c r="K12" s="130"/>
      <c r="L12" s="114">
        <v>138</v>
      </c>
      <c r="M12" s="114"/>
      <c r="N12" s="114">
        <v>111</v>
      </c>
      <c r="O12" s="114"/>
      <c r="P12" s="113">
        <v>48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295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42566</v>
      </c>
      <c r="D16" s="26">
        <v>42567</v>
      </c>
      <c r="E16" s="26">
        <v>42569</v>
      </c>
      <c r="F16" s="26">
        <v>42570</v>
      </c>
      <c r="G16" s="27" t="e">
        <f>{#DIV/0!}</f>
        <v>#DIV/0!</v>
      </c>
      <c r="H16" s="28" t="s">
        <v>74</v>
      </c>
      <c r="I16" s="35">
        <v>42580</v>
      </c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295</v>
      </c>
      <c r="K17" s="113"/>
      <c r="L17" s="114">
        <v>287</v>
      </c>
      <c r="M17" s="114"/>
      <c r="N17" s="115" t="s">
        <v>194</v>
      </c>
      <c r="O17" s="115"/>
      <c r="P17" s="113" t="s">
        <v>194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18" t="s">
        <v>296</v>
      </c>
      <c r="K18" s="118"/>
      <c r="L18" s="117" t="s">
        <v>126</v>
      </c>
      <c r="M18" s="11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18">
        <v>0</v>
      </c>
      <c r="K19" s="118"/>
      <c r="L19" s="117">
        <v>0</v>
      </c>
      <c r="M19" s="11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46">
        <v>42584</v>
      </c>
      <c r="D26" s="46">
        <v>42584</v>
      </c>
      <c r="E26" s="46">
        <v>42577</v>
      </c>
      <c r="F26" s="46">
        <v>42576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297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44</v>
      </c>
      <c r="G1" s="3" t="s">
        <v>3</v>
      </c>
      <c r="H1" s="2"/>
      <c r="I1" s="129" t="s">
        <v>4</v>
      </c>
      <c r="J1" s="129"/>
      <c r="K1" s="151" t="s">
        <v>298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299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B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300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42580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765</v>
      </c>
      <c r="K9" s="130"/>
      <c r="L9" s="114">
        <v>750</v>
      </c>
      <c r="M9" s="114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149</v>
      </c>
      <c r="I10" s="39"/>
      <c r="J10" s="125">
        <v>68.290000000000006</v>
      </c>
      <c r="K10" s="125"/>
      <c r="L10" s="117">
        <v>69.75</v>
      </c>
      <c r="M10" s="11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301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302</v>
      </c>
      <c r="D20" s="30" t="s">
        <v>302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42580</v>
      </c>
      <c r="D22" s="46">
        <v>42580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303</v>
      </c>
      <c r="D23" s="14" t="s">
        <v>304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94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D1" workbookViewId="0">
      <selection activeCell="E23" sqref="C23:E23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46</v>
      </c>
      <c r="G1" s="3" t="s">
        <v>3</v>
      </c>
      <c r="H1" s="2"/>
      <c r="I1" s="129" t="s">
        <v>4</v>
      </c>
      <c r="J1" s="129"/>
      <c r="K1" s="151" t="s">
        <v>305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306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575</v>
      </c>
      <c r="K9" s="130"/>
      <c r="L9" s="114">
        <v>717</v>
      </c>
      <c r="M9" s="114"/>
      <c r="N9" s="114">
        <v>552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307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181</v>
      </c>
      <c r="D20" s="30" t="s">
        <v>182</v>
      </c>
      <c r="E20" s="30" t="s">
        <v>181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306</v>
      </c>
      <c r="D22" s="14" t="s">
        <v>306</v>
      </c>
      <c r="E22" s="14" t="s">
        <v>306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308</v>
      </c>
      <c r="D23" s="14" t="s">
        <v>309</v>
      </c>
      <c r="E23" s="14" t="s">
        <v>310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129</v>
      </c>
      <c r="E25" s="14" t="s">
        <v>129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"/>
  <sheetViews>
    <sheetView zoomScale="70" zoomScaleNormal="70" workbookViewId="0">
      <selection activeCell="R10" sqref="R10"/>
    </sheetView>
  </sheetViews>
  <sheetFormatPr defaultRowHeight="14.25" x14ac:dyDescent="0.2"/>
  <cols>
    <col min="1" max="1" width="8.25" customWidth="1"/>
    <col min="2" max="2" width="9.875" customWidth="1"/>
    <col min="3" max="4" width="10.625" customWidth="1"/>
    <col min="5" max="5" width="9.875" customWidth="1"/>
    <col min="6" max="6" width="10.375" customWidth="1"/>
    <col min="7" max="7" width="8.37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7" width="5" customWidth="1"/>
    <col min="18" max="18" width="11.25" customWidth="1"/>
    <col min="19" max="19" width="5" customWidth="1"/>
    <col min="20" max="20" width="4.875" customWidth="1"/>
    <col min="21" max="21" width="6" customWidth="1"/>
    <col min="22" max="22" width="8" customWidth="1"/>
    <col min="23" max="24" width="9" customWidth="1"/>
    <col min="25" max="25" width="6.375" customWidth="1"/>
    <col min="26" max="26" width="6" customWidth="1"/>
    <col min="27" max="27" width="4.375" customWidth="1"/>
    <col min="28" max="28" width="4.25" customWidth="1"/>
    <col min="29" max="29" width="9.25" customWidth="1"/>
    <col min="30" max="30" width="10.625" customWidth="1"/>
    <col min="31" max="31" width="9.25" customWidth="1"/>
    <col min="32" max="1024" width="10.625" customWidth="1"/>
  </cols>
  <sheetData>
    <row r="1" spans="1:31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47</v>
      </c>
      <c r="G1" s="3" t="s">
        <v>3</v>
      </c>
      <c r="H1" s="2"/>
      <c r="I1" s="129" t="s">
        <v>4</v>
      </c>
      <c r="J1" s="129"/>
      <c r="K1" s="168" t="s">
        <v>311</v>
      </c>
      <c r="L1" s="168"/>
      <c r="M1" s="168"/>
      <c r="N1" s="168"/>
      <c r="O1" s="168"/>
      <c r="P1" s="143" t="s">
        <v>5</v>
      </c>
      <c r="Q1" s="143"/>
      <c r="R1" s="79"/>
      <c r="S1" s="152" t="s">
        <v>148</v>
      </c>
      <c r="T1" s="152"/>
      <c r="U1" s="5"/>
      <c r="V1" s="5"/>
      <c r="W1" s="5"/>
      <c r="X1" s="5"/>
      <c r="Y1" s="5"/>
      <c r="Z1" s="5"/>
      <c r="AA1" s="6"/>
      <c r="AB1" s="7"/>
      <c r="AC1" s="7"/>
      <c r="AD1" s="7"/>
      <c r="AE1" s="7"/>
    </row>
    <row r="2" spans="1:31" ht="38.25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45"/>
      <c r="T2" s="10" t="s">
        <v>22</v>
      </c>
      <c r="U2" s="10" t="s">
        <v>23</v>
      </c>
      <c r="V2" s="11" t="s">
        <v>24</v>
      </c>
      <c r="W2" s="10" t="s">
        <v>25</v>
      </c>
      <c r="X2" s="10" t="s">
        <v>26</v>
      </c>
      <c r="Y2" s="10" t="s">
        <v>27</v>
      </c>
      <c r="Z2" s="123" t="s">
        <v>28</v>
      </c>
      <c r="AA2" s="123"/>
      <c r="AB2" s="12" t="s">
        <v>29</v>
      </c>
      <c r="AC2" s="12" t="s">
        <v>30</v>
      </c>
      <c r="AD2" s="13" t="s">
        <v>31</v>
      </c>
      <c r="AE2" s="12" t="s">
        <v>32</v>
      </c>
    </row>
    <row r="3" spans="1:31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/>
      <c r="S3" s="16" t="s">
        <v>33</v>
      </c>
      <c r="T3" s="16" t="s">
        <v>33</v>
      </c>
      <c r="U3" s="16" t="s">
        <v>33</v>
      </c>
      <c r="V3" s="14" t="s">
        <v>33</v>
      </c>
      <c r="W3" s="14" t="s">
        <v>33</v>
      </c>
      <c r="X3" s="14" t="s">
        <v>33</v>
      </c>
      <c r="Y3" s="16" t="s">
        <v>33</v>
      </c>
      <c r="Z3" s="17" t="s">
        <v>33</v>
      </c>
      <c r="AA3" s="17" t="s">
        <v>33</v>
      </c>
      <c r="AB3" s="7"/>
      <c r="AC3" s="7"/>
      <c r="AD3" s="7"/>
      <c r="AE3" s="7"/>
    </row>
    <row r="4" spans="1:31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23"/>
      <c r="T4" s="10" t="s">
        <v>22</v>
      </c>
      <c r="U4" s="10" t="s">
        <v>23</v>
      </c>
      <c r="V4" s="10" t="s">
        <v>36</v>
      </c>
      <c r="W4" s="10" t="s">
        <v>25</v>
      </c>
      <c r="X4" s="10" t="s">
        <v>26</v>
      </c>
      <c r="Y4" s="10" t="s">
        <v>27</v>
      </c>
      <c r="Z4" s="146" t="s">
        <v>28</v>
      </c>
      <c r="AA4" s="146"/>
      <c r="AB4" s="12" t="s">
        <v>29</v>
      </c>
      <c r="AC4" s="12" t="s">
        <v>595</v>
      </c>
      <c r="AD4" s="13" t="s">
        <v>581</v>
      </c>
      <c r="AE4" s="12" t="s">
        <v>32</v>
      </c>
    </row>
    <row r="5" spans="1:31" x14ac:dyDescent="0.2">
      <c r="A5" s="14" t="s">
        <v>576</v>
      </c>
      <c r="B5" s="102">
        <v>42584</v>
      </c>
      <c r="C5" s="14" t="s">
        <v>213</v>
      </c>
      <c r="D5" s="14" t="s">
        <v>94</v>
      </c>
      <c r="E5" s="14" t="s">
        <v>594</v>
      </c>
      <c r="F5" s="14" t="s">
        <v>33</v>
      </c>
      <c r="G5" s="14" t="s">
        <v>571</v>
      </c>
      <c r="H5" s="14" t="s">
        <v>33</v>
      </c>
      <c r="I5" s="19" t="s">
        <v>33</v>
      </c>
      <c r="J5" s="19">
        <v>1120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21"/>
      <c r="S5" s="16" t="s">
        <v>33</v>
      </c>
      <c r="T5" s="16" t="s">
        <v>33</v>
      </c>
      <c r="U5" s="16" t="s">
        <v>33</v>
      </c>
      <c r="V5" s="14" t="s">
        <v>33</v>
      </c>
      <c r="W5" s="14" t="s">
        <v>33</v>
      </c>
      <c r="X5" s="14" t="s">
        <v>33</v>
      </c>
      <c r="Y5" s="16" t="s">
        <v>33</v>
      </c>
      <c r="Z5" s="16" t="s">
        <v>33</v>
      </c>
      <c r="AA5" s="16" t="s">
        <v>33</v>
      </c>
      <c r="AB5" s="7"/>
      <c r="AC5" s="7" t="s">
        <v>596</v>
      </c>
      <c r="AD5" s="7">
        <v>48797731868</v>
      </c>
      <c r="AE5" s="7"/>
    </row>
    <row r="6" spans="1:31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80" t="s">
        <v>312</v>
      </c>
      <c r="S6" s="24"/>
      <c r="T6" s="136" t="s">
        <v>48</v>
      </c>
      <c r="U6" s="136"/>
      <c r="V6" s="136"/>
      <c r="W6" s="136"/>
      <c r="X6" s="136"/>
      <c r="Y6" s="136"/>
      <c r="Z6" s="136"/>
      <c r="AA6" s="136"/>
      <c r="AB6" s="7"/>
      <c r="AC6" s="7"/>
      <c r="AD6" s="7"/>
      <c r="AE6" s="7"/>
    </row>
    <row r="7" spans="1:31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67" t="s">
        <v>33</v>
      </c>
      <c r="Q7" s="167"/>
      <c r="R7" s="81"/>
      <c r="S7" s="82" t="s">
        <v>51</v>
      </c>
      <c r="T7" s="32"/>
      <c r="U7" s="33" t="s">
        <v>33</v>
      </c>
      <c r="V7" s="140" t="s">
        <v>52</v>
      </c>
      <c r="W7" s="140"/>
      <c r="X7" s="140"/>
      <c r="Y7" s="141" t="s">
        <v>33</v>
      </c>
      <c r="Z7" s="141"/>
      <c r="AA7" s="141"/>
      <c r="AB7" s="7"/>
      <c r="AC7" s="7"/>
      <c r="AD7" s="7"/>
      <c r="AE7" s="7"/>
    </row>
    <row r="8" spans="1:31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42582</v>
      </c>
      <c r="J8" s="133">
        <v>30</v>
      </c>
      <c r="K8" s="133"/>
      <c r="L8" s="133">
        <v>30</v>
      </c>
      <c r="M8" s="133"/>
      <c r="N8" s="133">
        <v>30</v>
      </c>
      <c r="O8" s="133"/>
      <c r="P8" s="166">
        <v>30</v>
      </c>
      <c r="Q8" s="166"/>
      <c r="R8" s="83">
        <v>25</v>
      </c>
      <c r="S8" s="84" t="s">
        <v>55</v>
      </c>
      <c r="T8" s="37"/>
      <c r="U8" s="33" t="s">
        <v>33</v>
      </c>
      <c r="V8" s="134" t="s">
        <v>56</v>
      </c>
      <c r="W8" s="134"/>
      <c r="X8" s="134"/>
      <c r="Y8" s="135" t="s">
        <v>33</v>
      </c>
      <c r="Z8" s="135"/>
      <c r="AA8" s="135"/>
      <c r="AB8" s="7"/>
      <c r="AC8" s="7"/>
      <c r="AD8" s="7"/>
      <c r="AE8" s="7"/>
    </row>
    <row r="9" spans="1:31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768</v>
      </c>
      <c r="K9" s="130"/>
      <c r="L9" s="114">
        <v>743</v>
      </c>
      <c r="M9" s="114"/>
      <c r="N9" s="114">
        <v>898</v>
      </c>
      <c r="O9" s="114"/>
      <c r="P9" s="163">
        <v>848</v>
      </c>
      <c r="Q9" s="163"/>
      <c r="R9" s="83">
        <v>592</v>
      </c>
      <c r="S9" s="84" t="s">
        <v>58</v>
      </c>
      <c r="T9" s="37"/>
      <c r="U9" s="33" t="s">
        <v>33</v>
      </c>
      <c r="V9" s="134" t="s">
        <v>59</v>
      </c>
      <c r="W9" s="134"/>
      <c r="X9" s="134"/>
      <c r="Y9" s="135" t="s">
        <v>33</v>
      </c>
      <c r="Z9" s="135"/>
      <c r="AA9" s="135"/>
      <c r="AB9" s="7"/>
      <c r="AC9" s="7"/>
      <c r="AD9" s="7"/>
      <c r="AE9" s="7"/>
    </row>
    <row r="10" spans="1:31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313</v>
      </c>
      <c r="I10" s="39"/>
      <c r="J10" s="125">
        <v>68.430000000000007</v>
      </c>
      <c r="K10" s="125"/>
      <c r="L10" s="117">
        <v>68.47</v>
      </c>
      <c r="M10" s="117"/>
      <c r="N10" s="117">
        <v>71.44</v>
      </c>
      <c r="O10" s="117"/>
      <c r="P10" s="128">
        <v>66.7</v>
      </c>
      <c r="Q10" s="128"/>
      <c r="R10" s="83">
        <v>58.63</v>
      </c>
      <c r="S10" s="84" t="s">
        <v>61</v>
      </c>
      <c r="T10" s="37"/>
      <c r="U10" s="33" t="s">
        <v>33</v>
      </c>
      <c r="V10" s="134" t="s">
        <v>62</v>
      </c>
      <c r="W10" s="134"/>
      <c r="X10" s="134"/>
      <c r="Y10" s="135" t="s">
        <v>33</v>
      </c>
      <c r="Z10" s="135"/>
      <c r="AA10" s="135"/>
      <c r="AB10" s="7"/>
      <c r="AC10" s="7"/>
      <c r="AD10" s="7"/>
      <c r="AE10" s="7"/>
    </row>
    <row r="11" spans="1:31" ht="15" x14ac:dyDescent="0.25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85"/>
      <c r="K11" s="85"/>
      <c r="L11" s="142"/>
      <c r="M11" s="142"/>
      <c r="N11" s="142"/>
      <c r="O11" s="142"/>
      <c r="P11" s="153"/>
      <c r="Q11" s="153"/>
      <c r="R11" s="81"/>
      <c r="S11" s="84" t="s">
        <v>64</v>
      </c>
      <c r="T11" s="37"/>
      <c r="U11" s="33" t="s">
        <v>33</v>
      </c>
      <c r="V11" s="134" t="s">
        <v>65</v>
      </c>
      <c r="W11" s="134"/>
      <c r="X11" s="134"/>
      <c r="Y11" s="135" t="s">
        <v>33</v>
      </c>
      <c r="Z11" s="135"/>
      <c r="AA11" s="135"/>
      <c r="AB11" s="7"/>
      <c r="AC11" s="7"/>
      <c r="AD11" s="7"/>
      <c r="AE11" s="7"/>
    </row>
    <row r="12" spans="1:31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53"/>
      <c r="Q12" s="153"/>
      <c r="R12" s="81"/>
      <c r="S12" s="84" t="s">
        <v>67</v>
      </c>
      <c r="T12" s="37"/>
      <c r="U12" s="40" t="s">
        <v>33</v>
      </c>
      <c r="V12" s="131" t="s">
        <v>68</v>
      </c>
      <c r="W12" s="131"/>
      <c r="X12" s="131"/>
      <c r="Y12" s="132" t="s">
        <v>33</v>
      </c>
      <c r="Z12" s="132"/>
      <c r="AA12" s="132"/>
      <c r="AB12" s="7"/>
      <c r="AC12" s="7"/>
      <c r="AD12" s="7"/>
      <c r="AE12" s="7"/>
    </row>
    <row r="13" spans="1:31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81"/>
      <c r="S13" s="165" t="s">
        <v>70</v>
      </c>
      <c r="T13" s="165"/>
      <c r="U13" s="165"/>
      <c r="V13" s="165"/>
      <c r="W13" s="165"/>
      <c r="X13" s="165"/>
      <c r="Y13" s="165"/>
      <c r="Z13" s="165"/>
      <c r="AA13" s="165"/>
      <c r="AB13" s="7"/>
      <c r="AC13" s="7"/>
      <c r="AD13" s="7"/>
      <c r="AE13" s="7"/>
    </row>
    <row r="14" spans="1:31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81"/>
      <c r="S14" s="165"/>
      <c r="T14" s="165"/>
      <c r="U14" s="165"/>
      <c r="V14" s="165"/>
      <c r="W14" s="165"/>
      <c r="X14" s="165"/>
      <c r="Y14" s="165"/>
      <c r="Z14" s="165"/>
      <c r="AA14" s="165"/>
      <c r="AB14" s="7"/>
      <c r="AC14" s="7"/>
      <c r="AD14" s="7"/>
      <c r="AE14" s="7"/>
    </row>
    <row r="15" spans="1:31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64"/>
      <c r="Q15" s="164"/>
      <c r="R15" s="81"/>
      <c r="S15" s="150" t="s">
        <v>600</v>
      </c>
      <c r="T15" s="150"/>
      <c r="U15" s="150"/>
      <c r="V15" s="150"/>
      <c r="W15" s="150"/>
      <c r="X15" s="150"/>
      <c r="Y15" s="150"/>
      <c r="Z15" s="150"/>
      <c r="AA15" s="150"/>
      <c r="AB15" s="7"/>
      <c r="AC15" s="7"/>
      <c r="AD15" s="7"/>
      <c r="AE15" s="7"/>
    </row>
    <row r="16" spans="1:31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53"/>
      <c r="Q16" s="153"/>
      <c r="R16" s="81"/>
      <c r="S16" s="150"/>
      <c r="T16" s="150"/>
      <c r="U16" s="150"/>
      <c r="V16" s="150"/>
      <c r="W16" s="150"/>
      <c r="X16" s="150"/>
      <c r="Y16" s="150"/>
      <c r="Z16" s="150"/>
      <c r="AA16" s="150"/>
      <c r="AB16" s="7"/>
      <c r="AC16" s="7"/>
      <c r="AD16" s="7"/>
      <c r="AE16" s="7"/>
    </row>
    <row r="17" spans="1:27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53"/>
      <c r="Q17" s="153"/>
      <c r="R17" s="81"/>
      <c r="S17" s="150"/>
      <c r="T17" s="150"/>
      <c r="U17" s="150"/>
      <c r="V17" s="150"/>
      <c r="W17" s="150"/>
      <c r="X17" s="150"/>
      <c r="Y17" s="150"/>
      <c r="Z17" s="150"/>
      <c r="AA17" s="150"/>
    </row>
    <row r="18" spans="1:27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8"/>
      <c r="Q18" s="148"/>
      <c r="R18" s="81"/>
      <c r="S18" s="150"/>
      <c r="T18" s="150"/>
      <c r="U18" s="150"/>
      <c r="V18" s="150"/>
      <c r="W18" s="150"/>
      <c r="X18" s="150"/>
      <c r="Y18" s="150"/>
      <c r="Z18" s="150"/>
      <c r="AA18" s="150"/>
    </row>
    <row r="19" spans="1:27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8"/>
      <c r="Q19" s="148"/>
      <c r="R19" s="81"/>
      <c r="S19" s="150"/>
      <c r="T19" s="150"/>
      <c r="U19" s="150"/>
      <c r="V19" s="150"/>
      <c r="W19" s="150"/>
      <c r="X19" s="150"/>
      <c r="Y19" s="150"/>
      <c r="Z19" s="150"/>
      <c r="AA19" s="150"/>
    </row>
    <row r="20" spans="1:27" x14ac:dyDescent="0.2">
      <c r="A20" s="117" t="s">
        <v>79</v>
      </c>
      <c r="B20" s="117"/>
      <c r="C20" s="30" t="s">
        <v>314</v>
      </c>
      <c r="D20" s="30" t="s">
        <v>314</v>
      </c>
      <c r="E20" s="30" t="s">
        <v>315</v>
      </c>
      <c r="F20" s="30" t="s">
        <v>315</v>
      </c>
      <c r="G20" s="30" t="s">
        <v>316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8"/>
      <c r="Q20" s="148"/>
      <c r="R20" s="81"/>
      <c r="S20" s="150"/>
      <c r="T20" s="150"/>
      <c r="U20" s="150"/>
      <c r="V20" s="150"/>
      <c r="W20" s="150"/>
      <c r="X20" s="150"/>
      <c r="Y20" s="150"/>
      <c r="Z20" s="150"/>
      <c r="AA20" s="150"/>
    </row>
    <row r="21" spans="1:27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53"/>
      <c r="Q21" s="153"/>
      <c r="R21" s="81"/>
      <c r="S21" s="150"/>
      <c r="T21" s="150"/>
      <c r="U21" s="150"/>
      <c r="V21" s="150"/>
      <c r="W21" s="150"/>
      <c r="X21" s="150"/>
      <c r="Y21" s="150"/>
      <c r="Z21" s="150"/>
      <c r="AA21" s="150"/>
    </row>
    <row r="22" spans="1:27" x14ac:dyDescent="0.2">
      <c r="A22" s="117" t="s">
        <v>81</v>
      </c>
      <c r="B22" s="117"/>
      <c r="C22" s="46">
        <v>42582</v>
      </c>
      <c r="D22" s="46">
        <v>42582</v>
      </c>
      <c r="E22" s="46">
        <v>42582</v>
      </c>
      <c r="F22" s="46">
        <v>42582</v>
      </c>
      <c r="G22" s="46">
        <v>42582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63" t="s">
        <v>33</v>
      </c>
      <c r="Q22" s="163"/>
      <c r="R22" s="81"/>
      <c r="S22" s="150"/>
      <c r="T22" s="150"/>
      <c r="U22" s="150"/>
      <c r="V22" s="150"/>
      <c r="W22" s="150"/>
      <c r="X22" s="150"/>
      <c r="Y22" s="150"/>
      <c r="Z22" s="150"/>
      <c r="AA22" s="150"/>
    </row>
    <row r="23" spans="1:27" x14ac:dyDescent="0.2">
      <c r="A23" s="117" t="s">
        <v>10</v>
      </c>
      <c r="B23" s="117"/>
      <c r="C23" s="14">
        <v>185713245</v>
      </c>
      <c r="D23" s="14">
        <v>185713246</v>
      </c>
      <c r="E23" s="14">
        <v>185713247</v>
      </c>
      <c r="F23" s="14">
        <v>185713248</v>
      </c>
      <c r="G23" s="14">
        <v>185713250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63" t="s">
        <v>33</v>
      </c>
      <c r="Q23" s="163"/>
      <c r="R23" s="81"/>
      <c r="S23" s="150"/>
      <c r="T23" s="150"/>
      <c r="U23" s="150"/>
      <c r="V23" s="150"/>
      <c r="W23" s="150"/>
      <c r="X23" s="150"/>
      <c r="Y23" s="150"/>
      <c r="Z23" s="150"/>
      <c r="AA23" s="150"/>
    </row>
    <row r="24" spans="1:27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28" t="s">
        <v>33</v>
      </c>
      <c r="Q24" s="128"/>
      <c r="R24" s="81"/>
      <c r="S24" s="150"/>
      <c r="T24" s="150"/>
      <c r="U24" s="150"/>
      <c r="V24" s="150"/>
      <c r="W24" s="150"/>
      <c r="X24" s="150"/>
      <c r="Y24" s="150"/>
      <c r="Z24" s="150"/>
      <c r="AA24" s="150"/>
    </row>
    <row r="25" spans="1:27" x14ac:dyDescent="0.2">
      <c r="A25" s="117" t="s">
        <v>9</v>
      </c>
      <c r="B25" s="117"/>
      <c r="C25" s="14" t="s">
        <v>117</v>
      </c>
      <c r="D25" s="14" t="s">
        <v>129</v>
      </c>
      <c r="E25" s="14" t="s">
        <v>94</v>
      </c>
      <c r="F25" s="14" t="s">
        <v>117</v>
      </c>
      <c r="G25" s="33" t="s">
        <v>94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28" t="s">
        <v>33</v>
      </c>
      <c r="Q25" s="128"/>
      <c r="R25" s="81"/>
      <c r="S25" s="150"/>
      <c r="T25" s="150"/>
      <c r="U25" s="150"/>
      <c r="V25" s="150"/>
      <c r="W25" s="150"/>
      <c r="X25" s="150"/>
      <c r="Y25" s="150"/>
      <c r="Z25" s="150"/>
      <c r="AA25" s="150"/>
    </row>
    <row r="26" spans="1:27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63" t="s">
        <v>33</v>
      </c>
      <c r="Q26" s="163"/>
      <c r="R26" s="81"/>
      <c r="S26" s="150"/>
      <c r="T26" s="150"/>
      <c r="U26" s="150"/>
      <c r="V26" s="150"/>
      <c r="W26" s="150"/>
      <c r="X26" s="150"/>
      <c r="Y26" s="150"/>
      <c r="Z26" s="150"/>
      <c r="AA26" s="150"/>
    </row>
    <row r="27" spans="1:27" x14ac:dyDescent="0.2">
      <c r="A27" s="157" t="s">
        <v>87</v>
      </c>
      <c r="B27" s="157"/>
      <c r="C27" s="19" t="s">
        <v>33</v>
      </c>
      <c r="D27" s="19" t="s">
        <v>33</v>
      </c>
      <c r="E27" s="19" t="s">
        <v>33</v>
      </c>
      <c r="F27" s="19" t="s">
        <v>33</v>
      </c>
      <c r="G27" s="40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63" t="s">
        <v>33</v>
      </c>
      <c r="Q27" s="163"/>
      <c r="R27" s="81"/>
      <c r="S27" s="150"/>
      <c r="T27" s="150"/>
      <c r="U27" s="150"/>
      <c r="V27" s="150"/>
      <c r="W27" s="150"/>
      <c r="X27" s="150"/>
      <c r="Y27" s="150"/>
      <c r="Z27" s="150"/>
      <c r="AA27" s="150"/>
    </row>
    <row r="28" spans="1:27" x14ac:dyDescent="0.2">
      <c r="A28" s="156" t="s">
        <v>597</v>
      </c>
      <c r="B28" s="156"/>
      <c r="C28" s="109"/>
      <c r="D28" s="109"/>
      <c r="E28" s="108" t="s">
        <v>599</v>
      </c>
      <c r="F28" s="109"/>
      <c r="G28" s="109"/>
    </row>
    <row r="29" spans="1:27" x14ac:dyDescent="0.2">
      <c r="A29" s="156" t="s">
        <v>598</v>
      </c>
      <c r="B29" s="156"/>
      <c r="C29" s="109"/>
      <c r="D29" s="109"/>
      <c r="E29" s="108">
        <v>4850069365</v>
      </c>
      <c r="F29" s="109"/>
      <c r="G29" s="109"/>
    </row>
  </sheetData>
  <mergeCells count="129">
    <mergeCell ref="I1:J1"/>
    <mergeCell ref="K1:O1"/>
    <mergeCell ref="P1:Q1"/>
    <mergeCell ref="S1:T1"/>
    <mergeCell ref="L2:M2"/>
    <mergeCell ref="Q2:S2"/>
    <mergeCell ref="Z2:AA2"/>
    <mergeCell ref="L4:M4"/>
    <mergeCell ref="Q4:S4"/>
    <mergeCell ref="Z4:AA4"/>
    <mergeCell ref="J6:K6"/>
    <mergeCell ref="L6:M6"/>
    <mergeCell ref="N6:O6"/>
    <mergeCell ref="P6:Q6"/>
    <mergeCell ref="T6:AA6"/>
    <mergeCell ref="J8:K8"/>
    <mergeCell ref="L8:M8"/>
    <mergeCell ref="N8:O8"/>
    <mergeCell ref="P8:Q8"/>
    <mergeCell ref="V8:X8"/>
    <mergeCell ref="Y8:AA8"/>
    <mergeCell ref="J7:K7"/>
    <mergeCell ref="L7:M7"/>
    <mergeCell ref="N7:O7"/>
    <mergeCell ref="P7:Q7"/>
    <mergeCell ref="V7:X7"/>
    <mergeCell ref="Y7:AA7"/>
    <mergeCell ref="J10:K10"/>
    <mergeCell ref="L10:M10"/>
    <mergeCell ref="N10:O10"/>
    <mergeCell ref="P10:Q10"/>
    <mergeCell ref="V10:X10"/>
    <mergeCell ref="Y10:AA10"/>
    <mergeCell ref="J9:K9"/>
    <mergeCell ref="L9:M9"/>
    <mergeCell ref="N9:O9"/>
    <mergeCell ref="P9:Q9"/>
    <mergeCell ref="V9:X9"/>
    <mergeCell ref="Y9:AA9"/>
    <mergeCell ref="L11:M11"/>
    <mergeCell ref="N11:O11"/>
    <mergeCell ref="P11:Q11"/>
    <mergeCell ref="V11:X11"/>
    <mergeCell ref="Y11:AA11"/>
    <mergeCell ref="J12:K12"/>
    <mergeCell ref="L12:M12"/>
    <mergeCell ref="N12:O12"/>
    <mergeCell ref="P12:Q12"/>
    <mergeCell ref="V12:X12"/>
    <mergeCell ref="Y12:AA12"/>
    <mergeCell ref="J13:K13"/>
    <mergeCell ref="L13:M13"/>
    <mergeCell ref="N13:O13"/>
    <mergeCell ref="P13:Q13"/>
    <mergeCell ref="S13:AA14"/>
    <mergeCell ref="J14:K14"/>
    <mergeCell ref="L14:M14"/>
    <mergeCell ref="N14:O14"/>
    <mergeCell ref="P14:Q14"/>
    <mergeCell ref="J15:K15"/>
    <mergeCell ref="L15:M15"/>
    <mergeCell ref="N15:O15"/>
    <mergeCell ref="P15:Q15"/>
    <mergeCell ref="S15:AA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8:B28"/>
    <mergeCell ref="A29:B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C1" workbookViewId="0">
      <selection activeCell="L9" sqref="L9:M9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48</v>
      </c>
      <c r="G1" s="3" t="s">
        <v>3</v>
      </c>
      <c r="H1" s="2"/>
      <c r="I1" s="129" t="s">
        <v>4</v>
      </c>
      <c r="J1" s="129"/>
      <c r="K1" s="142" t="s">
        <v>661</v>
      </c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/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317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49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318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8.875" customWidth="1"/>
    <col min="5" max="5" width="9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50</v>
      </c>
      <c r="G1" s="3" t="s">
        <v>3</v>
      </c>
      <c r="H1" s="2"/>
      <c r="I1" s="129" t="s">
        <v>4</v>
      </c>
      <c r="J1" s="129"/>
      <c r="K1" s="151" t="s">
        <v>319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607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208</v>
      </c>
      <c r="D20" s="30" t="s">
        <v>208</v>
      </c>
      <c r="E20" s="30" t="s">
        <v>227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01">
        <v>42582</v>
      </c>
      <c r="D22" s="101">
        <v>42582</v>
      </c>
      <c r="E22" s="101">
        <v>42582</v>
      </c>
      <c r="F22" s="101" t="s">
        <v>33</v>
      </c>
      <c r="G22" s="106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604</v>
      </c>
      <c r="D23" s="14" t="s">
        <v>605</v>
      </c>
      <c r="E23" s="14" t="s">
        <v>606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569</v>
      </c>
      <c r="D25" s="14" t="s">
        <v>569</v>
      </c>
      <c r="E25" s="14" t="s">
        <v>569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57" t="s">
        <v>87</v>
      </c>
      <c r="B27" s="157"/>
      <c r="C27" s="19" t="s">
        <v>33</v>
      </c>
      <c r="D27" s="19" t="s">
        <v>33</v>
      </c>
      <c r="E27" s="19" t="s">
        <v>33</v>
      </c>
      <c r="F27" s="19" t="s">
        <v>33</v>
      </c>
      <c r="G27" s="40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A28" s="156" t="s">
        <v>597</v>
      </c>
      <c r="B28" s="156"/>
      <c r="C28" s="108" t="s">
        <v>603</v>
      </c>
      <c r="D28" s="109"/>
      <c r="E28" s="109"/>
      <c r="F28" s="109"/>
      <c r="G28" s="109"/>
    </row>
    <row r="29" spans="1:26" x14ac:dyDescent="0.2">
      <c r="A29" s="156" t="s">
        <v>598</v>
      </c>
      <c r="B29" s="156"/>
      <c r="C29" s="108">
        <v>48500691837</v>
      </c>
      <c r="D29" s="109"/>
      <c r="E29" s="109"/>
      <c r="F29" s="109"/>
      <c r="G29" s="109"/>
    </row>
  </sheetData>
  <mergeCells count="130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8:B28"/>
    <mergeCell ref="A29:B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9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9.25" customWidth="1"/>
    <col min="5" max="6" width="8.125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8.37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51</v>
      </c>
      <c r="E1" s="1" t="s">
        <v>2</v>
      </c>
      <c r="F1" s="2">
        <v>51</v>
      </c>
      <c r="G1" s="3" t="s">
        <v>3</v>
      </c>
      <c r="H1" s="2"/>
      <c r="I1" s="129" t="s">
        <v>4</v>
      </c>
      <c r="J1" s="129"/>
      <c r="K1" s="151" t="s">
        <v>320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46">
        <v>42435</v>
      </c>
      <c r="C5" s="14" t="s">
        <v>243</v>
      </c>
      <c r="D5" s="14" t="s">
        <v>94</v>
      </c>
      <c r="E5" s="14" t="s">
        <v>321</v>
      </c>
      <c r="F5" s="14" t="s">
        <v>322</v>
      </c>
      <c r="G5" s="14" t="s">
        <v>96</v>
      </c>
      <c r="H5" s="14" t="s">
        <v>33</v>
      </c>
      <c r="I5" s="19" t="s">
        <v>33</v>
      </c>
      <c r="J5" s="19">
        <v>1000</v>
      </c>
      <c r="K5" s="19">
        <v>2</v>
      </c>
      <c r="L5" s="20">
        <v>52.69</v>
      </c>
      <c r="M5" s="20" t="s">
        <v>33</v>
      </c>
      <c r="N5" s="19">
        <v>367</v>
      </c>
      <c r="O5" s="19">
        <v>171</v>
      </c>
      <c r="P5" s="21" t="s">
        <v>33</v>
      </c>
      <c r="Q5" s="21">
        <v>30.44</v>
      </c>
      <c r="R5" s="16" t="s">
        <v>33</v>
      </c>
      <c r="S5" s="16" t="s">
        <v>33</v>
      </c>
      <c r="T5" s="16" t="s">
        <v>33</v>
      </c>
      <c r="U5" s="14" t="s">
        <v>323</v>
      </c>
      <c r="V5" s="14" t="s">
        <v>323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42531</v>
      </c>
      <c r="D7" s="26">
        <v>42532</v>
      </c>
      <c r="E7" s="26">
        <v>42535</v>
      </c>
      <c r="F7" s="26">
        <v>42537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42572</v>
      </c>
      <c r="J8" s="133">
        <v>3</v>
      </c>
      <c r="K8" s="133"/>
      <c r="L8" s="133">
        <v>3</v>
      </c>
      <c r="M8" s="133"/>
      <c r="N8" s="133">
        <v>3</v>
      </c>
      <c r="O8" s="133"/>
      <c r="P8" s="133">
        <v>2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5"/>
      <c r="J9" s="133">
        <v>59</v>
      </c>
      <c r="K9" s="133"/>
      <c r="L9" s="133">
        <v>59</v>
      </c>
      <c r="M9" s="133"/>
      <c r="N9" s="133">
        <v>51</v>
      </c>
      <c r="O9" s="133"/>
      <c r="P9" s="133">
        <v>40</v>
      </c>
      <c r="Q9" s="13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42577</v>
      </c>
      <c r="J11" s="133">
        <v>8</v>
      </c>
      <c r="K11" s="133"/>
      <c r="L11" s="133">
        <v>8</v>
      </c>
      <c r="M11" s="133"/>
      <c r="N11" s="133">
        <v>8</v>
      </c>
      <c r="O11" s="133"/>
      <c r="P11" s="122">
        <v>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146</v>
      </c>
      <c r="K12" s="130"/>
      <c r="L12" s="114">
        <v>154</v>
      </c>
      <c r="M12" s="114"/>
      <c r="N12" s="114">
        <v>170</v>
      </c>
      <c r="O12" s="114"/>
      <c r="P12" s="113">
        <v>100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324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42569</v>
      </c>
      <c r="D16" s="26">
        <v>42569</v>
      </c>
      <c r="E16" s="26">
        <v>42569</v>
      </c>
      <c r="F16" s="26">
        <v>42570</v>
      </c>
      <c r="G16" s="27" t="e">
        <f>{#DIV/0!}</f>
        <v>#DIV/0!</v>
      </c>
      <c r="H16" s="28" t="s">
        <v>74</v>
      </c>
      <c r="I16" s="35">
        <v>42582</v>
      </c>
      <c r="J16" s="120">
        <v>13</v>
      </c>
      <c r="K16" s="120"/>
      <c r="L16" s="120">
        <v>13</v>
      </c>
      <c r="M16" s="120"/>
      <c r="N16" s="121">
        <v>13</v>
      </c>
      <c r="O16" s="121"/>
      <c r="P16" s="122">
        <v>12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311</v>
      </c>
      <c r="K17" s="113"/>
      <c r="L17" s="114">
        <v>304</v>
      </c>
      <c r="M17" s="114"/>
      <c r="N17" s="115">
        <v>370</v>
      </c>
      <c r="O17" s="115"/>
      <c r="P17" s="113">
        <v>211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112</v>
      </c>
      <c r="D20" s="30" t="s">
        <v>112</v>
      </c>
      <c r="E20" s="30" t="s">
        <v>220</v>
      </c>
      <c r="F20" s="30" t="s">
        <v>291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116</v>
      </c>
      <c r="F21" s="14" t="s">
        <v>196</v>
      </c>
      <c r="G21" s="14" t="s">
        <v>33</v>
      </c>
      <c r="H21" s="44" t="s">
        <v>80</v>
      </c>
      <c r="I21" s="35">
        <v>42588</v>
      </c>
      <c r="J21" s="120">
        <v>19</v>
      </c>
      <c r="K21" s="120"/>
      <c r="L21" s="120">
        <v>19</v>
      </c>
      <c r="M21" s="120"/>
      <c r="N21" s="121">
        <v>19</v>
      </c>
      <c r="O21" s="121"/>
      <c r="P21" s="122">
        <v>18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42592</v>
      </c>
      <c r="D22" s="46">
        <v>42592</v>
      </c>
      <c r="E22" s="46">
        <v>42592</v>
      </c>
      <c r="F22" s="46">
        <v>42592</v>
      </c>
      <c r="G22" s="33" t="s">
        <v>33</v>
      </c>
      <c r="H22" s="28" t="s">
        <v>82</v>
      </c>
      <c r="I22" s="38"/>
      <c r="J22" s="113">
        <v>433</v>
      </c>
      <c r="K22" s="113"/>
      <c r="L22" s="114">
        <v>444</v>
      </c>
      <c r="M22" s="114"/>
      <c r="N22" s="115">
        <v>600</v>
      </c>
      <c r="O22" s="115"/>
      <c r="P22" s="113">
        <v>315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115618944</v>
      </c>
      <c r="D23" s="14">
        <v>115618943</v>
      </c>
      <c r="E23" s="14">
        <v>194719286</v>
      </c>
      <c r="F23" s="14">
        <v>115618945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94</v>
      </c>
      <c r="E25" s="14" t="s">
        <v>94</v>
      </c>
      <c r="F25" s="14" t="s">
        <v>94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44" t="s">
        <v>118</v>
      </c>
      <c r="I26" s="47">
        <v>42592</v>
      </c>
      <c r="J26" s="113">
        <v>23</v>
      </c>
      <c r="K26" s="113"/>
      <c r="L26" s="114">
        <v>23</v>
      </c>
      <c r="M26" s="114"/>
      <c r="N26" s="115">
        <v>23</v>
      </c>
      <c r="O26" s="115"/>
      <c r="P26" s="113">
        <v>22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119</v>
      </c>
      <c r="I27" s="38"/>
      <c r="J27" s="113">
        <v>550</v>
      </c>
      <c r="K27" s="113"/>
      <c r="L27" s="114">
        <v>543</v>
      </c>
      <c r="M27" s="114"/>
      <c r="N27" s="115">
        <v>795</v>
      </c>
      <c r="O27" s="115"/>
      <c r="P27" s="113">
        <v>455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47" t="s">
        <v>145</v>
      </c>
      <c r="J28" s="113">
        <v>27</v>
      </c>
      <c r="K28" s="113"/>
      <c r="L28" s="114">
        <v>27</v>
      </c>
      <c r="M28" s="114"/>
      <c r="N28" s="115">
        <v>27</v>
      </c>
      <c r="O28" s="115"/>
      <c r="P28" s="113">
        <v>27</v>
      </c>
      <c r="Q28" s="113"/>
    </row>
    <row r="29" spans="1:26" x14ac:dyDescent="0.2">
      <c r="H29" s="28" t="s">
        <v>121</v>
      </c>
      <c r="I29" s="38"/>
      <c r="J29" s="113">
        <v>569</v>
      </c>
      <c r="K29" s="113"/>
      <c r="L29" s="114">
        <v>548</v>
      </c>
      <c r="M29" s="114"/>
      <c r="N29" s="115">
        <v>788</v>
      </c>
      <c r="O29" s="115"/>
      <c r="P29" s="113">
        <v>493</v>
      </c>
      <c r="Q29" s="113"/>
    </row>
  </sheetData>
  <mergeCells count="136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P28:Q28"/>
    <mergeCell ref="J29:K29"/>
    <mergeCell ref="L29:M29"/>
    <mergeCell ref="N29:O29"/>
    <mergeCell ref="P29:Q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52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325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9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8.875" customWidth="1"/>
    <col min="5" max="6" width="8.125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.2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53</v>
      </c>
      <c r="E1" s="1" t="s">
        <v>2</v>
      </c>
      <c r="F1" s="2">
        <v>53</v>
      </c>
      <c r="G1" s="3" t="s">
        <v>3</v>
      </c>
      <c r="H1" s="2"/>
      <c r="I1" s="129" t="s">
        <v>4</v>
      </c>
      <c r="J1" s="129"/>
      <c r="K1" s="151" t="s">
        <v>326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42526</v>
      </c>
      <c r="D7" s="26">
        <f>C7+2</f>
        <v>42528</v>
      </c>
      <c r="E7" s="26">
        <f>D7+2</f>
        <v>42530</v>
      </c>
      <c r="F7" s="26">
        <f>E7+2</f>
        <v>42532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42567</v>
      </c>
      <c r="J8" s="133">
        <v>6</v>
      </c>
      <c r="K8" s="133"/>
      <c r="L8" s="133">
        <v>6</v>
      </c>
      <c r="M8" s="133"/>
      <c r="N8" s="133">
        <v>5</v>
      </c>
      <c r="O8" s="133"/>
      <c r="P8" s="133">
        <v>3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121</v>
      </c>
      <c r="K9" s="130"/>
      <c r="L9" s="114">
        <v>109</v>
      </c>
      <c r="M9" s="114"/>
      <c r="N9" s="114">
        <v>83</v>
      </c>
      <c r="O9" s="114"/>
      <c r="P9" s="113">
        <v>48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42572</v>
      </c>
      <c r="J11" s="133">
        <v>11</v>
      </c>
      <c r="K11" s="133"/>
      <c r="L11" s="133">
        <v>11</v>
      </c>
      <c r="M11" s="133"/>
      <c r="N11" s="133">
        <v>10</v>
      </c>
      <c r="O11" s="133"/>
      <c r="P11" s="122">
        <v>8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346</v>
      </c>
      <c r="K12" s="130"/>
      <c r="L12" s="114">
        <v>327</v>
      </c>
      <c r="M12" s="114"/>
      <c r="N12" s="114">
        <v>247</v>
      </c>
      <c r="O12" s="114"/>
      <c r="P12" s="113">
        <v>141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327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42561</v>
      </c>
      <c r="D16" s="26">
        <v>42561</v>
      </c>
      <c r="E16" s="26">
        <v>42562</v>
      </c>
      <c r="F16" s="26">
        <v>42564</v>
      </c>
      <c r="G16" s="27" t="e">
        <f>{#DIV/0!}</f>
        <v>#DIV/0!</v>
      </c>
      <c r="H16" s="28" t="s">
        <v>74</v>
      </c>
      <c r="I16" s="35">
        <v>42577</v>
      </c>
      <c r="J16" s="120">
        <v>16</v>
      </c>
      <c r="K16" s="120"/>
      <c r="L16" s="120">
        <v>16</v>
      </c>
      <c r="M16" s="120"/>
      <c r="N16" s="121">
        <v>15</v>
      </c>
      <c r="O16" s="121"/>
      <c r="P16" s="122">
        <v>12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580</v>
      </c>
      <c r="K17" s="113"/>
      <c r="L17" s="114">
        <v>585</v>
      </c>
      <c r="M17" s="114"/>
      <c r="N17" s="115">
        <v>421</v>
      </c>
      <c r="O17" s="115"/>
      <c r="P17" s="113">
        <v>304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328</v>
      </c>
      <c r="K18" s="118"/>
      <c r="L18" s="117" t="s">
        <v>329</v>
      </c>
      <c r="M18" s="117"/>
      <c r="N18" s="117" t="s">
        <v>329</v>
      </c>
      <c r="O18" s="117"/>
      <c r="P18" s="117" t="s">
        <v>329</v>
      </c>
      <c r="Q18" s="11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18">
        <v>3.5</v>
      </c>
      <c r="K19" s="118"/>
      <c r="L19" s="117">
        <v>4.01</v>
      </c>
      <c r="M19" s="117"/>
      <c r="N19" s="119">
        <v>3.01</v>
      </c>
      <c r="O19" s="119"/>
      <c r="P19" s="118">
        <v>0.1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165</v>
      </c>
      <c r="D20" s="30" t="s">
        <v>165</v>
      </c>
      <c r="E20" s="30" t="s">
        <v>195</v>
      </c>
      <c r="F20" s="30" t="s">
        <v>330</v>
      </c>
      <c r="G20" s="30" t="s">
        <v>33</v>
      </c>
      <c r="H20" s="28" t="s">
        <v>331</v>
      </c>
      <c r="I20" s="39"/>
      <c r="J20" s="118" t="s">
        <v>332</v>
      </c>
      <c r="K20" s="118"/>
      <c r="L20" s="118" t="s">
        <v>332</v>
      </c>
      <c r="M20" s="118"/>
      <c r="N20" s="118" t="s">
        <v>332</v>
      </c>
      <c r="O20" s="118"/>
      <c r="P20" s="118" t="s">
        <v>332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116</v>
      </c>
      <c r="F21" s="14" t="s">
        <v>196</v>
      </c>
      <c r="G21" s="14" t="s">
        <v>33</v>
      </c>
      <c r="H21" s="44" t="s">
        <v>80</v>
      </c>
      <c r="I21" s="35">
        <v>42582</v>
      </c>
      <c r="J21" s="120">
        <v>21</v>
      </c>
      <c r="K21" s="120"/>
      <c r="L21" s="120">
        <v>21</v>
      </c>
      <c r="M21" s="120"/>
      <c r="N21" s="121">
        <v>20</v>
      </c>
      <c r="O21" s="121"/>
      <c r="P21" s="122">
        <v>17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86">
        <v>42588</v>
      </c>
      <c r="D22" s="86">
        <v>42588</v>
      </c>
      <c r="E22" s="86">
        <v>42588</v>
      </c>
      <c r="F22" s="86">
        <v>42592</v>
      </c>
      <c r="G22" s="33" t="s">
        <v>33</v>
      </c>
      <c r="H22" s="28" t="s">
        <v>82</v>
      </c>
      <c r="I22" s="38"/>
      <c r="J22" s="113">
        <v>613</v>
      </c>
      <c r="K22" s="113"/>
      <c r="L22" s="114">
        <v>608</v>
      </c>
      <c r="M22" s="114"/>
      <c r="N22" s="115">
        <v>471</v>
      </c>
      <c r="O22" s="115"/>
      <c r="P22" s="113">
        <v>371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194726226</v>
      </c>
      <c r="D23" s="14">
        <v>194726227</v>
      </c>
      <c r="E23" s="14">
        <v>115624015</v>
      </c>
      <c r="F23" s="14">
        <v>115618946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129</v>
      </c>
      <c r="E25" s="14" t="s">
        <v>129</v>
      </c>
      <c r="F25" s="14" t="s">
        <v>94</v>
      </c>
      <c r="G25" s="33" t="s">
        <v>33</v>
      </c>
      <c r="H25" s="44" t="s">
        <v>118</v>
      </c>
      <c r="I25" s="55">
        <v>42588</v>
      </c>
      <c r="J25" s="118">
        <v>27</v>
      </c>
      <c r="K25" s="118"/>
      <c r="L25" s="117">
        <v>27</v>
      </c>
      <c r="M25" s="117"/>
      <c r="N25" s="119">
        <v>26</v>
      </c>
      <c r="O25" s="119"/>
      <c r="P25" s="118">
        <v>23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119</v>
      </c>
      <c r="I26" s="38"/>
      <c r="J26" s="113">
        <v>770</v>
      </c>
      <c r="K26" s="113"/>
      <c r="L26" s="114">
        <v>799</v>
      </c>
      <c r="M26" s="114"/>
      <c r="N26" s="115">
        <v>604</v>
      </c>
      <c r="O26" s="115"/>
      <c r="P26" s="113">
        <v>510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143</v>
      </c>
      <c r="I27" s="38"/>
      <c r="J27" s="113" t="s">
        <v>126</v>
      </c>
      <c r="K27" s="113"/>
      <c r="L27" s="114" t="s">
        <v>126</v>
      </c>
      <c r="M27" s="114"/>
      <c r="N27" s="115" t="s">
        <v>126</v>
      </c>
      <c r="O27" s="115"/>
      <c r="P27" s="113" t="s">
        <v>126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55">
        <v>42592</v>
      </c>
      <c r="J28" s="118">
        <v>31</v>
      </c>
      <c r="K28" s="118"/>
      <c r="L28" s="117">
        <v>31</v>
      </c>
      <c r="M28" s="117"/>
      <c r="N28" s="119">
        <v>30</v>
      </c>
      <c r="O28" s="119"/>
      <c r="P28" s="118">
        <v>27</v>
      </c>
      <c r="Q28" s="118"/>
    </row>
    <row r="29" spans="1:26" x14ac:dyDescent="0.2">
      <c r="H29" s="28" t="s">
        <v>121</v>
      </c>
      <c r="I29" s="38"/>
      <c r="J29" s="113">
        <v>825</v>
      </c>
      <c r="K29" s="113"/>
      <c r="L29" s="114">
        <v>858</v>
      </c>
      <c r="M29" s="114"/>
      <c r="N29" s="115">
        <v>665</v>
      </c>
      <c r="O29" s="115"/>
      <c r="P29" s="113">
        <v>576</v>
      </c>
      <c r="Q29" s="113"/>
    </row>
  </sheetData>
  <mergeCells count="136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P28:Q28"/>
    <mergeCell ref="J29:K29"/>
    <mergeCell ref="L29:M29"/>
    <mergeCell ref="N29:O29"/>
    <mergeCell ref="P29:Q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workbookViewId="0">
      <selection activeCell="J12" sqref="J12:K12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54</v>
      </c>
      <c r="G1" s="3" t="s">
        <v>3</v>
      </c>
      <c r="H1" s="2"/>
      <c r="I1" s="129" t="s">
        <v>4</v>
      </c>
      <c r="J1" s="129"/>
      <c r="K1" s="142" t="s">
        <v>662</v>
      </c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42581</v>
      </c>
      <c r="J8" s="133">
        <v>35</v>
      </c>
      <c r="K8" s="133"/>
      <c r="L8" s="133">
        <v>30</v>
      </c>
      <c r="M8" s="133"/>
      <c r="N8" s="133">
        <v>35</v>
      </c>
      <c r="O8" s="133"/>
      <c r="P8" s="133">
        <v>30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723</v>
      </c>
      <c r="K9" s="130"/>
      <c r="L9" s="114">
        <v>912</v>
      </c>
      <c r="M9" s="114"/>
      <c r="N9" s="114">
        <v>772</v>
      </c>
      <c r="O9" s="114"/>
      <c r="P9" s="113">
        <v>876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149</v>
      </c>
      <c r="I10" s="39"/>
      <c r="J10" s="125">
        <v>68.09</v>
      </c>
      <c r="K10" s="125"/>
      <c r="L10" s="117">
        <v>71.13</v>
      </c>
      <c r="M10" s="117"/>
      <c r="N10" s="117">
        <v>66.42</v>
      </c>
      <c r="O10" s="117"/>
      <c r="P10" s="118">
        <v>71.260000000000005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333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173</v>
      </c>
      <c r="D20" s="30" t="s">
        <v>175</v>
      </c>
      <c r="E20" s="30" t="s">
        <v>173</v>
      </c>
      <c r="F20" s="30" t="s">
        <v>175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42581</v>
      </c>
      <c r="D22" s="46">
        <v>42581</v>
      </c>
      <c r="E22" s="46">
        <v>42581</v>
      </c>
      <c r="F22" s="46">
        <v>42581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334</v>
      </c>
      <c r="D23" s="14" t="s">
        <v>335</v>
      </c>
      <c r="E23" s="14" t="s">
        <v>336</v>
      </c>
      <c r="F23" s="14" t="s">
        <v>337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241</v>
      </c>
      <c r="D25" s="14" t="s">
        <v>129</v>
      </c>
      <c r="E25" s="14" t="s">
        <v>117</v>
      </c>
      <c r="F25" s="14" t="s">
        <v>94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11.375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55</v>
      </c>
      <c r="G1" s="3" t="s">
        <v>3</v>
      </c>
      <c r="H1" s="2"/>
      <c r="I1" s="129" t="s">
        <v>4</v>
      </c>
      <c r="J1" s="129"/>
      <c r="K1" s="151" t="s">
        <v>338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42582</v>
      </c>
      <c r="J8" s="133">
        <v>30</v>
      </c>
      <c r="K8" s="133"/>
      <c r="L8" s="133">
        <v>30</v>
      </c>
      <c r="M8" s="133"/>
      <c r="N8" s="133">
        <v>25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890</v>
      </c>
      <c r="K9" s="130"/>
      <c r="L9" s="114">
        <v>1019</v>
      </c>
      <c r="M9" s="114"/>
      <c r="N9" s="114">
        <v>641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149</v>
      </c>
      <c r="I10" s="39"/>
      <c r="J10" s="125">
        <v>65.150000000000006</v>
      </c>
      <c r="K10" s="125"/>
      <c r="L10" s="117">
        <v>73.489999999999995</v>
      </c>
      <c r="M10" s="117"/>
      <c r="N10" s="117">
        <v>64.09</v>
      </c>
      <c r="O10" s="11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339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175</v>
      </c>
      <c r="D20" s="30" t="s">
        <v>175</v>
      </c>
      <c r="E20" s="30" t="s">
        <v>270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42582</v>
      </c>
      <c r="D22" s="46">
        <v>42582</v>
      </c>
      <c r="E22" s="46">
        <v>42582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185714508</v>
      </c>
      <c r="D23" s="14">
        <v>185714507</v>
      </c>
      <c r="E23" s="14">
        <v>194719277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94</v>
      </c>
      <c r="E25" s="14" t="s">
        <v>117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C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56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340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47"/>
      <c r="K24" s="147"/>
      <c r="L24" s="147"/>
      <c r="M24" s="147"/>
      <c r="N24" s="148"/>
      <c r="O24" s="148"/>
      <c r="P24" s="147"/>
      <c r="Q24" s="147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E5" sqref="E5"/>
    </sheetView>
  </sheetViews>
  <sheetFormatPr defaultRowHeight="14.25" x14ac:dyDescent="0.2"/>
  <cols>
    <col min="1" max="1" width="8.25" customWidth="1"/>
    <col min="2" max="2" width="10.12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28" width="9.25" customWidth="1"/>
    <col min="29" max="29" width="11.125" customWidth="1"/>
    <col min="30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57</v>
      </c>
      <c r="G1" s="3" t="s">
        <v>3</v>
      </c>
      <c r="H1" s="2"/>
      <c r="I1" s="129" t="s">
        <v>4</v>
      </c>
      <c r="J1" s="129"/>
      <c r="K1" s="151" t="s">
        <v>341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572</v>
      </c>
      <c r="AC2" s="13" t="s">
        <v>598</v>
      </c>
      <c r="AD2" s="12" t="s">
        <v>579</v>
      </c>
    </row>
    <row r="3" spans="1:30" x14ac:dyDescent="0.2">
      <c r="A3" s="14" t="s">
        <v>33</v>
      </c>
      <c r="B3" s="101">
        <v>42585</v>
      </c>
      <c r="C3" s="14" t="s">
        <v>213</v>
      </c>
      <c r="D3" s="14" t="s">
        <v>569</v>
      </c>
      <c r="E3" s="14" t="s">
        <v>608</v>
      </c>
      <c r="F3" s="14" t="s">
        <v>33</v>
      </c>
      <c r="G3" s="14" t="s">
        <v>33</v>
      </c>
      <c r="H3" s="14" t="s">
        <v>33</v>
      </c>
      <c r="I3" s="14" t="s">
        <v>33</v>
      </c>
      <c r="J3" s="14">
        <v>820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 t="s">
        <v>611</v>
      </c>
      <c r="AC3" s="7">
        <v>48797731639</v>
      </c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572</v>
      </c>
      <c r="AC4" s="13" t="s">
        <v>598</v>
      </c>
      <c r="AD4" s="12" t="s">
        <v>579</v>
      </c>
    </row>
    <row r="5" spans="1:30" x14ac:dyDescent="0.2">
      <c r="A5" s="14" t="s">
        <v>33</v>
      </c>
      <c r="B5" s="101">
        <v>42585</v>
      </c>
      <c r="C5" s="14" t="s">
        <v>213</v>
      </c>
      <c r="D5" s="14" t="s">
        <v>569</v>
      </c>
      <c r="E5" s="14" t="s">
        <v>609</v>
      </c>
      <c r="F5" s="14" t="s">
        <v>33</v>
      </c>
      <c r="G5" s="14" t="s">
        <v>33</v>
      </c>
      <c r="H5" s="14" t="s">
        <v>33</v>
      </c>
      <c r="I5" s="19" t="s">
        <v>33</v>
      </c>
      <c r="J5" s="19">
        <v>1050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 t="s">
        <v>610</v>
      </c>
      <c r="AC5" s="7">
        <v>48797731647</v>
      </c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42581</v>
      </c>
      <c r="J8" s="133">
        <v>30</v>
      </c>
      <c r="K8" s="133"/>
      <c r="L8" s="133">
        <v>30</v>
      </c>
      <c r="M8" s="133"/>
      <c r="N8" s="133">
        <v>30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876</v>
      </c>
      <c r="K9" s="130"/>
      <c r="L9" s="114">
        <v>766</v>
      </c>
      <c r="M9" s="114"/>
      <c r="N9" s="114">
        <v>747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342</v>
      </c>
      <c r="I10" s="39"/>
      <c r="J10" s="125">
        <v>70.349999999999994</v>
      </c>
      <c r="K10" s="125"/>
      <c r="L10" s="117">
        <v>64.78</v>
      </c>
      <c r="M10" s="117"/>
      <c r="N10" s="117">
        <v>70.91</v>
      </c>
      <c r="O10" s="11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612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175</v>
      </c>
      <c r="D20" s="30" t="s">
        <v>175</v>
      </c>
      <c r="E20" s="30" t="s">
        <v>184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42581</v>
      </c>
      <c r="D22" s="46">
        <v>42581</v>
      </c>
      <c r="E22" s="46">
        <v>42581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343</v>
      </c>
      <c r="D23" s="14" t="s">
        <v>344</v>
      </c>
      <c r="E23" s="14" t="s">
        <v>345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129</v>
      </c>
      <c r="E25" s="14" t="s">
        <v>94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1"/>
  <sheetViews>
    <sheetView topLeftCell="B1" zoomScale="90" zoomScaleNormal="9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10.37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58</v>
      </c>
      <c r="E1" s="1" t="s">
        <v>2</v>
      </c>
      <c r="F1" s="2">
        <v>58</v>
      </c>
      <c r="G1" s="3" t="s">
        <v>3</v>
      </c>
      <c r="H1" s="2"/>
      <c r="I1" s="129" t="s">
        <v>4</v>
      </c>
      <c r="J1" s="129"/>
      <c r="K1" s="151" t="s">
        <v>346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42530</v>
      </c>
      <c r="D7" s="26">
        <v>42532</v>
      </c>
      <c r="E7" s="26">
        <v>42534</v>
      </c>
      <c r="F7" s="26">
        <v>42537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196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42571</v>
      </c>
      <c r="J8" s="133">
        <v>1</v>
      </c>
      <c r="K8" s="133"/>
      <c r="L8" s="133">
        <v>1</v>
      </c>
      <c r="M8" s="133"/>
      <c r="N8" s="133">
        <v>0</v>
      </c>
      <c r="O8" s="133"/>
      <c r="P8" s="133">
        <v>0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3">
        <v>41</v>
      </c>
      <c r="K9" s="133"/>
      <c r="L9" s="133">
        <v>39</v>
      </c>
      <c r="M9" s="133"/>
      <c r="N9" s="133">
        <v>33</v>
      </c>
      <c r="O9" s="133"/>
      <c r="P9" s="133" t="s">
        <v>347</v>
      </c>
      <c r="Q9" s="13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42576</v>
      </c>
      <c r="J11" s="133">
        <v>6</v>
      </c>
      <c r="K11" s="133"/>
      <c r="L11" s="133">
        <v>6</v>
      </c>
      <c r="M11" s="133"/>
      <c r="N11" s="133">
        <v>5</v>
      </c>
      <c r="O11" s="133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136</v>
      </c>
      <c r="K12" s="130"/>
      <c r="L12" s="114">
        <v>121</v>
      </c>
      <c r="M12" s="114"/>
      <c r="N12" s="114">
        <v>99</v>
      </c>
      <c r="O12" s="114"/>
      <c r="P12" s="113" t="s">
        <v>194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348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42570</v>
      </c>
      <c r="D16" s="26">
        <v>42570</v>
      </c>
      <c r="E16" s="26">
        <v>42571</v>
      </c>
      <c r="F16" s="26">
        <v>42571</v>
      </c>
      <c r="G16" s="27" t="e">
        <f>{#DIV/0!}</f>
        <v>#DIV/0!</v>
      </c>
      <c r="H16" s="28" t="s">
        <v>74</v>
      </c>
      <c r="I16" s="35">
        <v>42581</v>
      </c>
      <c r="J16" s="120">
        <v>11</v>
      </c>
      <c r="K16" s="120"/>
      <c r="L16" s="120">
        <v>11</v>
      </c>
      <c r="M16" s="120"/>
      <c r="N16" s="121">
        <v>10</v>
      </c>
      <c r="O16" s="121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346</v>
      </c>
      <c r="K17" s="113"/>
      <c r="L17" s="114">
        <v>336</v>
      </c>
      <c r="M17" s="114"/>
      <c r="N17" s="115">
        <v>296</v>
      </c>
      <c r="O17" s="115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141</v>
      </c>
      <c r="D20" s="30" t="s">
        <v>33</v>
      </c>
      <c r="E20" s="30" t="s">
        <v>141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349</v>
      </c>
      <c r="D21" s="14" t="s">
        <v>350</v>
      </c>
      <c r="E21" s="14" t="s">
        <v>351</v>
      </c>
      <c r="F21" s="14" t="s">
        <v>352</v>
      </c>
      <c r="G21" s="14" t="s">
        <v>33</v>
      </c>
      <c r="H21" s="44" t="s">
        <v>80</v>
      </c>
      <c r="I21" s="35">
        <v>42587</v>
      </c>
      <c r="J21" s="120">
        <v>17</v>
      </c>
      <c r="K21" s="120"/>
      <c r="L21" s="120">
        <v>17</v>
      </c>
      <c r="M21" s="120"/>
      <c r="N21" s="121">
        <v>16</v>
      </c>
      <c r="O21" s="121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7" t="s">
        <v>145</v>
      </c>
      <c r="D22" s="14" t="s">
        <v>33</v>
      </c>
      <c r="E22" s="47" t="s">
        <v>145</v>
      </c>
      <c r="F22" s="14" t="s">
        <v>33</v>
      </c>
      <c r="G22" s="33" t="s">
        <v>33</v>
      </c>
      <c r="H22" s="28" t="s">
        <v>82</v>
      </c>
      <c r="I22" s="38"/>
      <c r="J22" s="113">
        <v>578</v>
      </c>
      <c r="K22" s="113"/>
      <c r="L22" s="114">
        <v>581</v>
      </c>
      <c r="M22" s="114"/>
      <c r="N22" s="115">
        <v>566</v>
      </c>
      <c r="O22" s="115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194719288</v>
      </c>
      <c r="D23" s="14" t="s">
        <v>33</v>
      </c>
      <c r="E23" s="14">
        <v>194719289</v>
      </c>
      <c r="F23" s="14" t="s">
        <v>33</v>
      </c>
      <c r="G23" s="33" t="s">
        <v>33</v>
      </c>
      <c r="H23" s="28" t="s">
        <v>107</v>
      </c>
      <c r="I23" s="38"/>
      <c r="J23" s="113" t="s">
        <v>353</v>
      </c>
      <c r="K23" s="113"/>
      <c r="L23" s="114" t="s">
        <v>126</v>
      </c>
      <c r="M23" s="114"/>
      <c r="N23" s="115" t="s">
        <v>126</v>
      </c>
      <c r="O23" s="115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111</v>
      </c>
      <c r="I24" s="39"/>
      <c r="J24" s="118">
        <v>6.46</v>
      </c>
      <c r="K24" s="118"/>
      <c r="L24" s="117">
        <v>4.8099999999999996</v>
      </c>
      <c r="M24" s="117"/>
      <c r="N24" s="119">
        <v>3.77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354</v>
      </c>
      <c r="D25" s="14" t="s">
        <v>33</v>
      </c>
      <c r="E25" s="14" t="s">
        <v>355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46">
        <v>42574</v>
      </c>
      <c r="G26" s="33" t="s">
        <v>33</v>
      </c>
      <c r="H26" s="44" t="s">
        <v>118</v>
      </c>
      <c r="I26" s="47">
        <v>42591</v>
      </c>
      <c r="J26" s="113">
        <v>21</v>
      </c>
      <c r="K26" s="113"/>
      <c r="L26" s="114">
        <v>21</v>
      </c>
      <c r="M26" s="114"/>
      <c r="N26" s="115">
        <v>20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119</v>
      </c>
      <c r="I27" s="38"/>
      <c r="J27" s="113">
        <v>560</v>
      </c>
      <c r="K27" s="113"/>
      <c r="L27" s="114">
        <v>585</v>
      </c>
      <c r="M27" s="114"/>
      <c r="N27" s="115">
        <v>600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47" t="s">
        <v>145</v>
      </c>
      <c r="J28" s="113">
        <v>26</v>
      </c>
      <c r="K28" s="113"/>
      <c r="L28" s="114" t="s">
        <v>356</v>
      </c>
      <c r="M28" s="114"/>
      <c r="N28" s="115">
        <v>25</v>
      </c>
      <c r="O28" s="115"/>
      <c r="P28" s="113" t="s">
        <v>33</v>
      </c>
      <c r="Q28" s="113"/>
    </row>
    <row r="29" spans="1:26" x14ac:dyDescent="0.2">
      <c r="H29" s="28" t="s">
        <v>121</v>
      </c>
      <c r="I29" s="38"/>
      <c r="J29" s="113">
        <v>766</v>
      </c>
      <c r="K29" s="113"/>
      <c r="L29" s="114" t="s">
        <v>357</v>
      </c>
      <c r="M29" s="114"/>
      <c r="N29" s="115">
        <v>826</v>
      </c>
      <c r="O29" s="115"/>
      <c r="P29" s="113" t="s">
        <v>33</v>
      </c>
      <c r="Q29" s="113"/>
    </row>
    <row r="30" spans="1:26" x14ac:dyDescent="0.2">
      <c r="H30" s="44" t="s">
        <v>358</v>
      </c>
      <c r="I30" s="47" t="s">
        <v>145</v>
      </c>
      <c r="J30" s="113">
        <v>31</v>
      </c>
      <c r="K30" s="113"/>
      <c r="L30" s="142"/>
      <c r="M30" s="142"/>
      <c r="N30" s="115">
        <v>30</v>
      </c>
      <c r="O30" s="115"/>
      <c r="P30" s="113" t="s">
        <v>33</v>
      </c>
      <c r="Q30" s="113"/>
    </row>
    <row r="31" spans="1:26" x14ac:dyDescent="0.2">
      <c r="H31" s="28" t="s">
        <v>359</v>
      </c>
      <c r="I31" s="38"/>
      <c r="J31" s="113">
        <v>633</v>
      </c>
      <c r="K31" s="113"/>
      <c r="L31" s="142"/>
      <c r="M31" s="142"/>
      <c r="N31" s="115">
        <v>678</v>
      </c>
      <c r="O31" s="115"/>
      <c r="P31" s="113" t="s">
        <v>33</v>
      </c>
      <c r="Q31" s="113"/>
    </row>
  </sheetData>
  <mergeCells count="144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J30:K30"/>
    <mergeCell ref="L30:M30"/>
    <mergeCell ref="N30:O30"/>
    <mergeCell ref="P30:Q30"/>
    <mergeCell ref="J31:K31"/>
    <mergeCell ref="L31:M31"/>
    <mergeCell ref="N31:O31"/>
    <mergeCell ref="P31:Q31"/>
    <mergeCell ref="J28:K28"/>
    <mergeCell ref="L28:M28"/>
    <mergeCell ref="N28:O28"/>
    <mergeCell ref="P28:Q28"/>
    <mergeCell ref="J29:K29"/>
    <mergeCell ref="L29:M29"/>
    <mergeCell ref="N29:O29"/>
    <mergeCell ref="P29:Q29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9.625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10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59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360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42573</v>
      </c>
      <c r="J8" s="133">
        <v>6</v>
      </c>
      <c r="K8" s="133"/>
      <c r="L8" s="133">
        <v>7</v>
      </c>
      <c r="M8" s="133"/>
      <c r="N8" s="133">
        <v>6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184</v>
      </c>
      <c r="K9" s="130"/>
      <c r="L9" s="114">
        <v>177</v>
      </c>
      <c r="M9" s="114"/>
      <c r="N9" s="114">
        <v>108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42576</v>
      </c>
      <c r="J11" s="133">
        <v>9</v>
      </c>
      <c r="K11" s="133"/>
      <c r="L11" s="133">
        <v>10</v>
      </c>
      <c r="M11" s="133"/>
      <c r="N11" s="133">
        <v>9</v>
      </c>
      <c r="O11" s="133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284</v>
      </c>
      <c r="K12" s="130"/>
      <c r="L12" s="114">
        <v>271</v>
      </c>
      <c r="M12" s="114"/>
      <c r="N12" s="114">
        <v>201</v>
      </c>
      <c r="O12" s="114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361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42567</v>
      </c>
      <c r="D16" s="26">
        <v>42566</v>
      </c>
      <c r="E16" s="26">
        <v>42567</v>
      </c>
      <c r="F16" s="26"/>
      <c r="G16" s="27" t="e">
        <f>{#DIV/0!}</f>
        <v>#DIV/0!</v>
      </c>
      <c r="H16" s="28" t="s">
        <v>74</v>
      </c>
      <c r="I16" s="35">
        <v>42581</v>
      </c>
      <c r="J16" s="120">
        <v>14</v>
      </c>
      <c r="K16" s="120"/>
      <c r="L16" s="120">
        <v>15</v>
      </c>
      <c r="M16" s="120"/>
      <c r="N16" s="121">
        <v>14</v>
      </c>
      <c r="O16" s="121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441</v>
      </c>
      <c r="K17" s="113"/>
      <c r="L17" s="114">
        <v>438</v>
      </c>
      <c r="M17" s="114"/>
      <c r="N17" s="115">
        <v>388</v>
      </c>
      <c r="O17" s="115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18" t="s">
        <v>362</v>
      </c>
      <c r="K18" s="118"/>
      <c r="L18" s="117" t="s">
        <v>126</v>
      </c>
      <c r="M18" s="117"/>
      <c r="N18" s="119" t="s">
        <v>126</v>
      </c>
      <c r="O18" s="119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18">
        <v>1.6</v>
      </c>
      <c r="K19" s="118"/>
      <c r="L19" s="117">
        <v>4.09</v>
      </c>
      <c r="M19" s="117"/>
      <c r="N19" s="119">
        <v>1.8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142</v>
      </c>
      <c r="D20" s="30" t="s">
        <v>270</v>
      </c>
      <c r="E20" s="30" t="s">
        <v>142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116</v>
      </c>
      <c r="F21" s="14" t="s">
        <v>33</v>
      </c>
      <c r="G21" s="14" t="s">
        <v>33</v>
      </c>
      <c r="H21" s="44" t="s">
        <v>80</v>
      </c>
      <c r="I21" s="35">
        <v>42587</v>
      </c>
      <c r="J21" s="120">
        <v>20</v>
      </c>
      <c r="K21" s="120"/>
      <c r="L21" s="120">
        <v>21</v>
      </c>
      <c r="M21" s="120"/>
      <c r="N21" s="121">
        <v>20</v>
      </c>
      <c r="O21" s="121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42591</v>
      </c>
      <c r="D22" s="46">
        <v>42591</v>
      </c>
      <c r="E22" s="46">
        <v>42591</v>
      </c>
      <c r="F22" s="14" t="s">
        <v>33</v>
      </c>
      <c r="G22" s="33" t="s">
        <v>33</v>
      </c>
      <c r="H22" s="28" t="s">
        <v>82</v>
      </c>
      <c r="I22" s="38"/>
      <c r="J22" s="113">
        <v>525</v>
      </c>
      <c r="K22" s="113"/>
      <c r="L22" s="114">
        <v>548</v>
      </c>
      <c r="M22" s="114"/>
      <c r="N22" s="115">
        <v>503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115624021</v>
      </c>
      <c r="D23" s="14">
        <v>115624022</v>
      </c>
      <c r="E23" s="14">
        <v>115624020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363</v>
      </c>
      <c r="D25" s="14" t="s">
        <v>117</v>
      </c>
      <c r="E25" s="14" t="s">
        <v>117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44" t="s">
        <v>118</v>
      </c>
      <c r="I26" s="47">
        <v>42591</v>
      </c>
      <c r="J26" s="113">
        <v>24</v>
      </c>
      <c r="K26" s="113"/>
      <c r="L26" s="114">
        <v>25</v>
      </c>
      <c r="M26" s="114"/>
      <c r="N26" s="115">
        <v>24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119</v>
      </c>
      <c r="I27" s="38"/>
      <c r="J27" s="113">
        <v>730</v>
      </c>
      <c r="K27" s="113"/>
      <c r="L27" s="114">
        <v>594</v>
      </c>
      <c r="M27" s="114"/>
      <c r="N27" s="115">
        <v>601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28" t="s">
        <v>143</v>
      </c>
      <c r="I28" s="38"/>
      <c r="J28" s="113" t="s">
        <v>144</v>
      </c>
      <c r="K28" s="113"/>
      <c r="L28" s="114" t="s">
        <v>144</v>
      </c>
      <c r="M28" s="114"/>
      <c r="N28" s="115" t="s">
        <v>144</v>
      </c>
      <c r="O28" s="115"/>
    </row>
    <row r="29" spans="1:26" x14ac:dyDescent="0.2">
      <c r="H29" s="44" t="s">
        <v>120</v>
      </c>
      <c r="I29" s="47" t="s">
        <v>145</v>
      </c>
      <c r="J29" s="113">
        <v>29</v>
      </c>
      <c r="K29" s="113"/>
      <c r="L29" s="114">
        <v>30</v>
      </c>
      <c r="M29" s="114"/>
      <c r="N29" s="115">
        <v>29</v>
      </c>
      <c r="O29" s="115"/>
      <c r="P29" s="113" t="s">
        <v>33</v>
      </c>
      <c r="Q29" s="113"/>
    </row>
    <row r="30" spans="1:26" x14ac:dyDescent="0.2">
      <c r="H30" s="28" t="s">
        <v>121</v>
      </c>
      <c r="I30" s="38"/>
      <c r="J30" s="113">
        <v>516</v>
      </c>
      <c r="K30" s="113"/>
      <c r="L30" s="114">
        <v>611</v>
      </c>
      <c r="M30" s="114"/>
      <c r="N30" s="115">
        <v>603</v>
      </c>
      <c r="O30" s="115"/>
      <c r="P30" s="113" t="s">
        <v>33</v>
      </c>
      <c r="Q30" s="113"/>
    </row>
  </sheetData>
  <mergeCells count="139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P29:Q29"/>
    <mergeCell ref="J30:K30"/>
    <mergeCell ref="L30:M30"/>
    <mergeCell ref="N30:O30"/>
    <mergeCell ref="P30:Q30"/>
    <mergeCell ref="J28:K28"/>
    <mergeCell ref="L28:M28"/>
    <mergeCell ref="N28:O28"/>
    <mergeCell ref="J29:K29"/>
    <mergeCell ref="L29:M29"/>
    <mergeCell ref="N29:O29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60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364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C1"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61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637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2015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27"/>
      <c r="S15" s="127"/>
      <c r="T15" s="127"/>
      <c r="U15" s="127"/>
      <c r="V15" s="127"/>
      <c r="W15" s="127"/>
      <c r="X15" s="127"/>
      <c r="Y15" s="127"/>
      <c r="Z15" s="127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27"/>
      <c r="S16" s="127"/>
      <c r="T16" s="127"/>
      <c r="U16" s="127"/>
      <c r="V16" s="127"/>
      <c r="W16" s="127"/>
      <c r="X16" s="127"/>
      <c r="Y16" s="127"/>
      <c r="Z16" s="127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27"/>
      <c r="S27" s="127"/>
      <c r="T27" s="127"/>
      <c r="U27" s="127"/>
      <c r="V27" s="127"/>
      <c r="W27" s="127"/>
      <c r="X27" s="127"/>
      <c r="Y27" s="127"/>
      <c r="Z27" s="127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2"/>
  <sheetViews>
    <sheetView zoomScale="80" zoomScaleNormal="80" workbookViewId="0">
      <selection activeCell="N7" sqref="N7:O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9.25" customWidth="1"/>
    <col min="5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63</v>
      </c>
      <c r="G1" s="3" t="s">
        <v>3</v>
      </c>
      <c r="H1" s="2"/>
      <c r="I1" s="129" t="s">
        <v>4</v>
      </c>
      <c r="J1" s="129"/>
      <c r="K1" s="142" t="s">
        <v>663</v>
      </c>
      <c r="L1" s="142"/>
      <c r="M1" s="142"/>
      <c r="N1" s="142"/>
      <c r="O1" s="142"/>
      <c r="P1" s="143" t="s">
        <v>5</v>
      </c>
      <c r="Q1" s="143"/>
      <c r="R1" s="152" t="s">
        <v>90</v>
      </c>
      <c r="S1" s="152"/>
      <c r="T1" s="45" t="s">
        <v>91</v>
      </c>
      <c r="U1" s="5" t="s">
        <v>365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83"/>
      <c r="M3" s="183"/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/>
      <c r="D5" s="14" t="s">
        <v>33</v>
      </c>
      <c r="E5" s="14" t="s">
        <v>33</v>
      </c>
      <c r="F5" s="14" t="s">
        <v>366</v>
      </c>
      <c r="G5" s="14" t="s">
        <v>33</v>
      </c>
      <c r="H5" s="14" t="s">
        <v>94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42525</v>
      </c>
      <c r="D7" s="26">
        <v>42557</v>
      </c>
      <c r="E7" s="26">
        <v>42559</v>
      </c>
      <c r="F7" s="26">
        <v>42561</v>
      </c>
      <c r="G7" s="27" t="e">
        <f>{#DIV/0!}</f>
        <v>#DIV/0!</v>
      </c>
      <c r="H7" s="28" t="s">
        <v>50</v>
      </c>
      <c r="I7" s="29"/>
      <c r="J7" s="137" t="s">
        <v>166</v>
      </c>
      <c r="K7" s="137"/>
      <c r="L7" s="138" t="s">
        <v>167</v>
      </c>
      <c r="M7" s="138"/>
      <c r="N7" s="138" t="s">
        <v>168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>
        <v>0</v>
      </c>
      <c r="I8" s="35">
        <v>42563</v>
      </c>
      <c r="J8" s="133">
        <v>0</v>
      </c>
      <c r="K8" s="133"/>
      <c r="L8" s="133">
        <v>1</v>
      </c>
      <c r="M8" s="133"/>
      <c r="N8" s="133">
        <v>0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33</v>
      </c>
      <c r="K9" s="130"/>
      <c r="L9" s="114">
        <v>38</v>
      </c>
      <c r="M9" s="114"/>
      <c r="N9" s="114">
        <v>33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42507</v>
      </c>
      <c r="J11" s="133">
        <v>5</v>
      </c>
      <c r="K11" s="133"/>
      <c r="L11" s="133">
        <v>6</v>
      </c>
      <c r="M11" s="133"/>
      <c r="N11" s="133">
        <v>5</v>
      </c>
      <c r="O11" s="133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104</v>
      </c>
      <c r="K12" s="130"/>
      <c r="L12" s="114">
        <v>113</v>
      </c>
      <c r="M12" s="114"/>
      <c r="N12" s="114">
        <v>84</v>
      </c>
      <c r="O12" s="114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367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42562</v>
      </c>
      <c r="D16" s="26">
        <v>42563</v>
      </c>
      <c r="E16" s="26">
        <v>42563</v>
      </c>
      <c r="F16" s="26"/>
      <c r="G16" s="27" t="e">
        <f>{#DIV/0!}</f>
        <v>#DIV/0!</v>
      </c>
      <c r="H16" s="28" t="s">
        <v>74</v>
      </c>
      <c r="I16" s="35">
        <v>42573</v>
      </c>
      <c r="J16" s="120">
        <v>10</v>
      </c>
      <c r="K16" s="120"/>
      <c r="L16" s="120">
        <v>11</v>
      </c>
      <c r="M16" s="120"/>
      <c r="N16" s="121">
        <v>10</v>
      </c>
      <c r="O16" s="121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232</v>
      </c>
      <c r="K17" s="113"/>
      <c r="L17" s="114">
        <v>250</v>
      </c>
      <c r="M17" s="114"/>
      <c r="N17" s="115">
        <v>203</v>
      </c>
      <c r="O17" s="115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270</v>
      </c>
      <c r="D20" s="30" t="s">
        <v>270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42578</v>
      </c>
      <c r="J21" s="120">
        <v>15</v>
      </c>
      <c r="K21" s="120"/>
      <c r="L21" s="120">
        <v>16</v>
      </c>
      <c r="M21" s="120"/>
      <c r="N21" s="121">
        <v>15</v>
      </c>
      <c r="O21" s="121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42588</v>
      </c>
      <c r="D22" s="46">
        <v>42588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405</v>
      </c>
      <c r="K22" s="113"/>
      <c r="L22" s="114">
        <v>420</v>
      </c>
      <c r="M22" s="114"/>
      <c r="N22" s="115">
        <v>352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115618938</v>
      </c>
      <c r="D23" s="14">
        <v>115618939</v>
      </c>
      <c r="E23" s="14" t="s">
        <v>33</v>
      </c>
      <c r="F23" s="14" t="s">
        <v>33</v>
      </c>
      <c r="G23" s="33" t="s">
        <v>33</v>
      </c>
      <c r="H23" s="28" t="s">
        <v>107</v>
      </c>
      <c r="I23" s="38"/>
      <c r="J23" s="113" t="s">
        <v>368</v>
      </c>
      <c r="K23" s="113"/>
      <c r="L23" s="114" t="s">
        <v>369</v>
      </c>
      <c r="M23" s="114"/>
      <c r="N23" s="115" t="s">
        <v>370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111</v>
      </c>
      <c r="I24" s="39"/>
      <c r="J24" s="118">
        <v>1.79</v>
      </c>
      <c r="K24" s="118"/>
      <c r="L24" s="117">
        <v>4.4000000000000004</v>
      </c>
      <c r="M24" s="117"/>
      <c r="N24" s="119">
        <v>2.93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94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46"/>
      <c r="E26" s="46">
        <v>42578</v>
      </c>
      <c r="F26" s="14" t="s">
        <v>33</v>
      </c>
      <c r="G26" s="33" t="s">
        <v>33</v>
      </c>
      <c r="H26" s="28" t="s">
        <v>371</v>
      </c>
      <c r="I26" s="47">
        <v>42583</v>
      </c>
      <c r="J26" s="113">
        <v>20</v>
      </c>
      <c r="K26" s="113"/>
      <c r="L26" s="114">
        <v>21</v>
      </c>
      <c r="M26" s="114"/>
      <c r="N26" s="153"/>
      <c r="O26" s="153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372</v>
      </c>
      <c r="I27" s="87"/>
      <c r="J27" s="113">
        <v>532</v>
      </c>
      <c r="K27" s="113"/>
      <c r="L27" s="114">
        <v>526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28" t="s">
        <v>120</v>
      </c>
      <c r="I28" s="88">
        <v>42588</v>
      </c>
      <c r="J28" s="169">
        <v>25</v>
      </c>
      <c r="K28" s="169"/>
      <c r="L28" s="114">
        <v>26</v>
      </c>
      <c r="M28" s="114"/>
      <c r="N28" s="153"/>
      <c r="O28" s="153"/>
      <c r="P28" s="113" t="s">
        <v>33</v>
      </c>
      <c r="Q28" s="113"/>
    </row>
    <row r="29" spans="1:26" x14ac:dyDescent="0.2">
      <c r="H29" s="28" t="s">
        <v>373</v>
      </c>
      <c r="I29" s="89"/>
      <c r="J29" s="169">
        <v>580</v>
      </c>
      <c r="K29" s="169"/>
      <c r="L29" s="114">
        <v>607</v>
      </c>
      <c r="M29" s="114"/>
      <c r="N29" s="115" t="s">
        <v>33</v>
      </c>
      <c r="O29" s="115"/>
      <c r="P29" s="113" t="s">
        <v>33</v>
      </c>
      <c r="Q29" s="113"/>
    </row>
    <row r="30" spans="1:26" x14ac:dyDescent="0.2">
      <c r="H30" s="28" t="s">
        <v>143</v>
      </c>
      <c r="I30" s="38"/>
      <c r="J30" s="113" t="s">
        <v>126</v>
      </c>
      <c r="K30" s="113"/>
      <c r="L30" s="114" t="s">
        <v>126</v>
      </c>
      <c r="M30" s="114"/>
      <c r="N30" s="115" t="s">
        <v>126</v>
      </c>
      <c r="O30" s="115"/>
    </row>
    <row r="31" spans="1:26" x14ac:dyDescent="0.2">
      <c r="H31" s="28" t="s">
        <v>358</v>
      </c>
      <c r="I31" s="88">
        <v>42593</v>
      </c>
      <c r="J31" s="169">
        <v>30</v>
      </c>
      <c r="K31" s="169"/>
      <c r="L31" s="114">
        <v>31</v>
      </c>
      <c r="M31" s="114"/>
    </row>
    <row r="32" spans="1:26" x14ac:dyDescent="0.2">
      <c r="H32" s="28" t="s">
        <v>374</v>
      </c>
      <c r="I32" s="89"/>
      <c r="J32" s="169">
        <v>614</v>
      </c>
      <c r="K32" s="169"/>
      <c r="L32" s="114">
        <v>616</v>
      </c>
      <c r="M32" s="114"/>
    </row>
  </sheetData>
  <mergeCells count="143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P28:Q28"/>
    <mergeCell ref="J29:K29"/>
    <mergeCell ref="L29:M29"/>
    <mergeCell ref="N29:O29"/>
    <mergeCell ref="P29:Q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J30:K30"/>
    <mergeCell ref="L30:M30"/>
    <mergeCell ref="N30:O30"/>
    <mergeCell ref="J31:K31"/>
    <mergeCell ref="L31:M31"/>
    <mergeCell ref="J32:K32"/>
    <mergeCell ref="L32:M32"/>
    <mergeCell ref="J28:K28"/>
    <mergeCell ref="L28:M28"/>
    <mergeCell ref="N28:O28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64</v>
      </c>
      <c r="G1" s="3" t="s">
        <v>3</v>
      </c>
      <c r="H1" s="2"/>
      <c r="I1" s="129" t="s">
        <v>4</v>
      </c>
      <c r="J1" s="129"/>
      <c r="K1" s="151" t="s">
        <v>375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376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377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378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67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379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68</v>
      </c>
      <c r="G1" s="3" t="s">
        <v>3</v>
      </c>
      <c r="H1" s="2"/>
      <c r="I1" s="129" t="s">
        <v>4</v>
      </c>
      <c r="J1" s="129"/>
      <c r="K1" s="151" t="s">
        <v>380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381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628</v>
      </c>
      <c r="K9" s="130"/>
      <c r="L9" s="114">
        <v>903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382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181</v>
      </c>
      <c r="D20" s="30" t="s">
        <v>182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381</v>
      </c>
      <c r="D22" s="14" t="s">
        <v>381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383</v>
      </c>
      <c r="D23" s="14" t="s">
        <v>384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129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69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385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70</v>
      </c>
      <c r="G1" s="3" t="s">
        <v>3</v>
      </c>
      <c r="H1" s="2"/>
      <c r="I1" s="129" t="s">
        <v>4</v>
      </c>
      <c r="J1" s="129"/>
      <c r="K1" s="151" t="s">
        <v>386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387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388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D1"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72</v>
      </c>
      <c r="E1" s="1" t="s">
        <v>2</v>
      </c>
      <c r="F1" s="2">
        <v>72</v>
      </c>
      <c r="G1" s="3" t="s">
        <v>3</v>
      </c>
      <c r="H1" s="2"/>
      <c r="I1" s="129" t="s">
        <v>4</v>
      </c>
      <c r="J1" s="129"/>
      <c r="K1" s="142" t="s">
        <v>664</v>
      </c>
      <c r="L1" s="142"/>
      <c r="M1" s="142"/>
      <c r="N1" s="142"/>
      <c r="O1" s="142"/>
      <c r="P1" s="143" t="s">
        <v>5</v>
      </c>
      <c r="Q1" s="143"/>
      <c r="R1" s="144" t="s">
        <v>148</v>
      </c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389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73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390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J12" sqref="J12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7" customWidth="1"/>
    <col min="5" max="5" width="9.7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2015</v>
      </c>
      <c r="C1" s="1" t="s">
        <v>1</v>
      </c>
      <c r="D1" s="2">
        <v>74</v>
      </c>
      <c r="E1" s="1" t="s">
        <v>2</v>
      </c>
      <c r="F1" s="2">
        <v>74</v>
      </c>
      <c r="G1" s="3" t="s">
        <v>3</v>
      </c>
      <c r="H1" s="2"/>
      <c r="I1" s="129" t="s">
        <v>4</v>
      </c>
      <c r="J1" s="129"/>
      <c r="K1" s="142" t="s">
        <v>665</v>
      </c>
      <c r="L1" s="142"/>
      <c r="M1" s="142"/>
      <c r="N1" s="142"/>
      <c r="O1" s="142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46">
        <v>42522</v>
      </c>
      <c r="C3" s="14" t="s">
        <v>98</v>
      </c>
      <c r="D3" s="14" t="s">
        <v>264</v>
      </c>
      <c r="E3" s="90">
        <v>220612928</v>
      </c>
      <c r="F3" s="91" t="s">
        <v>391</v>
      </c>
      <c r="G3" s="14" t="s">
        <v>96</v>
      </c>
      <c r="H3" s="14" t="s">
        <v>33</v>
      </c>
      <c r="I3" s="14" t="s">
        <v>33</v>
      </c>
      <c r="J3" s="14">
        <v>595</v>
      </c>
      <c r="K3" s="14" t="s">
        <v>392</v>
      </c>
      <c r="L3" s="15" t="s">
        <v>392</v>
      </c>
      <c r="M3" s="15" t="s">
        <v>33</v>
      </c>
      <c r="N3" s="14">
        <v>315</v>
      </c>
      <c r="O3" s="14">
        <v>142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392</v>
      </c>
      <c r="V3" s="14" t="s">
        <v>392</v>
      </c>
      <c r="W3" s="14" t="s">
        <v>392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42159</v>
      </c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80"/>
      <c r="K12" s="180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393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7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1"/>
  <sheetViews>
    <sheetView zoomScale="80" zoomScaleNormal="80" workbookViewId="0">
      <selection activeCell="L3" sqref="L3"/>
    </sheetView>
  </sheetViews>
  <sheetFormatPr defaultRowHeight="14.25" x14ac:dyDescent="0.2"/>
  <cols>
    <col min="1" max="1" width="8.25" customWidth="1"/>
    <col min="2" max="2" width="9" customWidth="1"/>
    <col min="3" max="3" width="8.5" customWidth="1"/>
    <col min="4" max="4" width="8.875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10.12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75</v>
      </c>
      <c r="G1" s="3" t="s">
        <v>3</v>
      </c>
      <c r="H1" s="2"/>
      <c r="I1" s="129" t="s">
        <v>4</v>
      </c>
      <c r="J1" s="129"/>
      <c r="K1" s="142" t="s">
        <v>666</v>
      </c>
      <c r="L1" s="142"/>
      <c r="M1" s="142"/>
      <c r="N1" s="142"/>
      <c r="O1" s="142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/>
      <c r="B3" s="49"/>
      <c r="C3" s="14"/>
      <c r="D3" s="14"/>
      <c r="E3" s="14"/>
      <c r="F3" s="14" t="s">
        <v>394</v>
      </c>
      <c r="G3" s="14" t="s">
        <v>395</v>
      </c>
      <c r="H3" s="14"/>
      <c r="I3" s="14"/>
      <c r="J3" s="14"/>
      <c r="K3" s="14"/>
      <c r="L3" s="183"/>
      <c r="M3" s="15"/>
      <c r="N3" s="14"/>
      <c r="O3" s="14"/>
      <c r="P3" s="16"/>
      <c r="Q3" s="16"/>
      <c r="R3" s="16"/>
      <c r="S3" s="16"/>
      <c r="T3" s="16"/>
      <c r="U3" s="14"/>
      <c r="V3" s="14"/>
      <c r="W3" s="14"/>
      <c r="X3" s="16"/>
      <c r="Y3" s="17"/>
      <c r="Z3" s="17"/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/>
      <c r="B5" s="49">
        <v>42588</v>
      </c>
      <c r="C5" s="14"/>
      <c r="D5" s="14"/>
      <c r="E5" s="14"/>
      <c r="F5" t="s">
        <v>396</v>
      </c>
      <c r="G5" t="s">
        <v>395</v>
      </c>
      <c r="H5" s="14"/>
      <c r="I5" s="19"/>
      <c r="J5" s="19"/>
      <c r="K5" s="19"/>
      <c r="L5" s="20"/>
      <c r="M5" s="20"/>
      <c r="N5" s="19"/>
      <c r="O5" s="19"/>
      <c r="P5" s="21"/>
      <c r="Q5" s="21"/>
      <c r="R5" s="16"/>
      <c r="S5" s="16"/>
      <c r="T5" s="16"/>
      <c r="U5" s="14"/>
      <c r="V5" s="14"/>
      <c r="W5" s="14"/>
      <c r="X5" s="16"/>
      <c r="Y5" s="16"/>
      <c r="Z5" s="16"/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42526</v>
      </c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33">
        <v>4</v>
      </c>
      <c r="K8" s="133"/>
      <c r="L8" s="133">
        <v>4</v>
      </c>
      <c r="M8" s="133"/>
      <c r="N8" s="133">
        <v>3</v>
      </c>
      <c r="O8" s="133"/>
      <c r="P8" s="133">
        <v>0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47">
        <v>42563</v>
      </c>
      <c r="J9" s="130">
        <v>73</v>
      </c>
      <c r="K9" s="130"/>
      <c r="L9" s="114">
        <v>74</v>
      </c>
      <c r="M9" s="114"/>
      <c r="N9" s="114">
        <v>63</v>
      </c>
      <c r="O9" s="114"/>
      <c r="P9" s="113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42568</v>
      </c>
      <c r="J11" s="133">
        <v>9</v>
      </c>
      <c r="K11" s="133"/>
      <c r="L11" s="133">
        <v>9</v>
      </c>
      <c r="M11" s="133"/>
      <c r="N11" s="133">
        <v>8</v>
      </c>
      <c r="O11" s="133"/>
      <c r="P11" s="122">
        <v>5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214</v>
      </c>
      <c r="K12" s="130"/>
      <c r="L12" s="114">
        <v>227</v>
      </c>
      <c r="M12" s="114"/>
      <c r="N12" s="114">
        <v>174</v>
      </c>
      <c r="O12" s="114"/>
      <c r="P12" s="113">
        <v>106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397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42559</v>
      </c>
      <c r="D16" s="26">
        <v>42559</v>
      </c>
      <c r="E16" s="26">
        <v>42560</v>
      </c>
      <c r="F16" s="26">
        <v>42563</v>
      </c>
      <c r="G16" s="27" t="e">
        <f>{#DIV/0!}</f>
        <v>#DIV/0!</v>
      </c>
      <c r="H16" s="28" t="s">
        <v>74</v>
      </c>
      <c r="I16" s="35">
        <v>42573</v>
      </c>
      <c r="J16" s="120">
        <v>14</v>
      </c>
      <c r="K16" s="120"/>
      <c r="L16" s="120">
        <v>14</v>
      </c>
      <c r="M16" s="120"/>
      <c r="N16" s="121">
        <v>13</v>
      </c>
      <c r="O16" s="121"/>
      <c r="P16" s="122">
        <v>10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/>
      <c r="D17" s="42"/>
      <c r="E17" s="42"/>
      <c r="F17" s="42"/>
      <c r="G17" s="43">
        <v>0</v>
      </c>
      <c r="H17" s="28" t="s">
        <v>76</v>
      </c>
      <c r="I17" s="38"/>
      <c r="J17" s="113">
        <v>379</v>
      </c>
      <c r="K17" s="113"/>
      <c r="L17" s="114">
        <v>412</v>
      </c>
      <c r="M17" s="114"/>
      <c r="N17" s="115">
        <v>331</v>
      </c>
      <c r="O17" s="115"/>
      <c r="P17" s="113">
        <v>231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398</v>
      </c>
      <c r="I18" s="39"/>
      <c r="J18" s="118" t="s">
        <v>399</v>
      </c>
      <c r="K18" s="118"/>
      <c r="L18" s="117" t="s">
        <v>400</v>
      </c>
      <c r="M18" s="117"/>
      <c r="N18" s="119" t="s">
        <v>126</v>
      </c>
      <c r="O18" s="119"/>
      <c r="P18" s="118" t="s">
        <v>126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18">
        <v>2.71</v>
      </c>
      <c r="K19" s="118"/>
      <c r="L19" s="117">
        <v>3.5</v>
      </c>
      <c r="M19" s="117"/>
      <c r="N19" s="119">
        <v>2.41</v>
      </c>
      <c r="O19" s="119"/>
      <c r="P19" s="118">
        <v>0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142</v>
      </c>
      <c r="D20" s="30" t="s">
        <v>401</v>
      </c>
      <c r="E20" s="30" t="s">
        <v>142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116</v>
      </c>
      <c r="F21" s="14" t="s">
        <v>33</v>
      </c>
      <c r="G21" s="14" t="s">
        <v>33</v>
      </c>
      <c r="H21" s="44" t="s">
        <v>80</v>
      </c>
      <c r="I21" s="35">
        <v>42578</v>
      </c>
      <c r="J21" s="120">
        <v>19</v>
      </c>
      <c r="K21" s="120"/>
      <c r="L21" s="120">
        <v>19</v>
      </c>
      <c r="M21" s="120"/>
      <c r="N21" s="121">
        <v>18</v>
      </c>
      <c r="O21" s="121"/>
      <c r="P21" s="122">
        <v>15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42583</v>
      </c>
      <c r="D22" s="46">
        <v>42583</v>
      </c>
      <c r="E22" s="46">
        <v>42583</v>
      </c>
      <c r="F22" s="14" t="s">
        <v>33</v>
      </c>
      <c r="G22" s="33" t="s">
        <v>33</v>
      </c>
      <c r="H22" s="28" t="s">
        <v>82</v>
      </c>
      <c r="I22" s="38"/>
      <c r="J22" s="113">
        <v>538</v>
      </c>
      <c r="K22" s="113"/>
      <c r="L22" s="114">
        <v>672</v>
      </c>
      <c r="M22" s="114"/>
      <c r="N22" s="115">
        <v>500</v>
      </c>
      <c r="O22" s="115"/>
      <c r="P22" s="113">
        <v>448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115618935</v>
      </c>
      <c r="D23" s="14">
        <v>194719279</v>
      </c>
      <c r="E23" s="14">
        <v>115618936</v>
      </c>
      <c r="F23" s="14" t="s">
        <v>33</v>
      </c>
      <c r="G23" s="33" t="s">
        <v>33</v>
      </c>
      <c r="H23" s="28" t="s">
        <v>107</v>
      </c>
      <c r="I23" s="38"/>
      <c r="J23" s="113" t="s">
        <v>126</v>
      </c>
      <c r="K23" s="113"/>
      <c r="L23" s="114" t="s">
        <v>126</v>
      </c>
      <c r="M23" s="114"/>
      <c r="N23" s="115" t="s">
        <v>402</v>
      </c>
      <c r="O23" s="115"/>
      <c r="P23" s="113" t="s">
        <v>403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111</v>
      </c>
      <c r="I24" s="39"/>
      <c r="J24" s="118">
        <v>15.49</v>
      </c>
      <c r="K24" s="118"/>
      <c r="L24" s="117">
        <v>12.53</v>
      </c>
      <c r="M24" s="117"/>
      <c r="N24" s="119">
        <v>11.38</v>
      </c>
      <c r="O24" s="119"/>
      <c r="P24" s="118">
        <v>3.05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363</v>
      </c>
      <c r="E25" s="14" t="s">
        <v>117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46">
        <v>42586</v>
      </c>
      <c r="E26" s="14" t="s">
        <v>33</v>
      </c>
      <c r="F26" s="46">
        <v>42586</v>
      </c>
      <c r="G26" s="33" t="s">
        <v>33</v>
      </c>
      <c r="H26" s="28" t="s">
        <v>371</v>
      </c>
      <c r="I26" s="47">
        <v>42583</v>
      </c>
      <c r="J26" s="113">
        <v>24</v>
      </c>
      <c r="K26" s="113"/>
      <c r="L26" s="114">
        <v>24</v>
      </c>
      <c r="M26" s="114"/>
      <c r="N26" s="115">
        <v>23</v>
      </c>
      <c r="O26" s="115"/>
      <c r="P26" s="113">
        <v>20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>
        <v>27</v>
      </c>
      <c r="E27" s="14" t="s">
        <v>33</v>
      </c>
      <c r="F27" s="14" t="s">
        <v>33</v>
      </c>
      <c r="G27" s="33" t="s">
        <v>33</v>
      </c>
      <c r="H27" s="28" t="s">
        <v>372</v>
      </c>
      <c r="I27" s="38"/>
      <c r="J27" s="113">
        <v>584</v>
      </c>
      <c r="K27" s="113"/>
      <c r="L27" s="114">
        <v>680</v>
      </c>
      <c r="M27" s="114"/>
      <c r="N27" s="115">
        <v>508</v>
      </c>
      <c r="O27" s="115"/>
      <c r="P27" s="113">
        <v>470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28" t="s">
        <v>143</v>
      </c>
      <c r="I28" s="87"/>
      <c r="J28" s="171" t="s">
        <v>144</v>
      </c>
      <c r="K28" s="171"/>
      <c r="L28" s="172" t="s">
        <v>126</v>
      </c>
      <c r="M28" s="172"/>
      <c r="N28" s="173" t="s">
        <v>144</v>
      </c>
      <c r="O28" s="173"/>
      <c r="P28" s="171" t="s">
        <v>144</v>
      </c>
      <c r="Q28" s="171"/>
    </row>
    <row r="29" spans="1:26" x14ac:dyDescent="0.2">
      <c r="H29" s="28" t="s">
        <v>404</v>
      </c>
      <c r="I29" s="88">
        <v>42588</v>
      </c>
      <c r="J29" s="113">
        <v>29</v>
      </c>
      <c r="K29" s="113"/>
      <c r="L29" s="114" t="s">
        <v>194</v>
      </c>
      <c r="M29" s="114"/>
      <c r="N29" s="170">
        <v>28</v>
      </c>
      <c r="O29" s="170"/>
      <c r="P29" s="113" t="s">
        <v>194</v>
      </c>
      <c r="Q29" s="113"/>
    </row>
    <row r="30" spans="1:26" x14ac:dyDescent="0.2">
      <c r="H30" s="28" t="s">
        <v>373</v>
      </c>
      <c r="I30" s="89"/>
      <c r="J30" s="113">
        <v>639</v>
      </c>
      <c r="K30" s="113"/>
      <c r="L30" s="114" t="s">
        <v>194</v>
      </c>
      <c r="M30" s="114"/>
      <c r="N30" s="170">
        <v>565</v>
      </c>
      <c r="O30" s="170"/>
      <c r="P30" s="142"/>
      <c r="Q30" s="142"/>
    </row>
    <row r="31" spans="1:26" x14ac:dyDescent="0.2">
      <c r="H31" s="28"/>
    </row>
  </sheetData>
  <mergeCells count="140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J30:K30"/>
    <mergeCell ref="L30:M30"/>
    <mergeCell ref="N30:O30"/>
    <mergeCell ref="P30:Q30"/>
    <mergeCell ref="J28:K28"/>
    <mergeCell ref="L28:M28"/>
    <mergeCell ref="N28:O28"/>
    <mergeCell ref="P28:Q28"/>
    <mergeCell ref="J29:K29"/>
    <mergeCell ref="L29:M29"/>
    <mergeCell ref="N29:O29"/>
    <mergeCell ref="P29:Q29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K1" sqref="K1:O1"/>
    </sheetView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76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42" t="s">
        <v>667</v>
      </c>
      <c r="L1" s="142"/>
      <c r="M1" s="142"/>
      <c r="N1" s="142"/>
      <c r="O1" s="142"/>
      <c r="P1" s="143" t="s">
        <v>5</v>
      </c>
      <c r="Q1" s="143"/>
      <c r="R1" s="144" t="s">
        <v>148</v>
      </c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80"/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42580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671</v>
      </c>
      <c r="K9" s="130"/>
      <c r="L9" s="114">
        <v>665</v>
      </c>
      <c r="M9" s="114"/>
      <c r="N9" s="114">
        <v>767</v>
      </c>
      <c r="O9" s="114"/>
      <c r="P9" s="113">
        <v>892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149</v>
      </c>
      <c r="I10" s="39"/>
      <c r="J10" s="125">
        <v>69.87</v>
      </c>
      <c r="K10" s="125"/>
      <c r="L10" s="117">
        <v>66.319999999999993</v>
      </c>
      <c r="M10" s="117"/>
      <c r="N10" s="117">
        <v>74.73</v>
      </c>
      <c r="O10" s="117"/>
      <c r="P10" s="118">
        <v>72.39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405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98</v>
      </c>
      <c r="D20" s="30" t="s">
        <v>98</v>
      </c>
      <c r="E20" s="30" t="s">
        <v>98</v>
      </c>
      <c r="F20" s="30" t="s">
        <v>406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42580</v>
      </c>
      <c r="D22" s="46">
        <v>42580</v>
      </c>
      <c r="E22" s="46">
        <v>42580</v>
      </c>
      <c r="F22" s="46">
        <v>42580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407</v>
      </c>
      <c r="D23" s="14">
        <v>194719260</v>
      </c>
      <c r="E23" s="14" t="s">
        <v>408</v>
      </c>
      <c r="F23" s="14" t="s">
        <v>409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47"/>
      <c r="K24" s="147"/>
      <c r="L24" s="147"/>
      <c r="M24" s="147"/>
      <c r="N24" s="148"/>
      <c r="O24" s="148"/>
      <c r="P24" s="147"/>
      <c r="Q24" s="147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363</v>
      </c>
      <c r="E25" s="14" t="s">
        <v>129</v>
      </c>
      <c r="F25" s="14" t="s">
        <v>94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2"/>
  <sheetViews>
    <sheetView zoomScale="80" zoomScaleNormal="80"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8.875" customWidth="1"/>
    <col min="5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77</v>
      </c>
      <c r="G1" s="3" t="s">
        <v>3</v>
      </c>
      <c r="H1" s="2"/>
      <c r="I1" s="129" t="s">
        <v>4</v>
      </c>
      <c r="J1" s="129"/>
      <c r="K1" s="142" t="s">
        <v>668</v>
      </c>
      <c r="L1" s="142"/>
      <c r="M1" s="142"/>
      <c r="N1" s="142"/>
      <c r="O1" s="142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/>
      <c r="B3" s="49">
        <v>42588</v>
      </c>
      <c r="C3" s="14"/>
      <c r="D3" s="14"/>
      <c r="E3" s="14"/>
      <c r="F3" s="14" t="s">
        <v>638</v>
      </c>
      <c r="G3" s="14" t="s">
        <v>639</v>
      </c>
      <c r="H3" s="14"/>
      <c r="I3" s="14"/>
      <c r="J3" s="14"/>
      <c r="K3" s="14"/>
      <c r="L3" s="182"/>
      <c r="M3" s="15"/>
      <c r="N3" s="14"/>
      <c r="O3" s="14"/>
      <c r="P3" s="16"/>
      <c r="Q3" s="16"/>
      <c r="R3" s="16"/>
      <c r="S3" s="16"/>
      <c r="T3" s="16"/>
      <c r="U3" s="14"/>
      <c r="V3" s="14"/>
      <c r="W3" s="14"/>
      <c r="X3" s="16"/>
      <c r="Y3" s="17"/>
      <c r="Z3" s="17"/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42527</v>
      </c>
      <c r="D7" s="26">
        <v>42529</v>
      </c>
      <c r="E7" s="26">
        <v>42531</v>
      </c>
      <c r="F7" s="26">
        <v>42533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42563</v>
      </c>
      <c r="J8" s="133">
        <v>0</v>
      </c>
      <c r="K8" s="133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42568</v>
      </c>
      <c r="J11" s="160">
        <v>5</v>
      </c>
      <c r="K11" s="160"/>
      <c r="L11" s="177">
        <v>5</v>
      </c>
      <c r="M11" s="177"/>
      <c r="N11" s="177">
        <v>5</v>
      </c>
      <c r="O11" s="177"/>
      <c r="P11" s="161">
        <v>3</v>
      </c>
      <c r="Q11" s="161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3">
        <v>109</v>
      </c>
      <c r="K12" s="133"/>
      <c r="L12" s="133">
        <v>110</v>
      </c>
      <c r="M12" s="133"/>
      <c r="N12" s="133">
        <v>100</v>
      </c>
      <c r="O12" s="133"/>
      <c r="P12" s="122">
        <v>47</v>
      </c>
      <c r="Q12" s="12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410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42563</v>
      </c>
      <c r="D16" s="26">
        <v>42563</v>
      </c>
      <c r="E16" s="26">
        <v>42563</v>
      </c>
      <c r="F16" s="26">
        <v>42565</v>
      </c>
      <c r="G16" s="27" t="e">
        <f>{#DIV/0!}</f>
        <v>#DIV/0!</v>
      </c>
      <c r="H16" s="28" t="s">
        <v>74</v>
      </c>
      <c r="I16" s="35">
        <v>42573</v>
      </c>
      <c r="J16" s="120">
        <v>10</v>
      </c>
      <c r="K16" s="120"/>
      <c r="L16" s="120">
        <v>10</v>
      </c>
      <c r="M16" s="120"/>
      <c r="N16" s="121">
        <v>10</v>
      </c>
      <c r="O16" s="121"/>
      <c r="P16" s="122">
        <v>8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251</v>
      </c>
      <c r="K17" s="113"/>
      <c r="L17" s="114">
        <v>273</v>
      </c>
      <c r="M17" s="114"/>
      <c r="N17" s="115">
        <v>248</v>
      </c>
      <c r="O17" s="115"/>
      <c r="P17" s="113">
        <v>109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270</v>
      </c>
      <c r="D20" s="30" t="s">
        <v>271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42578</v>
      </c>
      <c r="J21" s="120">
        <v>15</v>
      </c>
      <c r="K21" s="120"/>
      <c r="L21" s="120">
        <v>15</v>
      </c>
      <c r="M21" s="120"/>
      <c r="N21" s="121">
        <v>15</v>
      </c>
      <c r="O21" s="121"/>
      <c r="P21" s="122">
        <v>13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42588</v>
      </c>
      <c r="D22" s="46">
        <v>42588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408</v>
      </c>
      <c r="K22" s="113"/>
      <c r="L22" s="114">
        <v>500</v>
      </c>
      <c r="M22" s="114"/>
      <c r="N22" s="115">
        <v>444</v>
      </c>
      <c r="O22" s="115"/>
      <c r="P22" s="113">
        <v>61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115618937</v>
      </c>
      <c r="D23" s="14">
        <v>194719284</v>
      </c>
      <c r="E23" s="14" t="s">
        <v>33</v>
      </c>
      <c r="F23" s="14" t="s">
        <v>33</v>
      </c>
      <c r="G23" s="33" t="s">
        <v>33</v>
      </c>
      <c r="H23" s="28" t="s">
        <v>107</v>
      </c>
      <c r="I23" s="38"/>
      <c r="J23" s="113" t="s">
        <v>411</v>
      </c>
      <c r="K23" s="113"/>
      <c r="L23" s="114" t="s">
        <v>412</v>
      </c>
      <c r="M23" s="114"/>
      <c r="N23" s="115" t="s">
        <v>403</v>
      </c>
      <c r="O23" s="115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111</v>
      </c>
      <c r="I24" s="39"/>
      <c r="J24" s="118">
        <v>2.27</v>
      </c>
      <c r="K24" s="118"/>
      <c r="L24" s="117">
        <v>2.81</v>
      </c>
      <c r="M24" s="117"/>
      <c r="N24" s="119">
        <v>2.13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94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46">
        <v>42590</v>
      </c>
      <c r="D26" s="14" t="s">
        <v>33</v>
      </c>
      <c r="E26" s="46">
        <v>42585</v>
      </c>
      <c r="F26" s="14" t="s">
        <v>33</v>
      </c>
      <c r="G26" s="33" t="s">
        <v>33</v>
      </c>
      <c r="H26" s="44" t="s">
        <v>118</v>
      </c>
      <c r="I26" s="47">
        <v>42583</v>
      </c>
      <c r="J26" s="113">
        <v>20</v>
      </c>
      <c r="K26" s="113"/>
      <c r="L26" s="114">
        <v>20</v>
      </c>
      <c r="M26" s="114"/>
      <c r="N26" s="115">
        <v>20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>
        <v>22</v>
      </c>
      <c r="F27" s="14" t="s">
        <v>33</v>
      </c>
      <c r="G27" s="33" t="s">
        <v>33</v>
      </c>
      <c r="H27" s="28" t="s">
        <v>119</v>
      </c>
      <c r="I27" s="38"/>
      <c r="J27" s="113">
        <v>474</v>
      </c>
      <c r="K27" s="113"/>
      <c r="L27" s="114">
        <v>558</v>
      </c>
      <c r="M27" s="114"/>
      <c r="N27" s="115">
        <v>502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92">
        <v>42588</v>
      </c>
      <c r="J28" s="174">
        <v>25</v>
      </c>
      <c r="K28" s="174"/>
      <c r="L28" s="175">
        <v>25</v>
      </c>
      <c r="M28" s="175"/>
      <c r="N28" s="176" t="s">
        <v>194</v>
      </c>
      <c r="O28" s="176"/>
      <c r="P28" s="113" t="s">
        <v>33</v>
      </c>
      <c r="Q28" s="113"/>
    </row>
    <row r="29" spans="1:26" x14ac:dyDescent="0.2">
      <c r="H29" s="28" t="s">
        <v>121</v>
      </c>
      <c r="I29" s="93"/>
      <c r="J29" s="174">
        <v>471</v>
      </c>
      <c r="K29" s="174"/>
      <c r="L29" s="175">
        <v>682</v>
      </c>
      <c r="M29" s="175"/>
      <c r="N29" s="176" t="s">
        <v>194</v>
      </c>
      <c r="O29" s="176"/>
      <c r="P29" s="113" t="s">
        <v>33</v>
      </c>
      <c r="Q29" s="113"/>
    </row>
    <row r="30" spans="1:26" x14ac:dyDescent="0.2">
      <c r="H30" s="28" t="s">
        <v>143</v>
      </c>
      <c r="J30" s="113" t="s">
        <v>126</v>
      </c>
      <c r="K30" s="113"/>
      <c r="L30" s="114" t="s">
        <v>126</v>
      </c>
      <c r="M30" s="114"/>
      <c r="N30" s="115" t="s">
        <v>126</v>
      </c>
      <c r="O30" s="115"/>
    </row>
    <row r="31" spans="1:26" x14ac:dyDescent="0.2">
      <c r="H31" s="28" t="s">
        <v>358</v>
      </c>
      <c r="I31" s="88">
        <v>42593</v>
      </c>
      <c r="J31" s="169" t="s">
        <v>194</v>
      </c>
      <c r="K31" s="169"/>
      <c r="L31" s="114">
        <v>30</v>
      </c>
      <c r="M31" s="114"/>
    </row>
    <row r="32" spans="1:26" x14ac:dyDescent="0.2">
      <c r="H32" s="28" t="s">
        <v>374</v>
      </c>
      <c r="I32" s="38"/>
      <c r="J32" s="113" t="s">
        <v>193</v>
      </c>
      <c r="K32" s="113"/>
      <c r="L32" s="114">
        <v>808</v>
      </c>
      <c r="M32" s="114"/>
    </row>
  </sheetData>
  <mergeCells count="143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P28:Q28"/>
    <mergeCell ref="J29:K29"/>
    <mergeCell ref="L29:M29"/>
    <mergeCell ref="N29:O29"/>
    <mergeCell ref="P29:Q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J30:K30"/>
    <mergeCell ref="L30:M30"/>
    <mergeCell ref="N30:O30"/>
    <mergeCell ref="J31:K31"/>
    <mergeCell ref="L31:M31"/>
    <mergeCell ref="J32:K32"/>
    <mergeCell ref="L32:M32"/>
    <mergeCell ref="J28:K28"/>
    <mergeCell ref="L28:M28"/>
    <mergeCell ref="N28:O28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48"/>
  <sheetViews>
    <sheetView zoomScale="80" zoomScaleNormal="80" workbookViewId="0">
      <selection activeCell="L20" sqref="L20:M20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11" customWidth="1"/>
    <col min="5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78</v>
      </c>
      <c r="E1" s="1" t="s">
        <v>2</v>
      </c>
      <c r="F1" s="2">
        <v>78</v>
      </c>
      <c r="G1" s="3" t="s">
        <v>3</v>
      </c>
      <c r="H1" s="2"/>
      <c r="I1" s="129" t="s">
        <v>4</v>
      </c>
      <c r="J1" s="129"/>
      <c r="K1" s="151" t="s">
        <v>413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42567</v>
      </c>
      <c r="J8" s="133">
        <v>5</v>
      </c>
      <c r="K8" s="133"/>
      <c r="L8" s="133">
        <v>5</v>
      </c>
      <c r="M8" s="133"/>
      <c r="N8" s="133">
        <v>5</v>
      </c>
      <c r="O8" s="133"/>
      <c r="P8" s="133">
        <v>3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124</v>
      </c>
      <c r="K9" s="130"/>
      <c r="L9" s="114">
        <v>120</v>
      </c>
      <c r="M9" s="114"/>
      <c r="N9" s="114">
        <v>117</v>
      </c>
      <c r="O9" s="114"/>
      <c r="P9" s="113">
        <v>66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42572</v>
      </c>
      <c r="J11" s="133">
        <v>10</v>
      </c>
      <c r="K11" s="133"/>
      <c r="L11" s="133">
        <v>10</v>
      </c>
      <c r="M11" s="133"/>
      <c r="N11" s="133">
        <v>10</v>
      </c>
      <c r="O11" s="133"/>
      <c r="P11" s="122">
        <v>8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327</v>
      </c>
      <c r="K12" s="130"/>
      <c r="L12" s="114">
        <v>324</v>
      </c>
      <c r="M12" s="114"/>
      <c r="N12" s="114">
        <v>301</v>
      </c>
      <c r="O12" s="114"/>
      <c r="P12" s="113">
        <v>208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414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42562</v>
      </c>
      <c r="D16" s="26">
        <v>42562</v>
      </c>
      <c r="E16" s="26">
        <v>42562</v>
      </c>
      <c r="F16" s="26">
        <v>42564</v>
      </c>
      <c r="G16" s="27" t="e">
        <f>{#DIV/0!}</f>
        <v>#DIV/0!</v>
      </c>
      <c r="H16" s="28" t="s">
        <v>74</v>
      </c>
      <c r="I16" s="35">
        <v>42577</v>
      </c>
      <c r="J16" s="120">
        <v>15</v>
      </c>
      <c r="K16" s="120"/>
      <c r="L16" s="120">
        <v>15</v>
      </c>
      <c r="M16" s="120"/>
      <c r="N16" s="121">
        <v>15</v>
      </c>
      <c r="O16" s="121"/>
      <c r="P16" s="122">
        <v>12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20">
        <v>500</v>
      </c>
      <c r="K17" s="120"/>
      <c r="L17" s="120">
        <v>511</v>
      </c>
      <c r="M17" s="120"/>
      <c r="N17" s="121">
        <v>401</v>
      </c>
      <c r="O17" s="121"/>
      <c r="P17" s="122">
        <v>299</v>
      </c>
      <c r="Q17" s="12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219</v>
      </c>
      <c r="I18" s="39"/>
      <c r="J18" s="118">
        <v>3.33</v>
      </c>
      <c r="K18" s="118"/>
      <c r="L18" s="117">
        <v>3.88</v>
      </c>
      <c r="M18" s="117"/>
      <c r="N18" s="119">
        <v>4.2699999999999996</v>
      </c>
      <c r="O18" s="119"/>
      <c r="P18" s="118">
        <v>0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28" t="s">
        <v>415</v>
      </c>
      <c r="I19" s="39"/>
      <c r="J19" s="118" t="s">
        <v>416</v>
      </c>
      <c r="K19" s="118"/>
      <c r="L19" s="117" t="s">
        <v>126</v>
      </c>
      <c r="M19" s="117"/>
      <c r="N19" s="119" t="s">
        <v>417</v>
      </c>
      <c r="O19" s="119"/>
      <c r="P19" s="118" t="s">
        <v>126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418</v>
      </c>
      <c r="D20" s="30" t="s">
        <v>418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166</v>
      </c>
      <c r="D21" s="14" t="s">
        <v>167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42582</v>
      </c>
      <c r="J21" s="120">
        <v>20</v>
      </c>
      <c r="K21" s="120"/>
      <c r="L21" s="120">
        <v>20</v>
      </c>
      <c r="M21" s="120"/>
      <c r="N21" s="121">
        <v>20</v>
      </c>
      <c r="O21" s="121"/>
      <c r="P21" s="122">
        <v>17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42587</v>
      </c>
      <c r="D22" s="46">
        <v>42587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609</v>
      </c>
      <c r="K22" s="113"/>
      <c r="L22" s="114">
        <v>602</v>
      </c>
      <c r="M22" s="114"/>
      <c r="N22" s="115">
        <v>453</v>
      </c>
      <c r="O22" s="115"/>
      <c r="P22" s="113">
        <v>298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194726224</v>
      </c>
      <c r="D23" s="14">
        <v>194726225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129</v>
      </c>
      <c r="E25" s="14" t="s">
        <v>33</v>
      </c>
      <c r="F25" s="14" t="s">
        <v>33</v>
      </c>
      <c r="G25" s="33" t="s">
        <v>33</v>
      </c>
      <c r="H25" s="44" t="s">
        <v>118</v>
      </c>
      <c r="I25" s="55">
        <v>42587</v>
      </c>
      <c r="J25" s="118">
        <v>25</v>
      </c>
      <c r="K25" s="118"/>
      <c r="L25" s="117">
        <v>25</v>
      </c>
      <c r="M25" s="117"/>
      <c r="N25" s="119" t="s">
        <v>194</v>
      </c>
      <c r="O25" s="119"/>
      <c r="P25" s="118" t="s">
        <v>194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46">
        <v>42583</v>
      </c>
      <c r="F26" s="46">
        <v>42584</v>
      </c>
      <c r="G26" s="33" t="s">
        <v>33</v>
      </c>
      <c r="H26" s="28" t="s">
        <v>119</v>
      </c>
      <c r="I26" s="38"/>
      <c r="J26" s="113">
        <v>641</v>
      </c>
      <c r="K26" s="113"/>
      <c r="L26" s="114">
        <v>702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143</v>
      </c>
      <c r="I27" s="38"/>
      <c r="J27" s="113" t="s">
        <v>416</v>
      </c>
      <c r="K27" s="113"/>
      <c r="L27" s="114" t="s">
        <v>144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55">
        <v>42592</v>
      </c>
      <c r="J28" s="118">
        <v>30</v>
      </c>
      <c r="K28" s="118"/>
      <c r="L28" s="117" t="s">
        <v>194</v>
      </c>
      <c r="M28" s="117"/>
      <c r="N28" s="148"/>
      <c r="O28" s="148"/>
      <c r="P28" s="147"/>
      <c r="Q28" s="147"/>
    </row>
    <row r="29" spans="1:26" x14ac:dyDescent="0.2">
      <c r="H29" s="28" t="s">
        <v>121</v>
      </c>
      <c r="I29" s="38"/>
      <c r="J29" s="113">
        <v>810</v>
      </c>
      <c r="K29" s="113"/>
      <c r="L29" s="142"/>
      <c r="M29" s="142"/>
      <c r="N29" s="153"/>
      <c r="O29" s="153"/>
      <c r="P29" s="142"/>
      <c r="Q29" s="142"/>
    </row>
    <row r="48" spans="5:5" x14ac:dyDescent="0.2">
      <c r="E48" s="94">
        <v>892015</v>
      </c>
    </row>
  </sheetData>
  <mergeCells count="136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P28:Q28"/>
    <mergeCell ref="J29:K29"/>
    <mergeCell ref="L29:M29"/>
    <mergeCell ref="N29:O29"/>
    <mergeCell ref="P29:Q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79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419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7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80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46">
        <v>42515</v>
      </c>
      <c r="C3" s="14" t="s">
        <v>98</v>
      </c>
      <c r="D3" s="14" t="s">
        <v>129</v>
      </c>
      <c r="E3" s="14">
        <v>115619000</v>
      </c>
      <c r="F3" s="14" t="s">
        <v>420</v>
      </c>
      <c r="G3" s="14" t="s">
        <v>96</v>
      </c>
      <c r="H3" s="14" t="s">
        <v>33</v>
      </c>
      <c r="I3" s="14" t="s">
        <v>33</v>
      </c>
      <c r="J3" s="14">
        <v>680</v>
      </c>
      <c r="K3" s="14">
        <v>4</v>
      </c>
      <c r="L3" s="15">
        <v>54.17</v>
      </c>
      <c r="M3" s="15" t="s">
        <v>33</v>
      </c>
      <c r="N3" s="14">
        <v>314</v>
      </c>
      <c r="O3" s="14">
        <v>139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97</v>
      </c>
      <c r="V3" s="14" t="s">
        <v>98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421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640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82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422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2015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423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84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424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N8" sqref="N8:O8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7.7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85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425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153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f>C16-33</f>
        <v>42528</v>
      </c>
      <c r="D7" s="26">
        <f>D16-33</f>
        <v>42528</v>
      </c>
      <c r="E7" s="26">
        <f>E16-33</f>
        <v>42528</v>
      </c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42563</v>
      </c>
      <c r="J8" s="133">
        <v>2</v>
      </c>
      <c r="K8" s="133"/>
      <c r="L8" s="133">
        <v>2</v>
      </c>
      <c r="M8" s="133"/>
      <c r="N8" s="142" t="s">
        <v>641</v>
      </c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47</v>
      </c>
      <c r="K9" s="130"/>
      <c r="L9" s="114">
        <v>42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42568</v>
      </c>
      <c r="J11" s="133">
        <v>7</v>
      </c>
      <c r="K11" s="133"/>
      <c r="L11" s="133">
        <v>7</v>
      </c>
      <c r="M11" s="133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160</v>
      </c>
      <c r="K12" s="130"/>
      <c r="L12" s="114">
        <v>130</v>
      </c>
      <c r="M12" s="114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426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42561</v>
      </c>
      <c r="D16" s="26">
        <v>42561</v>
      </c>
      <c r="E16" s="26">
        <v>42561</v>
      </c>
      <c r="F16" s="26"/>
      <c r="G16" s="27" t="e">
        <f>{#DIV/0!}</f>
        <v>#DIV/0!</v>
      </c>
      <c r="H16" s="28" t="s">
        <v>74</v>
      </c>
      <c r="I16" s="35">
        <v>42573</v>
      </c>
      <c r="J16" s="120">
        <v>12</v>
      </c>
      <c r="K16" s="120"/>
      <c r="L16" s="120">
        <v>12</v>
      </c>
      <c r="M16" s="120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323</v>
      </c>
      <c r="K17" s="113"/>
      <c r="L17" s="114">
        <v>256</v>
      </c>
      <c r="M17" s="114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42578</v>
      </c>
      <c r="J21" s="120">
        <v>17</v>
      </c>
      <c r="K21" s="120"/>
      <c r="L21" s="120">
        <v>17</v>
      </c>
      <c r="M21" s="120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513</v>
      </c>
      <c r="K22" s="113"/>
      <c r="L22" s="114">
        <v>442</v>
      </c>
      <c r="M22" s="114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289</v>
      </c>
      <c r="I23" s="38"/>
      <c r="J23" s="113" t="s">
        <v>427</v>
      </c>
      <c r="K23" s="113"/>
      <c r="L23" s="114" t="s">
        <v>428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111</v>
      </c>
      <c r="I24" s="39"/>
      <c r="J24" s="118">
        <v>4.3</v>
      </c>
      <c r="K24" s="118"/>
      <c r="L24" s="117">
        <v>4.83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46">
        <v>42583</v>
      </c>
      <c r="D26" s="46">
        <v>42583</v>
      </c>
      <c r="E26" s="46">
        <v>42563</v>
      </c>
      <c r="F26" s="14" t="s">
        <v>33</v>
      </c>
      <c r="G26" s="33" t="s">
        <v>33</v>
      </c>
      <c r="H26" s="28" t="s">
        <v>86</v>
      </c>
      <c r="I26" s="47">
        <v>42552</v>
      </c>
      <c r="J26" s="113" t="s">
        <v>193</v>
      </c>
      <c r="K26" s="113"/>
      <c r="L26" s="114" t="s">
        <v>193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>
        <v>2</v>
      </c>
      <c r="F27" s="14" t="s">
        <v>33</v>
      </c>
      <c r="G27" s="33" t="s">
        <v>33</v>
      </c>
      <c r="H27" s="28" t="s">
        <v>88</v>
      </c>
      <c r="I27" s="38"/>
      <c r="J27" s="113" t="s">
        <v>194</v>
      </c>
      <c r="K27" s="113"/>
      <c r="L27" s="114" t="s">
        <v>194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D1" workbookViewId="0">
      <selection activeCell="M3" sqref="M3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86</v>
      </c>
      <c r="G1" s="3" t="s">
        <v>3</v>
      </c>
      <c r="H1" s="2"/>
      <c r="I1" s="129" t="s">
        <v>4</v>
      </c>
      <c r="J1" s="129"/>
      <c r="K1" s="142" t="s">
        <v>669</v>
      </c>
      <c r="L1" s="142"/>
      <c r="M1" s="142"/>
      <c r="N1" s="142"/>
      <c r="O1" s="142"/>
      <c r="P1" s="143" t="s">
        <v>5</v>
      </c>
      <c r="Q1" s="143"/>
      <c r="R1" s="144" t="s">
        <v>148</v>
      </c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80"/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429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B1"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87</v>
      </c>
      <c r="G1" s="3" t="s">
        <v>3</v>
      </c>
      <c r="H1" s="2"/>
      <c r="I1" s="129" t="s">
        <v>4</v>
      </c>
      <c r="J1" s="129"/>
      <c r="K1" s="142" t="s">
        <v>670</v>
      </c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82"/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430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"/>
  <sheetViews>
    <sheetView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3" x14ac:dyDescent="0.2">
      <c r="A1" s="1" t="s">
        <v>0</v>
      </c>
      <c r="B1" s="2">
        <v>2016</v>
      </c>
      <c r="C1" s="1" t="s">
        <v>1</v>
      </c>
      <c r="D1" s="2">
        <v>88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42" t="s">
        <v>671</v>
      </c>
      <c r="L1" s="142"/>
      <c r="M1" s="142"/>
      <c r="N1" s="142"/>
      <c r="O1" s="142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3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3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80"/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3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  <c r="AE4" s="51" t="s">
        <v>431</v>
      </c>
      <c r="AF4" s="51" t="s">
        <v>432</v>
      </c>
      <c r="AG4" s="51" t="s">
        <v>433</v>
      </c>
    </row>
    <row r="5" spans="1:33" x14ac:dyDescent="0.2">
      <c r="A5" s="14"/>
      <c r="B5" s="49">
        <v>42589</v>
      </c>
      <c r="C5" s="14"/>
      <c r="D5" s="14"/>
      <c r="E5" s="14"/>
      <c r="F5" s="14" t="s">
        <v>643</v>
      </c>
      <c r="G5" s="14" t="s">
        <v>644</v>
      </c>
      <c r="H5" s="14" t="s">
        <v>645</v>
      </c>
      <c r="I5" s="19"/>
      <c r="J5" s="19"/>
      <c r="K5" s="19"/>
      <c r="L5" s="20"/>
      <c r="M5" s="20"/>
      <c r="N5" s="19"/>
      <c r="O5" s="19"/>
      <c r="P5" s="21"/>
      <c r="Q5" s="21"/>
      <c r="R5" s="16"/>
      <c r="S5" s="16"/>
      <c r="T5" s="16"/>
      <c r="U5" s="14"/>
      <c r="V5" s="14"/>
      <c r="W5" s="50"/>
      <c r="X5" s="16"/>
      <c r="Y5" s="16"/>
      <c r="Z5" s="16"/>
      <c r="AA5" s="7"/>
      <c r="AB5" s="7"/>
      <c r="AC5" s="7"/>
      <c r="AD5" s="7"/>
      <c r="AF5" s="53"/>
    </row>
    <row r="6" spans="1:33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3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3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306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3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604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3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3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3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3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3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3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646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3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181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306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434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9"/>
  <sheetViews>
    <sheetView zoomScale="80" zoomScaleNormal="80"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7" customWidth="1"/>
    <col min="5" max="5" width="8.1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3" x14ac:dyDescent="0.2">
      <c r="A1" s="1" t="s">
        <v>0</v>
      </c>
      <c r="B1" s="2">
        <v>2016</v>
      </c>
      <c r="C1" s="1" t="s">
        <v>1</v>
      </c>
      <c r="D1" s="2">
        <v>89</v>
      </c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435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3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  <c r="AE2" s="51" t="s">
        <v>431</v>
      </c>
      <c r="AF2" s="51" t="s">
        <v>432</v>
      </c>
      <c r="AG2" s="51" t="s">
        <v>433</v>
      </c>
    </row>
    <row r="3" spans="1:33" x14ac:dyDescent="0.2">
      <c r="A3" s="14"/>
      <c r="B3" s="49"/>
      <c r="C3" s="14"/>
      <c r="D3" s="14"/>
      <c r="E3" s="14"/>
      <c r="F3" s="14"/>
      <c r="G3" s="14"/>
      <c r="H3" s="14"/>
      <c r="I3" s="14"/>
      <c r="J3" s="14"/>
      <c r="K3" s="14"/>
      <c r="L3" s="15"/>
      <c r="M3" s="15"/>
      <c r="N3" s="14"/>
      <c r="O3" s="14"/>
      <c r="P3" s="16"/>
      <c r="Q3" s="16"/>
      <c r="R3" s="16"/>
      <c r="S3" s="16"/>
      <c r="T3" s="16"/>
      <c r="U3" s="14"/>
      <c r="V3" s="14"/>
      <c r="W3" s="14"/>
      <c r="X3" s="16"/>
      <c r="Y3" s="17"/>
      <c r="Z3" s="17"/>
      <c r="AA3" s="7"/>
      <c r="AB3" s="7"/>
      <c r="AC3" s="7"/>
      <c r="AD3" s="7"/>
      <c r="AF3" s="53"/>
    </row>
    <row r="4" spans="1:33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3" x14ac:dyDescent="0.2">
      <c r="A5" s="14" t="s">
        <v>33</v>
      </c>
      <c r="B5" s="46">
        <v>42511</v>
      </c>
      <c r="C5" s="14" t="s">
        <v>243</v>
      </c>
      <c r="D5" s="14" t="s">
        <v>264</v>
      </c>
      <c r="E5" s="14">
        <v>185713232</v>
      </c>
      <c r="F5" s="14" t="s">
        <v>436</v>
      </c>
      <c r="G5" s="14" t="s">
        <v>96</v>
      </c>
      <c r="H5" s="14" t="s">
        <v>33</v>
      </c>
      <c r="I5" s="19" t="s">
        <v>33</v>
      </c>
      <c r="J5" s="19">
        <v>1040</v>
      </c>
      <c r="K5" s="19">
        <v>4</v>
      </c>
      <c r="L5" s="20">
        <v>56.1</v>
      </c>
      <c r="M5" s="20" t="s">
        <v>33</v>
      </c>
      <c r="N5" s="19">
        <v>362</v>
      </c>
      <c r="O5" s="19">
        <v>171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97</v>
      </c>
      <c r="V5" s="14" t="s">
        <v>437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3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3" x14ac:dyDescent="0.2">
      <c r="A7" s="25" t="s">
        <v>49</v>
      </c>
      <c r="B7" s="16"/>
      <c r="C7" s="26">
        <v>42533</v>
      </c>
      <c r="D7" s="26">
        <f>C7+2</f>
        <v>42535</v>
      </c>
      <c r="E7" s="26">
        <v>42537</v>
      </c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3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42573</v>
      </c>
      <c r="J8" s="133">
        <v>5</v>
      </c>
      <c r="K8" s="133"/>
      <c r="L8" s="133">
        <v>4</v>
      </c>
      <c r="M8" s="133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3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90</v>
      </c>
      <c r="K9" s="130"/>
      <c r="L9" s="114">
        <v>64</v>
      </c>
      <c r="M9" s="114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3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3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42578</v>
      </c>
      <c r="J11" s="133">
        <v>10</v>
      </c>
      <c r="K11" s="133"/>
      <c r="L11" s="133">
        <v>9</v>
      </c>
      <c r="M11" s="133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3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248</v>
      </c>
      <c r="K12" s="130"/>
      <c r="L12" s="114">
        <v>186</v>
      </c>
      <c r="M12" s="114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3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3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3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438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3" x14ac:dyDescent="0.2">
      <c r="A16" s="41" t="s">
        <v>73</v>
      </c>
      <c r="B16" s="16"/>
      <c r="C16" s="26">
        <v>42568</v>
      </c>
      <c r="D16" s="26">
        <v>42569</v>
      </c>
      <c r="E16" s="26"/>
      <c r="F16" s="26"/>
      <c r="G16" s="27" t="e">
        <f>{#DIV/0!}</f>
        <v>#DIV/0!</v>
      </c>
      <c r="H16" s="28" t="s">
        <v>74</v>
      </c>
      <c r="I16" s="35">
        <v>42583</v>
      </c>
      <c r="J16" s="120">
        <v>15</v>
      </c>
      <c r="K16" s="120"/>
      <c r="L16" s="120">
        <v>14</v>
      </c>
      <c r="M16" s="120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392</v>
      </c>
      <c r="K17" s="113"/>
      <c r="L17" s="114" t="s">
        <v>392</v>
      </c>
      <c r="M17" s="114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18" t="s">
        <v>439</v>
      </c>
      <c r="K18" s="118"/>
      <c r="L18" s="117" t="s">
        <v>392</v>
      </c>
      <c r="M18" s="11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440</v>
      </c>
      <c r="I19" s="39"/>
      <c r="J19" s="118">
        <v>0</v>
      </c>
      <c r="K19" s="118"/>
      <c r="L19" s="117">
        <v>2.5099999999999998</v>
      </c>
      <c r="M19" s="11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271</v>
      </c>
      <c r="D20" s="30" t="s">
        <v>142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42588</v>
      </c>
      <c r="J21" s="120">
        <v>20</v>
      </c>
      <c r="K21" s="120"/>
      <c r="L21" s="120">
        <v>19</v>
      </c>
      <c r="M21" s="120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42593</v>
      </c>
      <c r="D22" s="46">
        <v>42593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683</v>
      </c>
      <c r="K22" s="113"/>
      <c r="L22" s="114">
        <v>503</v>
      </c>
      <c r="M22" s="114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194726235</v>
      </c>
      <c r="D23" s="14">
        <v>115624024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129</v>
      </c>
      <c r="E25" s="14" t="s">
        <v>33</v>
      </c>
      <c r="F25" s="14" t="s">
        <v>33</v>
      </c>
      <c r="G25" s="33" t="s">
        <v>33</v>
      </c>
      <c r="H25" s="44" t="s">
        <v>118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119</v>
      </c>
      <c r="I26" s="47">
        <v>42593</v>
      </c>
      <c r="J26" s="113">
        <v>25</v>
      </c>
      <c r="K26" s="113"/>
      <c r="L26" s="114">
        <v>24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143</v>
      </c>
      <c r="I27" s="38"/>
      <c r="J27" s="113">
        <v>785</v>
      </c>
      <c r="K27" s="113"/>
      <c r="L27" s="114">
        <v>621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35" t="s">
        <v>306</v>
      </c>
      <c r="J28" s="120">
        <v>30</v>
      </c>
      <c r="K28" s="120"/>
      <c r="L28" s="120">
        <v>29</v>
      </c>
      <c r="M28" s="120"/>
      <c r="N28" s="153"/>
      <c r="O28" s="153"/>
      <c r="P28" s="142"/>
      <c r="Q28" s="142"/>
    </row>
    <row r="29" spans="1:26" x14ac:dyDescent="0.2">
      <c r="H29" s="28" t="s">
        <v>121</v>
      </c>
      <c r="I29" s="38"/>
      <c r="J29" s="113">
        <v>795</v>
      </c>
      <c r="K29" s="113"/>
      <c r="L29" s="114">
        <v>600</v>
      </c>
      <c r="M29" s="114"/>
      <c r="N29" s="153"/>
      <c r="O29" s="153"/>
      <c r="P29" s="142"/>
      <c r="Q29" s="142"/>
    </row>
  </sheetData>
  <mergeCells count="136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P28:Q28"/>
    <mergeCell ref="J29:K29"/>
    <mergeCell ref="L29:M29"/>
    <mergeCell ref="N29:O29"/>
    <mergeCell ref="P29:Q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90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441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91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442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443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93</v>
      </c>
      <c r="G1" s="3" t="s">
        <v>3</v>
      </c>
      <c r="H1" s="2"/>
      <c r="I1" s="129" t="s">
        <v>4</v>
      </c>
      <c r="J1" s="129"/>
      <c r="K1" s="151" t="s">
        <v>444</v>
      </c>
      <c r="L1" s="151"/>
      <c r="M1" s="151"/>
      <c r="N1" s="151"/>
      <c r="O1" s="151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381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900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445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182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381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446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94</v>
      </c>
      <c r="G1" s="3" t="s">
        <v>3</v>
      </c>
      <c r="H1" s="2"/>
      <c r="I1" s="129" t="s">
        <v>4</v>
      </c>
      <c r="J1" s="129"/>
      <c r="K1" s="151" t="s">
        <v>447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448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L12" sqref="L12:M12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95</v>
      </c>
      <c r="E1" s="1" t="s">
        <v>2</v>
      </c>
      <c r="F1" s="2">
        <v>95</v>
      </c>
      <c r="G1" s="3" t="s">
        <v>3</v>
      </c>
      <c r="H1" s="2"/>
      <c r="I1" s="129" t="s">
        <v>4</v>
      </c>
      <c r="J1" s="129"/>
      <c r="K1" s="142" t="s">
        <v>672</v>
      </c>
      <c r="L1" s="142"/>
      <c r="M1" s="142"/>
      <c r="N1" s="142"/>
      <c r="O1" s="142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103</v>
      </c>
      <c r="M7" s="138"/>
      <c r="N7" s="138" t="s">
        <v>102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42571</v>
      </c>
      <c r="J8" s="133">
        <v>264</v>
      </c>
      <c r="K8" s="133"/>
      <c r="L8" s="133">
        <v>298</v>
      </c>
      <c r="M8" s="133"/>
      <c r="N8" s="133">
        <v>305</v>
      </c>
      <c r="O8" s="133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42"/>
      <c r="K9" s="142"/>
      <c r="L9" s="142"/>
      <c r="M9" s="142"/>
      <c r="N9" s="142"/>
      <c r="O9" s="142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449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96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450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2"/>
  <sheetViews>
    <sheetView zoomScale="80" zoomScaleNormal="80" workbookViewId="0">
      <selection activeCell="N31" sqref="N31:O3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10.37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97</v>
      </c>
      <c r="E1" s="1" t="s">
        <v>2</v>
      </c>
      <c r="F1" s="2">
        <v>97</v>
      </c>
      <c r="G1" s="3" t="s">
        <v>3</v>
      </c>
      <c r="H1" s="2"/>
      <c r="I1" s="129" t="s">
        <v>4</v>
      </c>
      <c r="J1" s="129"/>
      <c r="K1" s="151" t="s">
        <v>451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365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42531</v>
      </c>
      <c r="D7" s="26">
        <v>42533</v>
      </c>
      <c r="E7" s="26">
        <v>42535</v>
      </c>
      <c r="F7" s="26">
        <v>42537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42569</v>
      </c>
      <c r="J8" s="133">
        <v>2</v>
      </c>
      <c r="K8" s="133"/>
      <c r="L8" s="133">
        <v>2</v>
      </c>
      <c r="M8" s="133"/>
      <c r="N8" s="133">
        <v>1</v>
      </c>
      <c r="O8" s="133"/>
      <c r="P8" s="133" t="s">
        <v>452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68</v>
      </c>
      <c r="K9" s="130"/>
      <c r="L9" s="114">
        <v>60</v>
      </c>
      <c r="M9" s="114"/>
      <c r="N9" s="114">
        <v>40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42574</v>
      </c>
      <c r="J11" s="133">
        <v>7</v>
      </c>
      <c r="K11" s="133"/>
      <c r="L11" s="133">
        <v>7</v>
      </c>
      <c r="M11" s="133"/>
      <c r="N11" s="133">
        <v>6</v>
      </c>
      <c r="O11" s="133"/>
      <c r="P11" s="122">
        <v>4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194</v>
      </c>
      <c r="K12" s="130"/>
      <c r="L12" s="114">
        <v>174</v>
      </c>
      <c r="M12" s="114"/>
      <c r="N12" s="114">
        <v>126</v>
      </c>
      <c r="O12" s="114"/>
      <c r="P12" s="113">
        <v>58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642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42567</v>
      </c>
      <c r="D16" s="26">
        <v>42567</v>
      </c>
      <c r="E16" s="26">
        <v>42568</v>
      </c>
      <c r="F16" s="26">
        <v>42570</v>
      </c>
      <c r="G16" s="27" t="e">
        <f>{#DIV/0!}</f>
        <v>#DIV/0!</v>
      </c>
      <c r="H16" s="28" t="s">
        <v>74</v>
      </c>
      <c r="I16" s="35">
        <v>42579</v>
      </c>
      <c r="J16" s="120">
        <v>12</v>
      </c>
      <c r="K16" s="120"/>
      <c r="L16" s="120">
        <v>12</v>
      </c>
      <c r="M16" s="120"/>
      <c r="N16" s="121">
        <v>11</v>
      </c>
      <c r="O16" s="121"/>
      <c r="P16" s="122">
        <v>9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457</v>
      </c>
      <c r="K17" s="113"/>
      <c r="L17" s="114">
        <v>375</v>
      </c>
      <c r="M17" s="114"/>
      <c r="N17" s="115">
        <v>280</v>
      </c>
      <c r="O17" s="115"/>
      <c r="P17" s="113">
        <v>131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141</v>
      </c>
      <c r="D20" s="30" t="s">
        <v>195</v>
      </c>
      <c r="E20" s="30" t="s">
        <v>270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349</v>
      </c>
      <c r="D21" s="14" t="s">
        <v>350</v>
      </c>
      <c r="E21" s="14" t="s">
        <v>351</v>
      </c>
      <c r="F21" s="14" t="s">
        <v>196</v>
      </c>
      <c r="G21" s="14" t="s">
        <v>33</v>
      </c>
      <c r="H21" s="44" t="s">
        <v>80</v>
      </c>
      <c r="I21" s="35">
        <v>42585</v>
      </c>
      <c r="J21" s="120">
        <v>17</v>
      </c>
      <c r="K21" s="120"/>
      <c r="L21" s="120">
        <v>17</v>
      </c>
      <c r="M21" s="120"/>
      <c r="N21" s="121">
        <v>16</v>
      </c>
      <c r="O21" s="121"/>
      <c r="P21" s="122">
        <v>14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197</v>
      </c>
      <c r="D22" s="14" t="s">
        <v>197</v>
      </c>
      <c r="E22" s="14" t="s">
        <v>197</v>
      </c>
      <c r="F22" s="14" t="s">
        <v>33</v>
      </c>
      <c r="G22" s="33" t="s">
        <v>33</v>
      </c>
      <c r="H22" s="28" t="s">
        <v>82</v>
      </c>
      <c r="I22" s="38"/>
      <c r="J22" s="113" t="s">
        <v>392</v>
      </c>
      <c r="K22" s="113"/>
      <c r="L22" s="113" t="s">
        <v>392</v>
      </c>
      <c r="M22" s="113"/>
      <c r="N22" s="113" t="s">
        <v>392</v>
      </c>
      <c r="O22" s="113"/>
      <c r="P22" s="113" t="s">
        <v>392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194726221</v>
      </c>
      <c r="D23" s="14">
        <v>115618949</v>
      </c>
      <c r="E23" s="14">
        <v>115618950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46">
        <v>42585</v>
      </c>
      <c r="G26" s="33" t="s">
        <v>33</v>
      </c>
      <c r="H26" s="44" t="s">
        <v>118</v>
      </c>
      <c r="I26" s="47">
        <v>42589</v>
      </c>
      <c r="J26" s="113">
        <v>21</v>
      </c>
      <c r="K26" s="113"/>
      <c r="L26" s="114">
        <v>21</v>
      </c>
      <c r="M26" s="114"/>
      <c r="N26" s="115">
        <v>20</v>
      </c>
      <c r="O26" s="115"/>
      <c r="P26" s="113" t="s">
        <v>194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119</v>
      </c>
      <c r="I27" s="38"/>
      <c r="J27" s="113">
        <v>790</v>
      </c>
      <c r="K27" s="113"/>
      <c r="L27" s="114">
        <v>560</v>
      </c>
      <c r="M27" s="114"/>
      <c r="N27" s="115">
        <v>553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8" t="s">
        <v>111</v>
      </c>
      <c r="J28" s="113">
        <v>10.96</v>
      </c>
      <c r="K28" s="113"/>
      <c r="L28" s="114">
        <v>11.41</v>
      </c>
      <c r="M28" s="114"/>
      <c r="N28" s="115">
        <v>8.74</v>
      </c>
      <c r="O28" s="115"/>
      <c r="P28" s="113" t="s">
        <v>33</v>
      </c>
      <c r="Q28" s="113"/>
    </row>
    <row r="29" spans="1:26" x14ac:dyDescent="0.2">
      <c r="H29" s="44" t="s">
        <v>120</v>
      </c>
      <c r="I29" s="47" t="s">
        <v>197</v>
      </c>
      <c r="J29" s="113">
        <v>26</v>
      </c>
      <c r="K29" s="113"/>
      <c r="L29" s="114">
        <v>26</v>
      </c>
      <c r="M29" s="114"/>
      <c r="N29" s="115">
        <v>25</v>
      </c>
      <c r="O29" s="115"/>
    </row>
    <row r="30" spans="1:26" x14ac:dyDescent="0.2">
      <c r="H30" s="28" t="s">
        <v>121</v>
      </c>
      <c r="I30" s="38"/>
      <c r="J30" s="113">
        <v>897</v>
      </c>
      <c r="K30" s="113"/>
      <c r="L30" s="114">
        <v>591</v>
      </c>
      <c r="M30" s="114"/>
      <c r="N30" s="115">
        <v>574</v>
      </c>
      <c r="O30" s="115"/>
    </row>
    <row r="31" spans="1:26" x14ac:dyDescent="0.2">
      <c r="H31" s="44" t="s">
        <v>358</v>
      </c>
      <c r="I31" s="47" t="s">
        <v>199</v>
      </c>
      <c r="J31" s="113">
        <v>31</v>
      </c>
      <c r="K31" s="113"/>
      <c r="L31" s="114">
        <v>31</v>
      </c>
      <c r="M31" s="114"/>
      <c r="N31" s="115">
        <v>30</v>
      </c>
      <c r="O31" s="115"/>
    </row>
    <row r="32" spans="1:26" x14ac:dyDescent="0.2">
      <c r="H32" s="28" t="s">
        <v>359</v>
      </c>
      <c r="I32" s="38"/>
      <c r="J32" s="113">
        <v>843</v>
      </c>
      <c r="K32" s="113"/>
      <c r="L32" s="114">
        <v>603</v>
      </c>
      <c r="M32" s="114"/>
      <c r="N32" s="115">
        <v>600</v>
      </c>
      <c r="O32" s="115"/>
    </row>
  </sheetData>
  <mergeCells count="144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P28:Q28"/>
    <mergeCell ref="J29:K29"/>
    <mergeCell ref="L29:M29"/>
    <mergeCell ref="N29:O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J32:K32"/>
    <mergeCell ref="L32:M32"/>
    <mergeCell ref="N32:O32"/>
    <mergeCell ref="J30:K30"/>
    <mergeCell ref="L30:M30"/>
    <mergeCell ref="N30:O30"/>
    <mergeCell ref="J31:K31"/>
    <mergeCell ref="L31:M31"/>
    <mergeCell ref="N31:O31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I11" sqref="I11:Q22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98</v>
      </c>
      <c r="E1" s="1" t="s">
        <v>2</v>
      </c>
      <c r="F1" s="2">
        <v>98</v>
      </c>
      <c r="G1" s="3" t="s">
        <v>3</v>
      </c>
      <c r="H1" s="2"/>
      <c r="I1" s="129" t="s">
        <v>4</v>
      </c>
      <c r="J1" s="129"/>
      <c r="K1" s="151" t="s">
        <v>453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42531</v>
      </c>
      <c r="D7" s="26">
        <v>42533</v>
      </c>
      <c r="E7" s="26">
        <v>42535</v>
      </c>
      <c r="F7" s="26">
        <v>42537</v>
      </c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306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582</v>
      </c>
      <c r="K9" s="130"/>
      <c r="L9" s="114">
        <v>707</v>
      </c>
      <c r="M9" s="114"/>
      <c r="N9" s="114">
        <v>720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33"/>
      <c r="K11" s="133"/>
      <c r="L11" s="133"/>
      <c r="M11" s="133"/>
      <c r="N11" s="133"/>
      <c r="O11" s="133"/>
      <c r="P11" s="122"/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/>
      <c r="K12" s="130"/>
      <c r="L12" s="114"/>
      <c r="M12" s="114"/>
      <c r="N12" s="114"/>
      <c r="O12" s="114"/>
      <c r="P12" s="113"/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/>
      <c r="K13" s="125"/>
      <c r="L13" s="117"/>
      <c r="M13" s="117"/>
      <c r="N13" s="117"/>
      <c r="O13" s="117"/>
      <c r="P13" s="128"/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/>
      <c r="K14" s="125"/>
      <c r="L14" s="117"/>
      <c r="M14" s="117"/>
      <c r="N14" s="117"/>
      <c r="O14" s="117"/>
      <c r="P14" s="128"/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/>
      <c r="K15" s="125"/>
      <c r="L15" s="117"/>
      <c r="M15" s="117"/>
      <c r="N15" s="117"/>
      <c r="O15" s="117"/>
      <c r="P15" s="126"/>
      <c r="Q15" s="126"/>
      <c r="R15" s="150" t="s">
        <v>454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20"/>
      <c r="K16" s="120"/>
      <c r="L16" s="120"/>
      <c r="M16" s="120"/>
      <c r="N16" s="121"/>
      <c r="O16" s="121"/>
      <c r="P16" s="122"/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/>
      <c r="K17" s="113"/>
      <c r="L17" s="114"/>
      <c r="M17" s="114"/>
      <c r="N17" s="115"/>
      <c r="O17" s="115"/>
      <c r="P17" s="113"/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/>
      <c r="K18" s="118"/>
      <c r="L18" s="117"/>
      <c r="M18" s="117"/>
      <c r="N18" s="119"/>
      <c r="O18" s="119"/>
      <c r="P18" s="118"/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/>
      <c r="K19" s="118"/>
      <c r="L19" s="117"/>
      <c r="M19" s="117"/>
      <c r="N19" s="119"/>
      <c r="O19" s="119"/>
      <c r="P19" s="118"/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181</v>
      </c>
      <c r="D20" s="30" t="s">
        <v>182</v>
      </c>
      <c r="E20" s="30" t="s">
        <v>182</v>
      </c>
      <c r="F20" s="30" t="s">
        <v>33</v>
      </c>
      <c r="G20" s="30" t="s">
        <v>33</v>
      </c>
      <c r="H20" s="28" t="s">
        <v>72</v>
      </c>
      <c r="I20" s="39"/>
      <c r="J20" s="118"/>
      <c r="K20" s="118"/>
      <c r="L20" s="117"/>
      <c r="M20" s="117"/>
      <c r="N20" s="119"/>
      <c r="O20" s="119"/>
      <c r="P20" s="118"/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20"/>
      <c r="K21" s="120"/>
      <c r="L21" s="120"/>
      <c r="M21" s="120"/>
      <c r="N21" s="121"/>
      <c r="O21" s="121"/>
      <c r="P21" s="122"/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306</v>
      </c>
      <c r="D22" s="14" t="s">
        <v>306</v>
      </c>
      <c r="E22" s="14" t="s">
        <v>306</v>
      </c>
      <c r="F22" s="14" t="s">
        <v>33</v>
      </c>
      <c r="G22" s="33" t="s">
        <v>33</v>
      </c>
      <c r="H22" s="28" t="s">
        <v>82</v>
      </c>
      <c r="I22" s="38"/>
      <c r="J22" s="113"/>
      <c r="K22" s="113"/>
      <c r="L22" s="114"/>
      <c r="M22" s="114"/>
      <c r="N22" s="115"/>
      <c r="O22" s="115"/>
      <c r="P22" s="113"/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455</v>
      </c>
      <c r="D23" s="14" t="s">
        <v>456</v>
      </c>
      <c r="E23" s="14" t="s">
        <v>457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129</v>
      </c>
      <c r="E25" s="14" t="s">
        <v>129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99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458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9"/>
  <sheetViews>
    <sheetView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8.75" customWidth="1"/>
    <col min="5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.625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100</v>
      </c>
      <c r="G1" s="3" t="s">
        <v>3</v>
      </c>
      <c r="H1" s="2"/>
      <c r="I1" s="129" t="s">
        <v>4</v>
      </c>
      <c r="J1" s="129"/>
      <c r="K1" s="151" t="s">
        <v>459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46">
        <v>42575</v>
      </c>
      <c r="C3" s="14" t="s">
        <v>33</v>
      </c>
      <c r="D3" s="14" t="s">
        <v>33</v>
      </c>
      <c r="E3" s="14" t="s">
        <v>33</v>
      </c>
      <c r="F3" s="14" t="s">
        <v>460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/>
      <c r="B5" s="49">
        <v>42575</v>
      </c>
      <c r="C5" s="14"/>
      <c r="D5" s="14"/>
      <c r="E5" s="14"/>
      <c r="F5" s="14" t="s">
        <v>461</v>
      </c>
      <c r="G5" s="14" t="s">
        <v>462</v>
      </c>
      <c r="H5" s="14"/>
      <c r="I5" s="19"/>
      <c r="J5" s="19"/>
      <c r="K5" s="19"/>
      <c r="L5" s="20"/>
      <c r="M5" s="20"/>
      <c r="N5" s="19"/>
      <c r="O5" s="19"/>
      <c r="P5" s="21"/>
      <c r="Q5" s="21"/>
      <c r="R5" s="16"/>
      <c r="S5" s="16"/>
      <c r="T5" s="16"/>
      <c r="U5" s="14"/>
      <c r="V5" s="14"/>
      <c r="W5" s="14"/>
      <c r="X5" s="16"/>
      <c r="Y5" s="16"/>
      <c r="Z5" s="16"/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42525</v>
      </c>
      <c r="D7" s="26">
        <f>C7+2</f>
        <v>42527</v>
      </c>
      <c r="E7" s="26">
        <f>D7+2</f>
        <v>42529</v>
      </c>
      <c r="F7" s="26">
        <v>42530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42569</v>
      </c>
      <c r="J8" s="133">
        <v>8</v>
      </c>
      <c r="K8" s="133"/>
      <c r="L8" s="133">
        <v>8</v>
      </c>
      <c r="M8" s="133"/>
      <c r="N8" s="133">
        <v>7</v>
      </c>
      <c r="O8" s="133"/>
      <c r="P8" s="133">
        <v>4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203</v>
      </c>
      <c r="K9" s="130"/>
      <c r="L9" s="114">
        <v>175</v>
      </c>
      <c r="M9" s="114"/>
      <c r="N9" s="114">
        <v>178</v>
      </c>
      <c r="O9" s="114"/>
      <c r="P9" s="113">
        <v>111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42575</v>
      </c>
      <c r="J11" s="133">
        <v>14</v>
      </c>
      <c r="K11" s="133"/>
      <c r="L11" s="133">
        <v>14</v>
      </c>
      <c r="M11" s="133"/>
      <c r="N11" s="133">
        <v>13</v>
      </c>
      <c r="O11" s="133"/>
      <c r="P11" s="122">
        <v>10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389</v>
      </c>
      <c r="K12" s="130"/>
      <c r="L12" s="114">
        <v>365</v>
      </c>
      <c r="M12" s="114"/>
      <c r="N12" s="114">
        <v>341</v>
      </c>
      <c r="O12" s="114"/>
      <c r="P12" s="113">
        <v>210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463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42561</v>
      </c>
      <c r="D16" s="26">
        <v>42561</v>
      </c>
      <c r="E16" s="26">
        <v>42562</v>
      </c>
      <c r="F16" s="26">
        <v>42565</v>
      </c>
      <c r="G16" s="27" t="e">
        <f>{#DIV/0!}</f>
        <v>#DIV/0!</v>
      </c>
      <c r="H16" s="28" t="s">
        <v>74</v>
      </c>
      <c r="I16" s="35">
        <v>42579</v>
      </c>
      <c r="J16" s="120">
        <v>18</v>
      </c>
      <c r="K16" s="120"/>
      <c r="L16" s="120">
        <v>18</v>
      </c>
      <c r="M16" s="120"/>
      <c r="N16" s="121">
        <v>17</v>
      </c>
      <c r="O16" s="121"/>
      <c r="P16" s="122">
        <v>14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607</v>
      </c>
      <c r="K17" s="113"/>
      <c r="L17" s="114">
        <v>611</v>
      </c>
      <c r="M17" s="114"/>
      <c r="N17" s="115">
        <v>486</v>
      </c>
      <c r="O17" s="115"/>
      <c r="P17" s="113">
        <v>385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107</v>
      </c>
      <c r="I18" s="39"/>
      <c r="J18" s="118" t="s">
        <v>464</v>
      </c>
      <c r="K18" s="118"/>
      <c r="L18" s="117" t="s">
        <v>126</v>
      </c>
      <c r="M18" s="117"/>
      <c r="N18" s="119" t="s">
        <v>126</v>
      </c>
      <c r="O18" s="119"/>
      <c r="P18" s="118" t="s">
        <v>126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111</v>
      </c>
      <c r="I19" s="39"/>
      <c r="J19" s="118">
        <v>5.4</v>
      </c>
      <c r="K19" s="118"/>
      <c r="L19" s="117">
        <v>4.4000000000000004</v>
      </c>
      <c r="M19" s="117"/>
      <c r="N19" s="119">
        <v>8.6999999999999993</v>
      </c>
      <c r="O19" s="119"/>
      <c r="P19" s="118">
        <v>2.15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465</v>
      </c>
      <c r="D20" s="30" t="s">
        <v>465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42584</v>
      </c>
      <c r="J21" s="120">
        <v>23</v>
      </c>
      <c r="K21" s="120"/>
      <c r="L21" s="120">
        <v>23</v>
      </c>
      <c r="M21" s="120"/>
      <c r="N21" s="121">
        <v>22</v>
      </c>
      <c r="O21" s="121"/>
      <c r="P21" s="122">
        <v>19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42590</v>
      </c>
      <c r="D22" s="46">
        <v>42590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740</v>
      </c>
      <c r="K22" s="113"/>
      <c r="L22" s="114">
        <v>726</v>
      </c>
      <c r="M22" s="114"/>
      <c r="N22" s="115">
        <v>591</v>
      </c>
      <c r="O22" s="115"/>
      <c r="P22" s="113">
        <v>478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194726234</v>
      </c>
      <c r="D23" s="14">
        <v>194726233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117</v>
      </c>
      <c r="E25" s="14" t="s">
        <v>33</v>
      </c>
      <c r="F25" s="14" t="s">
        <v>33</v>
      </c>
      <c r="G25" s="33" t="s">
        <v>33</v>
      </c>
      <c r="H25" s="44" t="s">
        <v>118</v>
      </c>
      <c r="I25" s="55">
        <v>42590</v>
      </c>
      <c r="J25" s="118">
        <v>29</v>
      </c>
      <c r="K25" s="118"/>
      <c r="L25" s="117">
        <v>29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46">
        <v>42586</v>
      </c>
      <c r="F26" s="46">
        <v>42586</v>
      </c>
      <c r="G26" s="33" t="s">
        <v>33</v>
      </c>
      <c r="H26" s="28" t="s">
        <v>119</v>
      </c>
      <c r="I26" s="38"/>
      <c r="J26" s="113">
        <v>780</v>
      </c>
      <c r="K26" s="113"/>
      <c r="L26" s="114">
        <v>755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143</v>
      </c>
      <c r="I27" s="38"/>
      <c r="J27" s="113" t="s">
        <v>144</v>
      </c>
      <c r="K27" s="113"/>
      <c r="L27" s="114" t="s">
        <v>144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118</v>
      </c>
      <c r="I28" s="55" t="s">
        <v>145</v>
      </c>
      <c r="J28" s="118">
        <v>35</v>
      </c>
      <c r="K28" s="118"/>
      <c r="L28" s="117">
        <v>35</v>
      </c>
      <c r="M28" s="117"/>
      <c r="N28" s="119" t="s">
        <v>33</v>
      </c>
      <c r="O28" s="119"/>
      <c r="P28" s="118" t="s">
        <v>33</v>
      </c>
      <c r="Q28" s="118"/>
    </row>
    <row r="29" spans="1:26" x14ac:dyDescent="0.2">
      <c r="H29" s="28" t="s">
        <v>119</v>
      </c>
      <c r="I29" s="38"/>
      <c r="J29" s="113">
        <v>852</v>
      </c>
      <c r="K29" s="113"/>
      <c r="L29" s="114">
        <v>824</v>
      </c>
      <c r="M29" s="114"/>
      <c r="N29" s="115" t="s">
        <v>33</v>
      </c>
      <c r="O29" s="115"/>
      <c r="P29" s="113" t="s">
        <v>33</v>
      </c>
      <c r="Q29" s="113"/>
    </row>
  </sheetData>
  <mergeCells count="136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J28:K28"/>
    <mergeCell ref="L28:M28"/>
    <mergeCell ref="N28:O28"/>
    <mergeCell ref="P28:Q28"/>
    <mergeCell ref="J29:K29"/>
    <mergeCell ref="L29:M29"/>
    <mergeCell ref="N29:O29"/>
    <mergeCell ref="P29:Q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101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247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466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102</v>
      </c>
      <c r="G1" s="3" t="s">
        <v>3</v>
      </c>
      <c r="H1" s="2"/>
      <c r="I1" s="129" t="s">
        <v>4</v>
      </c>
      <c r="J1" s="129"/>
      <c r="K1" s="151" t="s">
        <v>467</v>
      </c>
      <c r="L1" s="151"/>
      <c r="M1" s="151"/>
      <c r="N1" s="151"/>
      <c r="O1" s="151"/>
      <c r="P1" s="143" t="s">
        <v>5</v>
      </c>
      <c r="Q1" s="143"/>
      <c r="R1" s="152" t="s">
        <v>247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647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103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468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50</v>
      </c>
      <c r="E1" s="1" t="s">
        <v>2</v>
      </c>
      <c r="F1" s="2">
        <v>104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469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D4" workbookViewId="0">
      <selection activeCell="K1" sqref="K1:O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105</v>
      </c>
      <c r="G1" s="3" t="s">
        <v>3</v>
      </c>
      <c r="H1" s="2"/>
      <c r="I1" s="129" t="s">
        <v>4</v>
      </c>
      <c r="J1" s="129"/>
      <c r="K1" s="142" t="s">
        <v>673</v>
      </c>
      <c r="L1" s="142"/>
      <c r="M1" s="142"/>
      <c r="N1" s="142"/>
      <c r="O1" s="142"/>
      <c r="P1" s="143" t="s">
        <v>5</v>
      </c>
      <c r="Q1" s="143"/>
      <c r="R1" s="152" t="s">
        <v>247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82"/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470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C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106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471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topLeftCell="B1" zoomScale="90" zoomScaleNormal="90" workbookViewId="0">
      <selection activeCell="R15" sqref="R15:Z27"/>
    </sheetView>
  </sheetViews>
  <sheetFormatPr defaultRowHeight="14.25" x14ac:dyDescent="0.2"/>
  <cols>
    <col min="1" max="1" width="8.25" customWidth="1"/>
    <col min="2" max="2" width="10.5" customWidth="1"/>
    <col min="3" max="3" width="8.5" customWidth="1"/>
    <col min="4" max="5" width="9.25" customWidth="1"/>
    <col min="6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472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572</v>
      </c>
      <c r="AC2" s="13" t="s">
        <v>614</v>
      </c>
      <c r="AD2" s="12" t="s">
        <v>574</v>
      </c>
    </row>
    <row r="3" spans="1:30" x14ac:dyDescent="0.2">
      <c r="A3" s="14" t="s">
        <v>576</v>
      </c>
      <c r="B3" s="101">
        <v>42584</v>
      </c>
      <c r="C3" s="14" t="s">
        <v>213</v>
      </c>
      <c r="D3" s="14" t="s">
        <v>94</v>
      </c>
      <c r="E3" s="14" t="s">
        <v>613</v>
      </c>
      <c r="F3" s="14" t="s">
        <v>33</v>
      </c>
      <c r="G3" s="14" t="s">
        <v>571</v>
      </c>
      <c r="H3" s="14" t="s">
        <v>33</v>
      </c>
      <c r="I3" s="14" t="s">
        <v>33</v>
      </c>
      <c r="J3" s="14">
        <v>800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110" t="s">
        <v>615</v>
      </c>
      <c r="AC3" s="110">
        <v>48797731667</v>
      </c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572</v>
      </c>
      <c r="AC4" s="13" t="s">
        <v>614</v>
      </c>
      <c r="AD4" s="12" t="s">
        <v>574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42588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923</v>
      </c>
      <c r="K9" s="130"/>
      <c r="L9" s="114">
        <v>795</v>
      </c>
      <c r="M9" s="114"/>
      <c r="N9" s="114">
        <v>1026</v>
      </c>
      <c r="O9" s="114"/>
      <c r="P9" s="142"/>
      <c r="Q9" s="142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42"/>
      <c r="K12" s="142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618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174</v>
      </c>
      <c r="D20" s="30" t="s">
        <v>184</v>
      </c>
      <c r="E20" s="30" t="s">
        <v>175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42588</v>
      </c>
      <c r="D22" s="46">
        <v>42588</v>
      </c>
      <c r="E22" s="46">
        <v>42588</v>
      </c>
      <c r="F22" s="14" t="s">
        <v>33</v>
      </c>
      <c r="G22" s="33" t="s">
        <v>33</v>
      </c>
      <c r="H22" s="28" t="s">
        <v>82</v>
      </c>
      <c r="I22" s="38"/>
      <c r="J22" s="142"/>
      <c r="K22" s="142"/>
      <c r="L22" s="142"/>
      <c r="M22" s="142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185702470</v>
      </c>
      <c r="D23" s="14">
        <v>194719283</v>
      </c>
      <c r="E23" s="14">
        <v>185702471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47"/>
      <c r="K24" s="147"/>
      <c r="L24" s="147"/>
      <c r="M24" s="147"/>
      <c r="N24" s="148"/>
      <c r="O24" s="148"/>
      <c r="P24" s="147"/>
      <c r="Q24" s="147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94</v>
      </c>
      <c r="E25" s="14" t="s">
        <v>94</v>
      </c>
      <c r="F25" s="14" t="s">
        <v>33</v>
      </c>
      <c r="G25" s="33" t="s">
        <v>33</v>
      </c>
      <c r="H25" s="28" t="s">
        <v>72</v>
      </c>
      <c r="I25" s="39"/>
      <c r="J25" s="147"/>
      <c r="K25" s="147"/>
      <c r="L25" s="147"/>
      <c r="M25" s="147"/>
      <c r="N25" s="148"/>
      <c r="O25" s="148"/>
      <c r="P25" s="147"/>
      <c r="Q25" s="147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57" t="s">
        <v>87</v>
      </c>
      <c r="B27" s="157"/>
      <c r="C27" s="19" t="s">
        <v>33</v>
      </c>
      <c r="D27" s="19" t="s">
        <v>33</v>
      </c>
      <c r="E27" s="19" t="s">
        <v>33</v>
      </c>
      <c r="F27" s="19" t="s">
        <v>33</v>
      </c>
      <c r="G27" s="40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A28" s="156" t="s">
        <v>617</v>
      </c>
      <c r="B28" s="156"/>
      <c r="C28" s="109"/>
      <c r="D28" s="109"/>
      <c r="E28" s="108" t="s">
        <v>616</v>
      </c>
      <c r="F28" s="109"/>
      <c r="G28" s="109"/>
    </row>
    <row r="29" spans="1:26" x14ac:dyDescent="0.2">
      <c r="A29" s="156" t="s">
        <v>598</v>
      </c>
      <c r="B29" s="156"/>
      <c r="C29" s="109"/>
      <c r="D29" s="109"/>
      <c r="E29" s="108">
        <v>48500691780</v>
      </c>
      <c r="F29" s="109"/>
      <c r="G29" s="109"/>
    </row>
  </sheetData>
  <mergeCells count="130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8:B28"/>
    <mergeCell ref="A29:B29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78</v>
      </c>
      <c r="E1" s="1" t="s">
        <v>2</v>
      </c>
      <c r="F1" s="2">
        <v>108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473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48" spans="5:5" x14ac:dyDescent="0.2">
      <c r="E48" s="94">
        <v>892015</v>
      </c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109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474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1"/>
  <sheetViews>
    <sheetView zoomScale="80" zoomScaleNormal="80"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4" width="8" customWidth="1"/>
    <col min="5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9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475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45" t="s">
        <v>91</v>
      </c>
      <c r="U1" s="5" t="s">
        <v>92</v>
      </c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42525</v>
      </c>
      <c r="D7" s="26">
        <f>C7+2</f>
        <v>42527</v>
      </c>
      <c r="E7" s="26">
        <f>D7+2</f>
        <v>42529</v>
      </c>
      <c r="F7" s="26">
        <v>42531</v>
      </c>
      <c r="G7" s="27" t="e">
        <f>{#DIV/0!}</f>
        <v>#DIV/0!</v>
      </c>
      <c r="H7" s="28" t="s">
        <v>50</v>
      </c>
      <c r="I7" s="29"/>
      <c r="J7" s="137" t="s">
        <v>166</v>
      </c>
      <c r="K7" s="137"/>
      <c r="L7" s="138" t="s">
        <v>167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33">
        <v>5</v>
      </c>
      <c r="K8" s="133"/>
      <c r="L8" s="133">
        <v>5</v>
      </c>
      <c r="M8" s="133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47">
        <v>42566</v>
      </c>
      <c r="J9" s="130">
        <v>117</v>
      </c>
      <c r="K9" s="130"/>
      <c r="L9" s="114">
        <v>107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42571</v>
      </c>
      <c r="J11" s="133">
        <v>10</v>
      </c>
      <c r="K11" s="133"/>
      <c r="L11" s="133">
        <v>10</v>
      </c>
      <c r="M11" s="133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301</v>
      </c>
      <c r="K12" s="130"/>
      <c r="L12" s="114">
        <v>280</v>
      </c>
      <c r="M12" s="114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476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42561</v>
      </c>
      <c r="D16" s="26">
        <v>42561</v>
      </c>
      <c r="E16" s="26"/>
      <c r="F16" s="26"/>
      <c r="G16" s="27" t="e">
        <f>{#DIV/0!}</f>
        <v>#DIV/0!</v>
      </c>
      <c r="H16" s="28" t="s">
        <v>74</v>
      </c>
      <c r="I16" s="35">
        <v>42576</v>
      </c>
      <c r="J16" s="120">
        <v>15</v>
      </c>
      <c r="K16" s="120"/>
      <c r="L16" s="120">
        <v>15</v>
      </c>
      <c r="M16" s="120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>
        <v>560</v>
      </c>
      <c r="K17" s="113"/>
      <c r="L17" s="114">
        <v>513</v>
      </c>
      <c r="M17" s="114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477</v>
      </c>
      <c r="K18" s="118"/>
      <c r="L18" s="117" t="s">
        <v>478</v>
      </c>
      <c r="M18" s="11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139</v>
      </c>
      <c r="I19" s="39"/>
      <c r="J19" s="118">
        <v>4.51</v>
      </c>
      <c r="K19" s="118"/>
      <c r="L19" s="117">
        <v>3.31</v>
      </c>
      <c r="M19" s="11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271</v>
      </c>
      <c r="D20" s="30" t="s">
        <v>271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115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42581</v>
      </c>
      <c r="J21" s="120">
        <v>20</v>
      </c>
      <c r="K21" s="120"/>
      <c r="L21" s="120">
        <v>20</v>
      </c>
      <c r="M21" s="120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42586</v>
      </c>
      <c r="D22" s="46">
        <v>42586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>
        <v>684</v>
      </c>
      <c r="K22" s="113"/>
      <c r="L22" s="114">
        <v>664</v>
      </c>
      <c r="M22" s="114"/>
      <c r="N22" s="153"/>
      <c r="O22" s="153"/>
      <c r="P22" s="142"/>
      <c r="Q22" s="142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194726222</v>
      </c>
      <c r="D23" s="14">
        <v>194726223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42"/>
      <c r="K23" s="142"/>
      <c r="L23" s="142"/>
      <c r="M23" s="142"/>
      <c r="N23" s="153"/>
      <c r="O23" s="153"/>
      <c r="P23" s="142"/>
      <c r="Q23" s="142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44" t="s">
        <v>118</v>
      </c>
      <c r="I24" s="55">
        <v>42586</v>
      </c>
      <c r="J24" s="118">
        <v>25</v>
      </c>
      <c r="K24" s="118"/>
      <c r="L24" s="117">
        <v>25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117</v>
      </c>
      <c r="E25" s="14" t="s">
        <v>33</v>
      </c>
      <c r="F25" s="14" t="s">
        <v>33</v>
      </c>
      <c r="G25" s="33" t="s">
        <v>33</v>
      </c>
      <c r="H25" s="28" t="s">
        <v>119</v>
      </c>
      <c r="I25" s="39"/>
      <c r="J25" s="118">
        <v>899</v>
      </c>
      <c r="K25" s="118"/>
      <c r="L25" s="117">
        <v>836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143</v>
      </c>
      <c r="I26" s="38"/>
      <c r="J26" s="113" t="s">
        <v>144</v>
      </c>
      <c r="K26" s="113"/>
      <c r="L26" s="114" t="s">
        <v>144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x14ac:dyDescent="0.2">
      <c r="H28" s="44" t="s">
        <v>120</v>
      </c>
      <c r="I28" s="55">
        <v>42591</v>
      </c>
      <c r="J28" s="118">
        <v>30</v>
      </c>
      <c r="K28" s="118"/>
      <c r="L28" s="117">
        <v>30</v>
      </c>
      <c r="M28" s="117"/>
      <c r="N28" s="119" t="s">
        <v>33</v>
      </c>
      <c r="O28" s="119"/>
      <c r="P28" s="118" t="s">
        <v>33</v>
      </c>
      <c r="Q28" s="118"/>
    </row>
    <row r="29" spans="1:26" x14ac:dyDescent="0.2">
      <c r="H29" s="28" t="s">
        <v>121</v>
      </c>
      <c r="I29" s="39"/>
      <c r="J29" s="118">
        <v>864</v>
      </c>
      <c r="K29" s="118"/>
      <c r="L29" s="117">
        <v>850</v>
      </c>
      <c r="M29" s="117"/>
      <c r="N29" s="119" t="s">
        <v>33</v>
      </c>
      <c r="O29" s="119"/>
      <c r="P29" s="118" t="s">
        <v>33</v>
      </c>
      <c r="Q29" s="118"/>
    </row>
    <row r="30" spans="1:26" x14ac:dyDescent="0.2">
      <c r="H30" s="28"/>
      <c r="I30" s="38"/>
      <c r="J30" s="142"/>
      <c r="K30" s="142"/>
      <c r="L30" s="142"/>
      <c r="M30" s="142"/>
      <c r="N30" s="153"/>
      <c r="O30" s="153"/>
      <c r="P30" s="142"/>
      <c r="Q30" s="142"/>
    </row>
    <row r="31" spans="1:26" x14ac:dyDescent="0.2">
      <c r="H31" s="28"/>
      <c r="I31" s="38"/>
      <c r="J31" s="142"/>
      <c r="K31" s="142"/>
      <c r="L31" s="142"/>
      <c r="M31" s="142"/>
      <c r="N31" s="153"/>
      <c r="O31" s="153"/>
      <c r="P31" s="142"/>
      <c r="Q31" s="142"/>
    </row>
  </sheetData>
  <mergeCells count="144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  <mergeCell ref="J30:K30"/>
    <mergeCell ref="L30:M30"/>
    <mergeCell ref="N30:O30"/>
    <mergeCell ref="P30:Q30"/>
    <mergeCell ref="J31:K31"/>
    <mergeCell ref="L31:M31"/>
    <mergeCell ref="N31:O31"/>
    <mergeCell ref="P31:Q31"/>
    <mergeCell ref="J28:K28"/>
    <mergeCell ref="L28:M28"/>
    <mergeCell ref="N28:O28"/>
    <mergeCell ref="P28:Q28"/>
    <mergeCell ref="J29:K29"/>
    <mergeCell ref="L29:M29"/>
    <mergeCell ref="N29:O29"/>
    <mergeCell ref="P29:Q29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R1" sqref="R1:S1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111</v>
      </c>
      <c r="G1" s="3" t="s">
        <v>3</v>
      </c>
      <c r="H1" s="2"/>
      <c r="I1" s="129" t="s">
        <v>4</v>
      </c>
      <c r="J1" s="129"/>
      <c r="K1" s="142" t="s">
        <v>674</v>
      </c>
      <c r="L1" s="142"/>
      <c r="M1" s="142"/>
      <c r="N1" s="142"/>
      <c r="O1" s="142"/>
      <c r="P1" s="143" t="s">
        <v>5</v>
      </c>
      <c r="Q1" s="143"/>
      <c r="R1" s="144" t="s">
        <v>148</v>
      </c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82"/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479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2015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480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>
      <selection activeCell="AB3" sqref="AB3"/>
    </sheetView>
  </sheetViews>
  <sheetFormatPr defaultRowHeight="14.25" x14ac:dyDescent="0.2"/>
  <cols>
    <col min="1" max="1" width="8.25" customWidth="1"/>
    <col min="2" max="2" width="9.8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28" width="9.25" customWidth="1"/>
    <col min="29" max="29" width="13.75" customWidth="1"/>
    <col min="30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113</v>
      </c>
      <c r="E1" s="1" t="s">
        <v>2</v>
      </c>
      <c r="F1" s="2">
        <v>113</v>
      </c>
      <c r="G1" s="3" t="s">
        <v>3</v>
      </c>
      <c r="H1" s="2"/>
      <c r="I1" s="129" t="s">
        <v>4</v>
      </c>
      <c r="J1" s="129"/>
      <c r="K1" s="151" t="s">
        <v>481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572</v>
      </c>
      <c r="AC2" s="13" t="s">
        <v>621</v>
      </c>
      <c r="AD2" s="12" t="s">
        <v>579</v>
      </c>
    </row>
    <row r="3" spans="1:30" x14ac:dyDescent="0.2">
      <c r="A3" s="14" t="s">
        <v>576</v>
      </c>
      <c r="B3" s="101">
        <v>42590</v>
      </c>
      <c r="C3" s="14" t="s">
        <v>213</v>
      </c>
      <c r="D3" s="14" t="s">
        <v>94</v>
      </c>
      <c r="E3" s="14" t="s">
        <v>620</v>
      </c>
      <c r="F3" s="14" t="s">
        <v>33</v>
      </c>
      <c r="G3" s="14" t="s">
        <v>571</v>
      </c>
      <c r="H3" s="14" t="s">
        <v>33</v>
      </c>
      <c r="I3" s="14" t="s">
        <v>33</v>
      </c>
      <c r="J3" s="14">
        <v>910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 t="s">
        <v>622</v>
      </c>
      <c r="AC3" s="7">
        <v>48797731677</v>
      </c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572</v>
      </c>
      <c r="AC4" s="13" t="s">
        <v>621</v>
      </c>
      <c r="AD4" s="12" t="s">
        <v>579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619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482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115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183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C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116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483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D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117</v>
      </c>
      <c r="G1" s="3" t="s">
        <v>3</v>
      </c>
      <c r="H1" s="2"/>
      <c r="I1" s="129" t="s">
        <v>4</v>
      </c>
      <c r="J1" s="129"/>
      <c r="K1" s="151" t="s">
        <v>484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485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/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486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487</v>
      </c>
      <c r="L1" s="151"/>
      <c r="M1" s="151"/>
      <c r="N1" s="151"/>
      <c r="O1" s="151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488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B1" zoomScale="80" zoomScaleNormal="80" workbookViewId="0">
      <selection activeCell="E3" sqref="E3"/>
    </sheetView>
  </sheetViews>
  <sheetFormatPr defaultRowHeight="14.25" x14ac:dyDescent="0.2"/>
  <cols>
    <col min="1" max="1" width="8.25" customWidth="1"/>
    <col min="2" max="2" width="10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28" width="9.25" customWidth="1"/>
    <col min="29" max="29" width="11.875" customWidth="1"/>
    <col min="30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120</v>
      </c>
      <c r="G1" s="3" t="s">
        <v>3</v>
      </c>
      <c r="H1" s="2"/>
      <c r="I1" s="129" t="s">
        <v>4</v>
      </c>
      <c r="J1" s="129"/>
      <c r="K1" s="151" t="s">
        <v>489</v>
      </c>
      <c r="L1" s="151"/>
      <c r="M1" s="151"/>
      <c r="N1" s="151"/>
      <c r="O1" s="151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572</v>
      </c>
      <c r="AC2" s="13" t="s">
        <v>598</v>
      </c>
      <c r="AD2" s="12" t="s">
        <v>579</v>
      </c>
    </row>
    <row r="3" spans="1:30" x14ac:dyDescent="0.2">
      <c r="A3" s="14" t="s">
        <v>576</v>
      </c>
      <c r="B3" s="101">
        <v>42583</v>
      </c>
      <c r="C3" s="14" t="s">
        <v>213</v>
      </c>
      <c r="D3" s="14" t="s">
        <v>94</v>
      </c>
      <c r="E3" s="14" t="s">
        <v>625</v>
      </c>
      <c r="F3" s="14" t="s">
        <v>33</v>
      </c>
      <c r="G3" s="14" t="s">
        <v>626</v>
      </c>
      <c r="H3" s="14" t="s">
        <v>33</v>
      </c>
      <c r="I3" s="14" t="s">
        <v>33</v>
      </c>
      <c r="J3" s="14">
        <v>805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 t="s">
        <v>627</v>
      </c>
      <c r="AC3" s="7">
        <v>48797731839</v>
      </c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572</v>
      </c>
      <c r="AC4" s="13" t="s">
        <v>598</v>
      </c>
      <c r="AD4" s="12" t="s">
        <v>579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ht="15" x14ac:dyDescent="0.25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85"/>
      <c r="M12" s="85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623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227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01">
        <v>42583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624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94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7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1:K11"/>
    <mergeCell ref="L11:M11"/>
    <mergeCell ref="N11:O11"/>
    <mergeCell ref="P11:Q11"/>
    <mergeCell ref="U11:W11"/>
    <mergeCell ref="X11:Z11"/>
    <mergeCell ref="J14:K14"/>
    <mergeCell ref="L14:M14"/>
    <mergeCell ref="N14:O14"/>
    <mergeCell ref="P14:Q14"/>
    <mergeCell ref="J15:K15"/>
    <mergeCell ref="L15:M15"/>
    <mergeCell ref="N15:O15"/>
    <mergeCell ref="P15:Q15"/>
    <mergeCell ref="J12:K12"/>
    <mergeCell ref="N12:O12"/>
    <mergeCell ref="P12:Q12"/>
    <mergeCell ref="R15:Z27"/>
    <mergeCell ref="J16:K16"/>
    <mergeCell ref="L16:M16"/>
    <mergeCell ref="N16:O16"/>
    <mergeCell ref="P16:Q16"/>
    <mergeCell ref="J19:K19"/>
    <mergeCell ref="L19:M19"/>
    <mergeCell ref="N19:O19"/>
    <mergeCell ref="P19:Q19"/>
    <mergeCell ref="U12:W12"/>
    <mergeCell ref="X12:Z12"/>
    <mergeCell ref="J13:K13"/>
    <mergeCell ref="L13:M13"/>
    <mergeCell ref="N13:O13"/>
    <mergeCell ref="P13:Q13"/>
    <mergeCell ref="R13:Z14"/>
    <mergeCell ref="A17:B17"/>
    <mergeCell ref="J17:K17"/>
    <mergeCell ref="L17:M17"/>
    <mergeCell ref="N17:O17"/>
    <mergeCell ref="P17:Q17"/>
    <mergeCell ref="J18:K18"/>
    <mergeCell ref="L18:M18"/>
    <mergeCell ref="N18:O18"/>
    <mergeCell ref="P18:Q18"/>
    <mergeCell ref="A18:B19"/>
    <mergeCell ref="C18:C19"/>
    <mergeCell ref="D18:D19"/>
    <mergeCell ref="E18:E19"/>
    <mergeCell ref="F18:F19"/>
    <mergeCell ref="G18:G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490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122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491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>
      <selection activeCell="R15" sqref="R15:Z27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123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648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opLeftCell="D1" workbookViewId="0">
      <selection activeCell="C16" sqref="C16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1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1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  <c r="AE2" s="95" t="s">
        <v>492</v>
      </c>
    </row>
    <row r="3" spans="1:31" s="96" customFormat="1" ht="12" x14ac:dyDescent="0.2">
      <c r="B3" s="97">
        <v>42527</v>
      </c>
      <c r="C3" s="96" t="s">
        <v>493</v>
      </c>
      <c r="D3" s="96" t="s">
        <v>264</v>
      </c>
      <c r="E3" s="96" t="s">
        <v>494</v>
      </c>
      <c r="F3" s="96" t="s">
        <v>495</v>
      </c>
      <c r="G3" s="96" t="s">
        <v>96</v>
      </c>
      <c r="J3" s="96">
        <v>660</v>
      </c>
      <c r="K3" s="96">
        <v>3</v>
      </c>
      <c r="L3" s="96">
        <v>46.69</v>
      </c>
      <c r="N3" s="96">
        <v>317</v>
      </c>
      <c r="O3" s="96">
        <v>145</v>
      </c>
      <c r="V3" s="96" t="s">
        <v>496</v>
      </c>
      <c r="AE3" s="96" t="s">
        <v>497</v>
      </c>
    </row>
    <row r="4" spans="1:31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1" x14ac:dyDescent="0.2">
      <c r="A5" s="14" t="s">
        <v>33</v>
      </c>
      <c r="B5" s="46">
        <v>42527</v>
      </c>
      <c r="C5" s="14" t="s">
        <v>493</v>
      </c>
      <c r="D5" s="14" t="s">
        <v>129</v>
      </c>
      <c r="E5" s="14" t="s">
        <v>498</v>
      </c>
      <c r="F5" s="14" t="s">
        <v>499</v>
      </c>
      <c r="G5" s="14" t="s">
        <v>500</v>
      </c>
      <c r="H5" s="14" t="s">
        <v>33</v>
      </c>
      <c r="I5" s="14" t="s">
        <v>33</v>
      </c>
      <c r="J5" s="14">
        <v>970</v>
      </c>
      <c r="K5" s="14">
        <v>2</v>
      </c>
      <c r="L5" s="15">
        <v>50.16</v>
      </c>
      <c r="M5" s="15" t="s">
        <v>33</v>
      </c>
      <c r="N5" s="14">
        <v>354</v>
      </c>
      <c r="O5" s="14" t="s">
        <v>501</v>
      </c>
      <c r="P5" s="16" t="s">
        <v>33</v>
      </c>
      <c r="Q5" s="16" t="s">
        <v>33</v>
      </c>
      <c r="R5" s="16" t="s">
        <v>33</v>
      </c>
      <c r="S5" s="16" t="s">
        <v>33</v>
      </c>
      <c r="T5" s="16" t="s">
        <v>33</v>
      </c>
      <c r="U5" s="14"/>
      <c r="V5" s="14" t="s">
        <v>502</v>
      </c>
      <c r="W5" s="14" t="s">
        <v>33</v>
      </c>
      <c r="X5" s="16" t="s">
        <v>33</v>
      </c>
      <c r="Y5" s="17" t="s">
        <v>33</v>
      </c>
      <c r="Z5" s="17" t="s">
        <v>33</v>
      </c>
      <c r="AA5" s="7"/>
      <c r="AB5" s="7"/>
      <c r="AC5" s="7"/>
      <c r="AD5" s="7"/>
    </row>
    <row r="6" spans="1:31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1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1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1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1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1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1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1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1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1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503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1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E1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504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127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505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F1" workbookViewId="0"/>
  </sheetViews>
  <sheetFormatPr defaultRowHeight="14.25" x14ac:dyDescent="0.2"/>
  <cols>
    <col min="1" max="1024" width="10.625" customWidth="1"/>
  </cols>
  <sheetData>
    <row r="1" spans="1:30" x14ac:dyDescent="0.2">
      <c r="A1" s="1" t="s">
        <v>0</v>
      </c>
      <c r="B1" s="2">
        <v>2015</v>
      </c>
      <c r="C1" s="1" t="s">
        <v>1</v>
      </c>
      <c r="D1" s="2"/>
      <c r="E1" s="1" t="s">
        <v>2</v>
      </c>
      <c r="F1" s="2">
        <v>128</v>
      </c>
      <c r="G1" s="3" t="s">
        <v>3</v>
      </c>
      <c r="H1" s="2"/>
      <c r="I1" s="129" t="s">
        <v>4</v>
      </c>
      <c r="J1" s="129"/>
      <c r="K1" s="142"/>
      <c r="L1" s="142"/>
      <c r="M1" s="142"/>
      <c r="N1" s="142"/>
      <c r="O1" s="142"/>
      <c r="P1" s="143" t="s">
        <v>5</v>
      </c>
      <c r="Q1" s="143"/>
      <c r="R1" s="144"/>
      <c r="S1" s="144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506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129</v>
      </c>
      <c r="G1" s="3" t="s">
        <v>3</v>
      </c>
      <c r="H1" s="2"/>
      <c r="I1" s="129" t="s">
        <v>4</v>
      </c>
      <c r="J1" s="129"/>
      <c r="K1" s="151" t="s">
        <v>507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508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130</v>
      </c>
      <c r="G1" s="3" t="s">
        <v>3</v>
      </c>
      <c r="H1" s="2"/>
      <c r="I1" s="129" t="s">
        <v>4</v>
      </c>
      <c r="J1" s="129"/>
      <c r="K1" s="151" t="s">
        <v>509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46">
        <v>42406</v>
      </c>
      <c r="C3" s="14" t="s">
        <v>510</v>
      </c>
      <c r="D3" s="14" t="s">
        <v>94</v>
      </c>
      <c r="E3" s="14">
        <v>115624014</v>
      </c>
      <c r="F3" s="14" t="s">
        <v>511</v>
      </c>
      <c r="G3" s="14" t="s">
        <v>96</v>
      </c>
      <c r="H3" s="14" t="s">
        <v>33</v>
      </c>
      <c r="I3" s="14" t="s">
        <v>33</v>
      </c>
      <c r="J3" s="14">
        <v>660</v>
      </c>
      <c r="K3" s="14">
        <v>2</v>
      </c>
      <c r="L3" s="15" t="s">
        <v>33</v>
      </c>
      <c r="M3" s="15" t="s">
        <v>512</v>
      </c>
      <c r="N3" s="14">
        <v>314</v>
      </c>
      <c r="O3" s="14">
        <v>142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513</v>
      </c>
      <c r="V3" s="14" t="s">
        <v>514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263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42530</v>
      </c>
      <c r="D7" s="26">
        <v>42532</v>
      </c>
      <c r="E7" s="26">
        <v>42534</v>
      </c>
      <c r="F7" s="26">
        <v>42537</v>
      </c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42573</v>
      </c>
      <c r="J8" s="133">
        <v>5</v>
      </c>
      <c r="K8" s="133"/>
      <c r="L8" s="133">
        <v>5</v>
      </c>
      <c r="M8" s="133"/>
      <c r="N8" s="133" t="s">
        <v>194</v>
      </c>
      <c r="O8" s="133"/>
      <c r="P8" s="133" t="s">
        <v>194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60</v>
      </c>
      <c r="K9" s="130"/>
      <c r="L9" s="114">
        <v>56</v>
      </c>
      <c r="M9" s="114"/>
      <c r="N9" s="114">
        <v>50</v>
      </c>
      <c r="O9" s="114"/>
      <c r="P9" s="113">
        <v>44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42578</v>
      </c>
      <c r="J11" s="133">
        <v>10</v>
      </c>
      <c r="K11" s="133"/>
      <c r="L11" s="133">
        <v>10</v>
      </c>
      <c r="M11" s="133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>
        <v>187</v>
      </c>
      <c r="K12" s="130"/>
      <c r="L12" s="114">
        <v>171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515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42568</v>
      </c>
      <c r="D16" s="26">
        <v>42568</v>
      </c>
      <c r="E16" s="26">
        <v>42569</v>
      </c>
      <c r="F16" s="26">
        <v>42569</v>
      </c>
      <c r="G16" s="27" t="e">
        <f>{#DIV/0!}</f>
        <v>#DIV/0!</v>
      </c>
      <c r="H16" s="28" t="s">
        <v>74</v>
      </c>
      <c r="I16" s="35">
        <v>42583</v>
      </c>
      <c r="J16" s="120">
        <v>15</v>
      </c>
      <c r="K16" s="120"/>
      <c r="L16" s="120">
        <v>15</v>
      </c>
      <c r="M16" s="120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/>
      <c r="D17" s="42"/>
      <c r="E17" s="42"/>
      <c r="F17" s="42"/>
      <c r="G17" s="43">
        <v>0</v>
      </c>
      <c r="H17" s="28" t="s">
        <v>76</v>
      </c>
      <c r="I17" s="38"/>
      <c r="J17" s="120">
        <v>257</v>
      </c>
      <c r="K17" s="120"/>
      <c r="L17" s="120">
        <v>255</v>
      </c>
      <c r="M17" s="120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126</v>
      </c>
      <c r="K18" s="118"/>
      <c r="L18" s="117" t="s">
        <v>126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42588</v>
      </c>
      <c r="J21" s="120" t="s">
        <v>194</v>
      </c>
      <c r="K21" s="120"/>
      <c r="L21" s="120" t="s">
        <v>194</v>
      </c>
      <c r="M21" s="120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46">
        <v>42585</v>
      </c>
      <c r="D26" s="46">
        <v>42585</v>
      </c>
      <c r="E26" s="46">
        <v>42573</v>
      </c>
      <c r="F26" s="46">
        <v>42573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>
        <v>17</v>
      </c>
      <c r="D27" s="14">
        <v>17</v>
      </c>
      <c r="E27" s="14">
        <v>4</v>
      </c>
      <c r="F27" s="14">
        <v>4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B1" zoomScale="90" zoomScaleNormal="9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/>
      <c r="G1" s="3" t="s">
        <v>3</v>
      </c>
      <c r="H1" s="2"/>
      <c r="I1" s="129" t="s">
        <v>4</v>
      </c>
      <c r="J1" s="129"/>
      <c r="K1" s="151" t="s">
        <v>516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517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>
      <selection activeCell="R15" sqref="R15:Z27"/>
    </sheetView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132</v>
      </c>
      <c r="G1" s="3" t="s">
        <v>3</v>
      </c>
      <c r="H1" s="2"/>
      <c r="I1" s="129" t="s">
        <v>4</v>
      </c>
      <c r="J1" s="129"/>
      <c r="K1" s="151" t="s">
        <v>518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651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AB3" sqref="AB3"/>
    </sheetView>
  </sheetViews>
  <sheetFormatPr defaultRowHeight="14.25" x14ac:dyDescent="0.2"/>
  <cols>
    <col min="1" max="1" width="8.25" customWidth="1"/>
    <col min="2" max="3" width="9.62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133</v>
      </c>
      <c r="G1" s="3" t="s">
        <v>3</v>
      </c>
      <c r="H1" s="2"/>
      <c r="I1" s="129" t="s">
        <v>4</v>
      </c>
      <c r="J1" s="129"/>
      <c r="K1" s="151" t="s">
        <v>519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572</v>
      </c>
      <c r="AC2" s="13" t="s">
        <v>589</v>
      </c>
      <c r="AD2" s="12" t="s">
        <v>579</v>
      </c>
    </row>
    <row r="3" spans="1:30" x14ac:dyDescent="0.2">
      <c r="A3" s="14" t="s">
        <v>576</v>
      </c>
      <c r="B3" s="101">
        <v>42582</v>
      </c>
      <c r="C3" s="14" t="s">
        <v>213</v>
      </c>
      <c r="D3" s="14" t="s">
        <v>569</v>
      </c>
      <c r="E3" s="14" t="s">
        <v>628</v>
      </c>
      <c r="F3" s="14" t="s">
        <v>33</v>
      </c>
      <c r="G3" s="14" t="s">
        <v>571</v>
      </c>
      <c r="H3" s="14" t="s">
        <v>33</v>
      </c>
      <c r="I3" s="14" t="s">
        <v>33</v>
      </c>
      <c r="J3" s="14" t="s">
        <v>392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 t="s">
        <v>629</v>
      </c>
      <c r="AC3" s="7">
        <v>48797731845</v>
      </c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572</v>
      </c>
      <c r="AC4" s="13" t="s">
        <v>589</v>
      </c>
      <c r="AD4" s="12" t="s">
        <v>579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649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134</v>
      </c>
      <c r="G1" s="3" t="s">
        <v>3</v>
      </c>
      <c r="H1" s="2"/>
      <c r="I1" s="129" t="s">
        <v>4</v>
      </c>
      <c r="J1" s="129"/>
      <c r="K1" s="151" t="s">
        <v>520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521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135</v>
      </c>
      <c r="G1" s="3" t="s">
        <v>3</v>
      </c>
      <c r="H1" s="2"/>
      <c r="I1" s="129" t="s">
        <v>4</v>
      </c>
      <c r="J1" s="129"/>
      <c r="K1" s="151" t="s">
        <v>522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523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136</v>
      </c>
      <c r="G1" s="3" t="s">
        <v>3</v>
      </c>
      <c r="H1" s="2"/>
      <c r="I1" s="129" t="s">
        <v>4</v>
      </c>
      <c r="J1" s="129"/>
      <c r="K1" s="151" t="s">
        <v>524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525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H1" workbookViewId="0">
      <selection activeCell="E18" sqref="E18:E19"/>
    </sheetView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47</v>
      </c>
      <c r="E1" s="1" t="s">
        <v>2</v>
      </c>
      <c r="F1" s="2">
        <v>137</v>
      </c>
      <c r="G1" s="3" t="s">
        <v>3</v>
      </c>
      <c r="H1" s="2"/>
      <c r="I1" s="129" t="s">
        <v>4</v>
      </c>
      <c r="J1" s="129"/>
      <c r="K1" s="151" t="s">
        <v>526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46">
        <v>42522</v>
      </c>
      <c r="C5" s="14" t="s">
        <v>213</v>
      </c>
      <c r="D5" t="s">
        <v>264</v>
      </c>
      <c r="E5" s="14">
        <v>194719244</v>
      </c>
      <c r="F5" s="14" t="s">
        <v>527</v>
      </c>
      <c r="G5" s="14" t="s">
        <v>96</v>
      </c>
      <c r="H5" s="14" t="s">
        <v>33</v>
      </c>
      <c r="I5" s="19" t="s">
        <v>33</v>
      </c>
      <c r="J5" s="19">
        <v>920</v>
      </c>
      <c r="K5" s="19">
        <v>4</v>
      </c>
      <c r="L5" s="20">
        <v>61.6</v>
      </c>
      <c r="M5" s="20" t="s">
        <v>33</v>
      </c>
      <c r="N5" s="19">
        <v>356</v>
      </c>
      <c r="O5" s="19">
        <v>159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97</v>
      </c>
      <c r="V5" s="14" t="s">
        <v>97</v>
      </c>
      <c r="W5" s="14" t="s">
        <v>97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528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138</v>
      </c>
      <c r="G1" s="3" t="s">
        <v>3</v>
      </c>
      <c r="H1" s="2"/>
      <c r="I1" s="129" t="s">
        <v>4</v>
      </c>
      <c r="J1" s="129"/>
      <c r="K1" s="151" t="s">
        <v>529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ht="15" x14ac:dyDescent="0.25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98"/>
      <c r="O3" s="99"/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530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139</v>
      </c>
      <c r="G1" s="3" t="s">
        <v>3</v>
      </c>
      <c r="H1" s="2"/>
      <c r="I1" s="129" t="s">
        <v>4</v>
      </c>
      <c r="J1" s="129"/>
      <c r="K1" s="151" t="s">
        <v>531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532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>
      <selection activeCell="D23" sqref="D23"/>
    </sheetView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140</v>
      </c>
      <c r="G1" s="3" t="s">
        <v>3</v>
      </c>
      <c r="H1" s="2"/>
      <c r="I1" s="129" t="s">
        <v>4</v>
      </c>
      <c r="J1" s="129"/>
      <c r="K1" s="151" t="s">
        <v>533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381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914</v>
      </c>
      <c r="K9" s="130"/>
      <c r="L9" s="114">
        <v>605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534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182</v>
      </c>
      <c r="D20" s="30" t="s">
        <v>181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381</v>
      </c>
      <c r="D22" s="14" t="s">
        <v>381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535</v>
      </c>
      <c r="D23" s="14" t="s">
        <v>536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129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141</v>
      </c>
      <c r="G1" s="3" t="s">
        <v>3</v>
      </c>
      <c r="H1" s="2"/>
      <c r="I1" s="129" t="s">
        <v>4</v>
      </c>
      <c r="J1" s="129"/>
      <c r="K1" s="151" t="s">
        <v>537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538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142</v>
      </c>
      <c r="G1" s="3" t="s">
        <v>3</v>
      </c>
      <c r="H1" s="2"/>
      <c r="I1" s="129" t="s">
        <v>4</v>
      </c>
      <c r="J1" s="129"/>
      <c r="K1" s="151" t="s">
        <v>539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540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143</v>
      </c>
      <c r="G1" s="3" t="s">
        <v>3</v>
      </c>
      <c r="H1" s="2"/>
      <c r="I1" s="129" t="s">
        <v>4</v>
      </c>
      <c r="J1" s="129"/>
      <c r="K1" s="151" t="s">
        <v>541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542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topLeftCell="E1" workbookViewId="0">
      <selection activeCell="Q29" sqref="Q29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74</v>
      </c>
      <c r="E1" s="1" t="s">
        <v>2</v>
      </c>
      <c r="F1" s="2">
        <v>144</v>
      </c>
      <c r="G1" s="3" t="s">
        <v>3</v>
      </c>
      <c r="H1" s="2"/>
      <c r="I1" s="129" t="s">
        <v>4</v>
      </c>
      <c r="J1" s="129"/>
      <c r="K1" s="142" t="s">
        <v>654</v>
      </c>
      <c r="L1" s="142"/>
      <c r="M1" s="142"/>
      <c r="N1" s="142"/>
      <c r="O1" s="142"/>
      <c r="P1" s="143" t="s">
        <v>5</v>
      </c>
      <c r="Q1" s="143"/>
      <c r="R1" s="152" t="s">
        <v>247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42159</v>
      </c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543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  <row r="29" spans="1:26" x14ac:dyDescent="0.2">
      <c r="Q29" s="179"/>
      <c r="R29" s="18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>
      <selection activeCell="H3" sqref="H3"/>
    </sheetView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145</v>
      </c>
      <c r="G1" s="3" t="s">
        <v>3</v>
      </c>
      <c r="H1" s="2"/>
      <c r="I1" s="129" t="s">
        <v>4</v>
      </c>
      <c r="J1" s="129"/>
      <c r="K1" s="151" t="s">
        <v>544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42159</v>
      </c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/>
      <c r="J8" s="133"/>
      <c r="K8" s="133"/>
      <c r="L8" s="133"/>
      <c r="M8" s="133"/>
      <c r="N8" s="133"/>
      <c r="O8" s="133"/>
      <c r="P8" s="133"/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/>
      <c r="K9" s="130"/>
      <c r="L9" s="114"/>
      <c r="M9" s="114"/>
      <c r="N9" s="114"/>
      <c r="O9" s="114"/>
      <c r="P9" s="113"/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/>
      <c r="K10" s="125"/>
      <c r="L10" s="117"/>
      <c r="M10" s="117"/>
      <c r="N10" s="117"/>
      <c r="O10" s="117"/>
      <c r="P10" s="118"/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/>
      <c r="J11" s="133"/>
      <c r="K11" s="133"/>
      <c r="L11" s="133"/>
      <c r="M11" s="133"/>
      <c r="N11" s="133"/>
      <c r="O11" s="133"/>
      <c r="P11" s="122"/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/>
      <c r="K12" s="130"/>
      <c r="L12" s="114"/>
      <c r="M12" s="114"/>
      <c r="N12" s="114"/>
      <c r="O12" s="114"/>
      <c r="P12" s="113"/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/>
      <c r="K13" s="125"/>
      <c r="L13" s="117"/>
      <c r="M13" s="117"/>
      <c r="N13" s="117"/>
      <c r="O13" s="117"/>
      <c r="P13" s="128"/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/>
      <c r="K14" s="125"/>
      <c r="L14" s="117"/>
      <c r="M14" s="117"/>
      <c r="N14" s="117"/>
      <c r="O14" s="117"/>
      <c r="P14" s="128"/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/>
      <c r="K15" s="125"/>
      <c r="L15" s="117"/>
      <c r="M15" s="117"/>
      <c r="N15" s="117"/>
      <c r="O15" s="117"/>
      <c r="P15" s="126"/>
      <c r="Q15" s="126"/>
      <c r="R15" s="150" t="s">
        <v>653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>
        <v>42596</v>
      </c>
      <c r="D16" s="26">
        <v>42567</v>
      </c>
      <c r="E16" s="26">
        <v>42569</v>
      </c>
      <c r="F16" s="26" t="s">
        <v>105</v>
      </c>
      <c r="G16" s="27" t="e">
        <f>{#DIV/0!}</f>
        <v>#DIV/0!</v>
      </c>
      <c r="H16" s="28" t="s">
        <v>74</v>
      </c>
      <c r="I16" s="35"/>
      <c r="J16" s="120"/>
      <c r="K16" s="120"/>
      <c r="L16" s="120"/>
      <c r="M16" s="120"/>
      <c r="N16" s="121"/>
      <c r="O16" s="121"/>
      <c r="P16" s="122"/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/>
      <c r="K17" s="113"/>
      <c r="L17" s="114"/>
      <c r="M17" s="114"/>
      <c r="N17" s="115"/>
      <c r="O17" s="115"/>
      <c r="P17" s="113"/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/>
      <c r="K18" s="118"/>
      <c r="L18" s="117"/>
      <c r="M18" s="117"/>
      <c r="N18" s="119"/>
      <c r="O18" s="119"/>
      <c r="P18" s="118"/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/>
      <c r="K19" s="118"/>
      <c r="L19" s="117"/>
      <c r="M19" s="117"/>
      <c r="N19" s="119"/>
      <c r="O19" s="119"/>
      <c r="P19" s="118"/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/>
      <c r="K20" s="118"/>
      <c r="L20" s="117"/>
      <c r="M20" s="117"/>
      <c r="N20" s="119"/>
      <c r="O20" s="119"/>
      <c r="P20" s="118"/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20"/>
      <c r="K21" s="120"/>
      <c r="L21" s="120"/>
      <c r="M21" s="120"/>
      <c r="N21" s="121"/>
      <c r="O21" s="121"/>
      <c r="P21" s="122"/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/>
      <c r="K22" s="113"/>
      <c r="L22" s="114"/>
      <c r="M22" s="114"/>
      <c r="N22" s="115"/>
      <c r="O22" s="115"/>
      <c r="P22" s="113"/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/>
      <c r="K23" s="113"/>
      <c r="L23" s="114"/>
      <c r="M23" s="114"/>
      <c r="N23" s="115"/>
      <c r="O23" s="115"/>
      <c r="P23" s="113"/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/>
      <c r="K24" s="118"/>
      <c r="L24" s="117"/>
      <c r="M24" s="117"/>
      <c r="N24" s="119"/>
      <c r="O24" s="119"/>
      <c r="P24" s="118"/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/>
      <c r="K25" s="118"/>
      <c r="L25" s="117"/>
      <c r="M25" s="117"/>
      <c r="N25" s="119"/>
      <c r="O25" s="119"/>
      <c r="P25" s="118"/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/>
      <c r="K26" s="113"/>
      <c r="L26" s="114"/>
      <c r="M26" s="114"/>
      <c r="N26" s="115"/>
      <c r="O26" s="115"/>
      <c r="P26" s="113"/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/>
      <c r="K27" s="113"/>
      <c r="L27" s="114"/>
      <c r="M27" s="114"/>
      <c r="N27" s="115"/>
      <c r="O27" s="115"/>
      <c r="P27" s="113"/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fitToWidth="0" fitToHeight="0" orientation="portrait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80" zoomScaleNormal="80" workbookViewId="0"/>
  </sheetViews>
  <sheetFormatPr defaultRowHeight="14.25" x14ac:dyDescent="0.2"/>
  <cols>
    <col min="1" max="1" width="8.25" customWidth="1"/>
    <col min="2" max="2" width="7.375" customWidth="1"/>
    <col min="3" max="3" width="8.5" customWidth="1"/>
    <col min="4" max="6" width="7" customWidth="1"/>
    <col min="7" max="7" width="6.625" customWidth="1"/>
    <col min="8" max="8" width="12.75" customWidth="1"/>
    <col min="9" max="9" width="8.5" customWidth="1"/>
    <col min="10" max="10" width="7.5" customWidth="1"/>
    <col min="11" max="11" width="7" customWidth="1"/>
    <col min="12" max="12" width="5.875" customWidth="1"/>
    <col min="13" max="13" width="6.5" customWidth="1"/>
    <col min="14" max="14" width="5.625" customWidth="1"/>
    <col min="15" max="15" width="5.875" customWidth="1"/>
    <col min="16" max="16" width="4.375" customWidth="1"/>
    <col min="17" max="18" width="5" customWidth="1"/>
    <col min="19" max="19" width="4.875" customWidth="1"/>
    <col min="20" max="20" width="6" customWidth="1"/>
    <col min="21" max="21" width="8" customWidth="1"/>
    <col min="22" max="23" width="9" customWidth="1"/>
    <col min="24" max="24" width="6.375" customWidth="1"/>
    <col min="25" max="25" width="6" customWidth="1"/>
    <col min="26" max="26" width="4.375" customWidth="1"/>
    <col min="27" max="27" width="4.25" customWidth="1"/>
    <col min="28" max="30" width="9.25" customWidth="1"/>
    <col min="31" max="1024" width="10.6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146</v>
      </c>
      <c r="G1" s="3" t="s">
        <v>3</v>
      </c>
      <c r="H1" s="2"/>
      <c r="I1" s="129" t="s">
        <v>4</v>
      </c>
      <c r="J1" s="129"/>
      <c r="K1" s="151" t="s">
        <v>545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38.25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38.25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>
        <v>42159</v>
      </c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546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72</v>
      </c>
      <c r="E1" s="1" t="s">
        <v>2</v>
      </c>
      <c r="F1" s="2">
        <v>147</v>
      </c>
      <c r="G1" s="3" t="s">
        <v>3</v>
      </c>
      <c r="H1" s="2"/>
      <c r="I1" s="129" t="s">
        <v>4</v>
      </c>
      <c r="J1" s="129"/>
      <c r="K1" s="151" t="s">
        <v>547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101</v>
      </c>
      <c r="K7" s="137"/>
      <c r="L7" s="138" t="s">
        <v>102</v>
      </c>
      <c r="M7" s="138"/>
      <c r="N7" s="138" t="s">
        <v>103</v>
      </c>
      <c r="O7" s="138"/>
      <c r="P7" s="139" t="s">
        <v>104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42574</v>
      </c>
      <c r="J8" s="133" t="s">
        <v>98</v>
      </c>
      <c r="K8" s="133"/>
      <c r="L8" s="133" t="s">
        <v>98</v>
      </c>
      <c r="M8" s="133"/>
      <c r="N8" s="133" t="s">
        <v>98</v>
      </c>
      <c r="O8" s="133"/>
      <c r="P8" s="133" t="s">
        <v>98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435</v>
      </c>
      <c r="K9" s="130"/>
      <c r="L9" s="114">
        <v>414</v>
      </c>
      <c r="M9" s="114"/>
      <c r="N9" s="114">
        <v>371</v>
      </c>
      <c r="O9" s="114"/>
      <c r="P9" s="113">
        <v>220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47"/>
      <c r="K10" s="147"/>
      <c r="L10" s="147"/>
      <c r="M10" s="147"/>
      <c r="N10" s="147"/>
      <c r="O10" s="147"/>
      <c r="P10" s="147"/>
      <c r="Q10" s="147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42589</v>
      </c>
      <c r="J11" s="142"/>
      <c r="K11" s="142"/>
      <c r="L11" s="142"/>
      <c r="M11" s="142"/>
      <c r="N11" s="142"/>
      <c r="O11" s="142"/>
      <c r="P11" s="142"/>
      <c r="Q11" s="14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70"/>
      <c r="J12" s="130">
        <v>622</v>
      </c>
      <c r="K12" s="130"/>
      <c r="L12" s="142"/>
      <c r="M12" s="142"/>
      <c r="N12" s="142"/>
      <c r="O12" s="142"/>
      <c r="P12" s="142"/>
      <c r="Q12" s="142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47"/>
      <c r="K13" s="147"/>
      <c r="L13" s="147"/>
      <c r="M13" s="147"/>
      <c r="N13" s="147"/>
      <c r="O13" s="147"/>
      <c r="P13" s="148"/>
      <c r="Q13" s="14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47"/>
      <c r="K14" s="147"/>
      <c r="L14" s="147"/>
      <c r="M14" s="147"/>
      <c r="N14" s="147"/>
      <c r="O14" s="147"/>
      <c r="P14" s="148"/>
      <c r="Q14" s="14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47"/>
      <c r="K15" s="147"/>
      <c r="L15" s="147"/>
      <c r="M15" s="147"/>
      <c r="N15" s="147"/>
      <c r="O15" s="147"/>
      <c r="P15" s="149"/>
      <c r="Q15" s="149"/>
      <c r="R15" s="150" t="s">
        <v>548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/>
      <c r="J16" s="142"/>
      <c r="K16" s="142"/>
      <c r="L16" s="142"/>
      <c r="M16" s="142"/>
      <c r="N16" s="153"/>
      <c r="O16" s="153"/>
      <c r="P16" s="142"/>
      <c r="Q16" s="14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42"/>
      <c r="K17" s="142"/>
      <c r="L17" s="142"/>
      <c r="M17" s="142"/>
      <c r="N17" s="153"/>
      <c r="O17" s="153"/>
      <c r="P17" s="142"/>
      <c r="Q17" s="142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47"/>
      <c r="K18" s="147"/>
      <c r="L18" s="147"/>
      <c r="M18" s="147"/>
      <c r="N18" s="148"/>
      <c r="O18" s="148"/>
      <c r="P18" s="147"/>
      <c r="Q18" s="147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47"/>
      <c r="K19" s="147"/>
      <c r="L19" s="147"/>
      <c r="M19" s="147"/>
      <c r="N19" s="148"/>
      <c r="O19" s="148"/>
      <c r="P19" s="147"/>
      <c r="Q19" s="147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227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47"/>
      <c r="K20" s="147"/>
      <c r="L20" s="147"/>
      <c r="M20" s="147"/>
      <c r="N20" s="148"/>
      <c r="O20" s="148"/>
      <c r="P20" s="147"/>
      <c r="Q20" s="147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114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/>
      <c r="J21" s="142"/>
      <c r="K21" s="142"/>
      <c r="L21" s="142"/>
      <c r="M21" s="142"/>
      <c r="N21" s="153"/>
      <c r="O21" s="153"/>
      <c r="P21" s="142"/>
      <c r="Q21" s="14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46">
        <v>42589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115618940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129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"/>
  <sheetViews>
    <sheetView zoomScale="60" zoomScaleNormal="60" workbookViewId="0"/>
  </sheetViews>
  <sheetFormatPr defaultRowHeight="14.25" x14ac:dyDescent="0.2"/>
  <cols>
    <col min="1" max="1024" width="8.125" customWidth="1"/>
  </cols>
  <sheetData>
    <row r="1" spans="1:32" x14ac:dyDescent="0.2">
      <c r="A1" s="1" t="s">
        <v>0</v>
      </c>
      <c r="B1" s="2">
        <v>2015</v>
      </c>
      <c r="C1" s="1" t="s">
        <v>0</v>
      </c>
      <c r="D1" s="2">
        <v>2016</v>
      </c>
      <c r="E1" s="1" t="s">
        <v>1</v>
      </c>
      <c r="F1" s="2"/>
      <c r="G1" s="1" t="s">
        <v>2</v>
      </c>
      <c r="H1" s="2">
        <v>148</v>
      </c>
      <c r="I1" s="3" t="s">
        <v>3</v>
      </c>
      <c r="J1" s="2"/>
      <c r="K1" s="129" t="s">
        <v>4</v>
      </c>
      <c r="L1" s="129"/>
      <c r="M1" s="151" t="s">
        <v>549</v>
      </c>
      <c r="N1" s="151"/>
      <c r="O1" s="151"/>
      <c r="P1" s="151"/>
      <c r="Q1" s="151"/>
      <c r="R1" s="143" t="s">
        <v>5</v>
      </c>
      <c r="S1" s="143"/>
      <c r="T1" s="152" t="s">
        <v>148</v>
      </c>
      <c r="U1" s="152"/>
      <c r="V1" s="5"/>
      <c r="W1" s="5"/>
      <c r="X1" s="5"/>
      <c r="Y1" s="5"/>
      <c r="Z1" s="5"/>
      <c r="AA1" s="5"/>
      <c r="AB1" s="6"/>
      <c r="AC1" s="7"/>
      <c r="AD1" s="7"/>
      <c r="AE1" s="7"/>
      <c r="AF1" s="7"/>
    </row>
    <row r="2" spans="1:32" ht="51" customHeight="1" x14ac:dyDescent="0.2">
      <c r="A2" s="8" t="s">
        <v>6</v>
      </c>
      <c r="B2" s="9" t="s">
        <v>7</v>
      </c>
      <c r="C2" s="8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145" t="s">
        <v>17</v>
      </c>
      <c r="O2" s="145"/>
      <c r="P2" s="9" t="s">
        <v>18</v>
      </c>
      <c r="Q2" s="9" t="s">
        <v>19</v>
      </c>
      <c r="R2" s="9" t="s">
        <v>20</v>
      </c>
      <c r="S2" s="145" t="s">
        <v>21</v>
      </c>
      <c r="T2" s="145"/>
      <c r="U2" s="10" t="s">
        <v>22</v>
      </c>
      <c r="V2" s="10" t="s">
        <v>23</v>
      </c>
      <c r="W2" s="11" t="s">
        <v>24</v>
      </c>
      <c r="X2" s="10" t="s">
        <v>25</v>
      </c>
      <c r="Y2" s="10" t="s">
        <v>26</v>
      </c>
      <c r="Z2" s="10" t="s">
        <v>27</v>
      </c>
      <c r="AA2" s="123" t="s">
        <v>28</v>
      </c>
      <c r="AB2" s="123"/>
      <c r="AC2" s="12" t="s">
        <v>29</v>
      </c>
      <c r="AD2" s="12" t="s">
        <v>30</v>
      </c>
      <c r="AE2" s="13" t="s">
        <v>31</v>
      </c>
      <c r="AF2" s="12" t="s">
        <v>32</v>
      </c>
    </row>
    <row r="3" spans="1:32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4" t="s">
        <v>33</v>
      </c>
      <c r="M3" s="14" t="s">
        <v>33</v>
      </c>
      <c r="N3" s="15" t="s">
        <v>33</v>
      </c>
      <c r="O3" s="15" t="s">
        <v>33</v>
      </c>
      <c r="P3" s="14" t="s">
        <v>33</v>
      </c>
      <c r="Q3" s="14" t="s">
        <v>33</v>
      </c>
      <c r="R3" s="16" t="s">
        <v>33</v>
      </c>
      <c r="S3" s="16" t="s">
        <v>33</v>
      </c>
      <c r="T3" s="16" t="s">
        <v>33</v>
      </c>
      <c r="U3" s="16" t="s">
        <v>33</v>
      </c>
      <c r="V3" s="16" t="s">
        <v>33</v>
      </c>
      <c r="W3" s="14" t="s">
        <v>33</v>
      </c>
      <c r="X3" s="14" t="s">
        <v>33</v>
      </c>
      <c r="Y3" s="14" t="s">
        <v>33</v>
      </c>
      <c r="Z3" s="16" t="s">
        <v>33</v>
      </c>
      <c r="AA3" s="17" t="s">
        <v>33</v>
      </c>
      <c r="AB3" s="17" t="s">
        <v>33</v>
      </c>
      <c r="AC3" s="7"/>
      <c r="AD3" s="7"/>
      <c r="AE3" s="7"/>
      <c r="AF3" s="7"/>
    </row>
    <row r="4" spans="1:32" ht="51" customHeight="1" x14ac:dyDescent="0.2">
      <c r="A4" s="18" t="s">
        <v>34</v>
      </c>
      <c r="B4" s="10" t="s">
        <v>7</v>
      </c>
      <c r="C4" s="18" t="s">
        <v>34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0" t="s">
        <v>35</v>
      </c>
      <c r="M4" s="10" t="s">
        <v>16</v>
      </c>
      <c r="N4" s="123" t="s">
        <v>17</v>
      </c>
      <c r="O4" s="123"/>
      <c r="P4" s="10" t="s">
        <v>18</v>
      </c>
      <c r="Q4" s="10" t="s">
        <v>19</v>
      </c>
      <c r="R4" s="10" t="s">
        <v>20</v>
      </c>
      <c r="S4" s="123" t="s">
        <v>21</v>
      </c>
      <c r="T4" s="123"/>
      <c r="U4" s="10" t="s">
        <v>22</v>
      </c>
      <c r="V4" s="10" t="s">
        <v>23</v>
      </c>
      <c r="W4" s="10" t="s">
        <v>36</v>
      </c>
      <c r="X4" s="10" t="s">
        <v>25</v>
      </c>
      <c r="Y4" s="10" t="s">
        <v>26</v>
      </c>
      <c r="Z4" s="10" t="s">
        <v>27</v>
      </c>
      <c r="AA4" s="146" t="s">
        <v>28</v>
      </c>
      <c r="AB4" s="146"/>
      <c r="AC4" s="12" t="s">
        <v>29</v>
      </c>
      <c r="AD4" s="12" t="s">
        <v>30</v>
      </c>
      <c r="AE4" s="13" t="s">
        <v>31</v>
      </c>
      <c r="AF4" s="12" t="s">
        <v>32</v>
      </c>
    </row>
    <row r="5" spans="1:32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4" t="s">
        <v>33</v>
      </c>
      <c r="J5" s="14" t="s">
        <v>33</v>
      </c>
      <c r="K5" s="19" t="s">
        <v>33</v>
      </c>
      <c r="L5" s="19" t="s">
        <v>33</v>
      </c>
      <c r="M5" s="19" t="s">
        <v>33</v>
      </c>
      <c r="N5" s="20" t="s">
        <v>33</v>
      </c>
      <c r="O5" s="20" t="s">
        <v>33</v>
      </c>
      <c r="P5" s="19" t="s">
        <v>33</v>
      </c>
      <c r="Q5" s="19" t="s">
        <v>33</v>
      </c>
      <c r="R5" s="21" t="s">
        <v>33</v>
      </c>
      <c r="S5" s="21" t="s">
        <v>33</v>
      </c>
      <c r="T5" s="16" t="s">
        <v>33</v>
      </c>
      <c r="U5" s="16" t="s">
        <v>33</v>
      </c>
      <c r="V5" s="16" t="s">
        <v>33</v>
      </c>
      <c r="W5" s="14" t="s">
        <v>33</v>
      </c>
      <c r="X5" s="14" t="s">
        <v>33</v>
      </c>
      <c r="Y5" s="14" t="s">
        <v>33</v>
      </c>
      <c r="Z5" s="16" t="s">
        <v>33</v>
      </c>
      <c r="AA5" s="16" t="s">
        <v>33</v>
      </c>
      <c r="AB5" s="16" t="s">
        <v>33</v>
      </c>
      <c r="AC5" s="7"/>
      <c r="AD5" s="7"/>
      <c r="AE5" s="7"/>
      <c r="AF5" s="7"/>
    </row>
    <row r="6" spans="1:32" x14ac:dyDescent="0.2">
      <c r="A6" s="4" t="s">
        <v>37</v>
      </c>
      <c r="B6" s="10" t="s">
        <v>7</v>
      </c>
      <c r="C6" s="4" t="s">
        <v>37</v>
      </c>
      <c r="D6" s="10" t="s">
        <v>7</v>
      </c>
      <c r="E6" s="22" t="s">
        <v>38</v>
      </c>
      <c r="F6" s="22" t="s">
        <v>39</v>
      </c>
      <c r="G6" s="22" t="s">
        <v>40</v>
      </c>
      <c r="H6" s="22" t="s">
        <v>41</v>
      </c>
      <c r="I6" s="22" t="s">
        <v>42</v>
      </c>
      <c r="J6" s="23" t="s">
        <v>43</v>
      </c>
      <c r="K6" s="22" t="s">
        <v>7</v>
      </c>
      <c r="L6" s="117" t="s">
        <v>44</v>
      </c>
      <c r="M6" s="117"/>
      <c r="N6" s="117" t="s">
        <v>45</v>
      </c>
      <c r="O6" s="117"/>
      <c r="P6" s="117" t="s">
        <v>46</v>
      </c>
      <c r="Q6" s="117"/>
      <c r="R6" s="117" t="s">
        <v>47</v>
      </c>
      <c r="S6" s="117"/>
      <c r="T6" s="24"/>
      <c r="U6" s="136" t="s">
        <v>48</v>
      </c>
      <c r="V6" s="136"/>
      <c r="W6" s="136"/>
      <c r="X6" s="136"/>
      <c r="Y6" s="136"/>
      <c r="Z6" s="136"/>
      <c r="AA6" s="136"/>
      <c r="AB6" s="136"/>
      <c r="AC6" s="7"/>
      <c r="AD6" s="7"/>
      <c r="AE6" s="7"/>
      <c r="AF6" s="7"/>
    </row>
    <row r="7" spans="1:32" x14ac:dyDescent="0.2">
      <c r="A7" s="25" t="s">
        <v>49</v>
      </c>
      <c r="B7" s="16"/>
      <c r="C7" s="25" t="s">
        <v>49</v>
      </c>
      <c r="D7" s="16"/>
      <c r="E7" s="26"/>
      <c r="F7" s="26"/>
      <c r="G7" s="26"/>
      <c r="H7" s="26"/>
      <c r="I7" s="27" t="e">
        <f>{#DIV/0!}</f>
        <v>#DIV/0!</v>
      </c>
      <c r="J7" s="28" t="s">
        <v>50</v>
      </c>
      <c r="K7" s="29"/>
      <c r="L7" s="137" t="s">
        <v>33</v>
      </c>
      <c r="M7" s="137"/>
      <c r="N7" s="138" t="s">
        <v>33</v>
      </c>
      <c r="O7" s="138"/>
      <c r="P7" s="178"/>
      <c r="Q7" s="178"/>
      <c r="R7" s="178"/>
      <c r="S7" s="178"/>
      <c r="T7" s="31" t="s">
        <v>51</v>
      </c>
      <c r="U7" s="32"/>
      <c r="V7" s="33" t="s">
        <v>33</v>
      </c>
      <c r="W7" s="140" t="s">
        <v>52</v>
      </c>
      <c r="X7" s="140"/>
      <c r="Y7" s="140"/>
      <c r="Z7" s="141" t="s">
        <v>33</v>
      </c>
      <c r="AA7" s="141"/>
      <c r="AB7" s="141"/>
      <c r="AC7" s="7"/>
      <c r="AD7" s="7"/>
      <c r="AE7" s="7"/>
      <c r="AF7" s="7"/>
    </row>
    <row r="8" spans="1:32" x14ac:dyDescent="0.2">
      <c r="A8" s="34" t="s">
        <v>53</v>
      </c>
      <c r="B8" s="16" t="s">
        <v>33</v>
      </c>
      <c r="C8" s="34" t="s">
        <v>53</v>
      </c>
      <c r="D8" s="16" t="s">
        <v>33</v>
      </c>
      <c r="E8" s="16" t="s">
        <v>33</v>
      </c>
      <c r="F8" s="16" t="s">
        <v>33</v>
      </c>
      <c r="G8" s="16" t="s">
        <v>33</v>
      </c>
      <c r="H8" s="16" t="s">
        <v>33</v>
      </c>
      <c r="I8" s="22"/>
      <c r="J8" s="28" t="s">
        <v>54</v>
      </c>
      <c r="K8" s="35" t="s">
        <v>197</v>
      </c>
      <c r="L8" s="133" t="s">
        <v>202</v>
      </c>
      <c r="M8" s="133"/>
      <c r="N8" s="133" t="s">
        <v>202</v>
      </c>
      <c r="O8" s="133"/>
      <c r="P8" s="142"/>
      <c r="Q8" s="142"/>
      <c r="R8" s="142"/>
      <c r="S8" s="142"/>
      <c r="T8" s="36" t="s">
        <v>55</v>
      </c>
      <c r="U8" s="37"/>
      <c r="V8" s="33" t="s">
        <v>33</v>
      </c>
      <c r="W8" s="134" t="s">
        <v>56</v>
      </c>
      <c r="X8" s="134"/>
      <c r="Y8" s="134"/>
      <c r="Z8" s="135" t="s">
        <v>33</v>
      </c>
      <c r="AA8" s="135"/>
      <c r="AB8" s="135"/>
      <c r="AC8" s="7"/>
      <c r="AD8" s="7"/>
      <c r="AE8" s="7"/>
      <c r="AF8" s="7"/>
    </row>
    <row r="9" spans="1:32" x14ac:dyDescent="0.2">
      <c r="A9" s="34" t="s">
        <v>53</v>
      </c>
      <c r="B9" s="16" t="s">
        <v>33</v>
      </c>
      <c r="C9" s="34" t="s">
        <v>53</v>
      </c>
      <c r="D9" s="16" t="s">
        <v>33</v>
      </c>
      <c r="E9" s="16" t="s">
        <v>33</v>
      </c>
      <c r="F9" s="16" t="s">
        <v>33</v>
      </c>
      <c r="G9" s="16" t="s">
        <v>33</v>
      </c>
      <c r="H9" s="16" t="s">
        <v>33</v>
      </c>
      <c r="I9" s="22"/>
      <c r="J9" s="28" t="s">
        <v>57</v>
      </c>
      <c r="K9" s="38"/>
      <c r="L9" s="130">
        <v>794</v>
      </c>
      <c r="M9" s="130"/>
      <c r="N9" s="114">
        <v>1000</v>
      </c>
      <c r="O9" s="114"/>
      <c r="P9" s="142"/>
      <c r="Q9" s="142"/>
      <c r="R9" s="142"/>
      <c r="S9" s="142"/>
      <c r="T9" s="36" t="s">
        <v>58</v>
      </c>
      <c r="U9" s="37"/>
      <c r="V9" s="33" t="s">
        <v>33</v>
      </c>
      <c r="W9" s="134" t="s">
        <v>59</v>
      </c>
      <c r="X9" s="134"/>
      <c r="Y9" s="134"/>
      <c r="Z9" s="135" t="s">
        <v>33</v>
      </c>
      <c r="AA9" s="135"/>
      <c r="AB9" s="135"/>
      <c r="AC9" s="7"/>
      <c r="AD9" s="7"/>
      <c r="AE9" s="7"/>
      <c r="AF9" s="7"/>
    </row>
    <row r="10" spans="1:32" x14ac:dyDescent="0.2">
      <c r="A10" s="34" t="s">
        <v>53</v>
      </c>
      <c r="B10" s="16" t="s">
        <v>33</v>
      </c>
      <c r="C10" s="34" t="s">
        <v>53</v>
      </c>
      <c r="D10" s="16" t="s">
        <v>33</v>
      </c>
      <c r="E10" s="16" t="s">
        <v>33</v>
      </c>
      <c r="F10" s="16" t="s">
        <v>33</v>
      </c>
      <c r="G10" s="16" t="s">
        <v>33</v>
      </c>
      <c r="H10" s="16" t="s">
        <v>33</v>
      </c>
      <c r="I10" s="22"/>
      <c r="J10" s="28" t="s">
        <v>60</v>
      </c>
      <c r="K10" s="39"/>
      <c r="L10" s="125" t="s">
        <v>33</v>
      </c>
      <c r="M10" s="125"/>
      <c r="N10" s="117" t="s">
        <v>33</v>
      </c>
      <c r="O10" s="117"/>
      <c r="P10" s="117" t="s">
        <v>33</v>
      </c>
      <c r="Q10" s="117"/>
      <c r="R10" s="118" t="s">
        <v>33</v>
      </c>
      <c r="S10" s="118"/>
      <c r="T10" s="36" t="s">
        <v>61</v>
      </c>
      <c r="U10" s="37"/>
      <c r="V10" s="33" t="s">
        <v>33</v>
      </c>
      <c r="W10" s="134" t="s">
        <v>62</v>
      </c>
      <c r="X10" s="134"/>
      <c r="Y10" s="134"/>
      <c r="Z10" s="135" t="s">
        <v>33</v>
      </c>
      <c r="AA10" s="135"/>
      <c r="AB10" s="135"/>
      <c r="AC10" s="7"/>
      <c r="AD10" s="7"/>
      <c r="AE10" s="7"/>
      <c r="AF10" s="7"/>
    </row>
    <row r="11" spans="1:32" x14ac:dyDescent="0.2">
      <c r="A11" s="34" t="s">
        <v>53</v>
      </c>
      <c r="B11" s="16" t="s">
        <v>33</v>
      </c>
      <c r="C11" s="34" t="s">
        <v>53</v>
      </c>
      <c r="D11" s="16" t="s">
        <v>33</v>
      </c>
      <c r="E11" s="16" t="s">
        <v>33</v>
      </c>
      <c r="F11" s="16" t="s">
        <v>33</v>
      </c>
      <c r="G11" s="16" t="s">
        <v>33</v>
      </c>
      <c r="H11" s="16" t="s">
        <v>33</v>
      </c>
      <c r="I11" s="22"/>
      <c r="J11" s="28" t="s">
        <v>63</v>
      </c>
      <c r="K11" s="35">
        <v>40767</v>
      </c>
      <c r="L11" s="133">
        <v>40767</v>
      </c>
      <c r="M11" s="133"/>
      <c r="N11" s="133">
        <v>40767</v>
      </c>
      <c r="O11" s="133"/>
      <c r="P11" s="133">
        <v>40767</v>
      </c>
      <c r="Q11" s="133"/>
      <c r="R11" s="122">
        <v>40767</v>
      </c>
      <c r="S11" s="122"/>
      <c r="T11" s="36" t="s">
        <v>64</v>
      </c>
      <c r="U11" s="37"/>
      <c r="V11" s="33" t="s">
        <v>33</v>
      </c>
      <c r="W11" s="134" t="s">
        <v>65</v>
      </c>
      <c r="X11" s="134"/>
      <c r="Y11" s="134"/>
      <c r="Z11" s="135" t="s">
        <v>33</v>
      </c>
      <c r="AA11" s="135"/>
      <c r="AB11" s="135"/>
      <c r="AC11" s="7"/>
      <c r="AD11" s="7"/>
      <c r="AE11" s="7"/>
      <c r="AF11" s="7"/>
    </row>
    <row r="12" spans="1:32" x14ac:dyDescent="0.2">
      <c r="A12" s="34" t="s">
        <v>53</v>
      </c>
      <c r="B12" s="16" t="s">
        <v>33</v>
      </c>
      <c r="C12" s="34" t="s">
        <v>53</v>
      </c>
      <c r="D12" s="16" t="s">
        <v>33</v>
      </c>
      <c r="E12" s="16" t="s">
        <v>33</v>
      </c>
      <c r="F12" s="16" t="s">
        <v>33</v>
      </c>
      <c r="G12" s="16" t="s">
        <v>33</v>
      </c>
      <c r="H12" s="16" t="s">
        <v>33</v>
      </c>
      <c r="I12" s="22"/>
      <c r="J12" s="28" t="s">
        <v>66</v>
      </c>
      <c r="K12" s="38"/>
      <c r="L12" s="130" t="s">
        <v>33</v>
      </c>
      <c r="M12" s="130"/>
      <c r="N12" s="114" t="s">
        <v>33</v>
      </c>
      <c r="O12" s="114"/>
      <c r="P12" s="114" t="s">
        <v>33</v>
      </c>
      <c r="Q12" s="114"/>
      <c r="R12" s="113" t="s">
        <v>33</v>
      </c>
      <c r="S12" s="113"/>
      <c r="T12" s="36" t="s">
        <v>67</v>
      </c>
      <c r="U12" s="37"/>
      <c r="V12" s="40" t="s">
        <v>33</v>
      </c>
      <c r="W12" s="131" t="s">
        <v>68</v>
      </c>
      <c r="X12" s="131"/>
      <c r="Y12" s="131"/>
      <c r="Z12" s="132" t="s">
        <v>33</v>
      </c>
      <c r="AA12" s="132"/>
      <c r="AB12" s="132"/>
      <c r="AC12" s="7"/>
      <c r="AD12" s="7"/>
      <c r="AE12" s="7"/>
      <c r="AF12" s="7"/>
    </row>
    <row r="13" spans="1:32" x14ac:dyDescent="0.2">
      <c r="A13" s="34" t="s">
        <v>53</v>
      </c>
      <c r="B13" s="16" t="s">
        <v>33</v>
      </c>
      <c r="C13" s="34" t="s">
        <v>53</v>
      </c>
      <c r="D13" s="16" t="s">
        <v>33</v>
      </c>
      <c r="E13" s="16" t="s">
        <v>33</v>
      </c>
      <c r="F13" s="16" t="s">
        <v>33</v>
      </c>
      <c r="G13" s="16" t="s">
        <v>33</v>
      </c>
      <c r="H13" s="16" t="s">
        <v>33</v>
      </c>
      <c r="I13" s="22"/>
      <c r="J13" s="28" t="s">
        <v>69</v>
      </c>
      <c r="K13" s="39"/>
      <c r="L13" s="125" t="s">
        <v>33</v>
      </c>
      <c r="M13" s="125"/>
      <c r="N13" s="117" t="s">
        <v>33</v>
      </c>
      <c r="O13" s="117"/>
      <c r="P13" s="117" t="s">
        <v>33</v>
      </c>
      <c r="Q13" s="117"/>
      <c r="R13" s="128" t="s">
        <v>33</v>
      </c>
      <c r="S13" s="128"/>
      <c r="T13" s="129" t="s">
        <v>70</v>
      </c>
      <c r="U13" s="129"/>
      <c r="V13" s="129"/>
      <c r="W13" s="129"/>
      <c r="X13" s="129"/>
      <c r="Y13" s="129"/>
      <c r="Z13" s="129"/>
      <c r="AA13" s="129"/>
      <c r="AB13" s="129"/>
      <c r="AC13" s="7"/>
      <c r="AD13" s="7"/>
      <c r="AE13" s="7"/>
      <c r="AF13" s="7"/>
    </row>
    <row r="14" spans="1:32" x14ac:dyDescent="0.2">
      <c r="A14" s="34" t="s">
        <v>53</v>
      </c>
      <c r="B14" s="16" t="s">
        <v>33</v>
      </c>
      <c r="C14" s="34" t="s">
        <v>53</v>
      </c>
      <c r="D14" s="16" t="s">
        <v>33</v>
      </c>
      <c r="E14" s="16" t="s">
        <v>33</v>
      </c>
      <c r="F14" s="16" t="s">
        <v>33</v>
      </c>
      <c r="G14" s="16" t="s">
        <v>33</v>
      </c>
      <c r="H14" s="16" t="s">
        <v>33</v>
      </c>
      <c r="I14" s="22"/>
      <c r="J14" s="28" t="s">
        <v>71</v>
      </c>
      <c r="K14" s="39"/>
      <c r="L14" s="125" t="s">
        <v>33</v>
      </c>
      <c r="M14" s="125"/>
      <c r="N14" s="117" t="s">
        <v>33</v>
      </c>
      <c r="O14" s="117"/>
      <c r="P14" s="117" t="s">
        <v>33</v>
      </c>
      <c r="Q14" s="117"/>
      <c r="R14" s="128" t="s">
        <v>33</v>
      </c>
      <c r="S14" s="128"/>
      <c r="T14" s="129"/>
      <c r="U14" s="129"/>
      <c r="V14" s="129"/>
      <c r="W14" s="129"/>
      <c r="X14" s="129"/>
      <c r="Y14" s="129"/>
      <c r="Z14" s="129"/>
      <c r="AA14" s="129"/>
      <c r="AB14" s="129"/>
      <c r="AC14" s="7"/>
      <c r="AD14" s="7"/>
      <c r="AE14" s="7"/>
      <c r="AF14" s="7"/>
    </row>
    <row r="15" spans="1:32" x14ac:dyDescent="0.2">
      <c r="A15" s="34" t="s">
        <v>53</v>
      </c>
      <c r="B15" s="16" t="s">
        <v>33</v>
      </c>
      <c r="C15" s="34" t="s">
        <v>53</v>
      </c>
      <c r="D15" s="16" t="s">
        <v>33</v>
      </c>
      <c r="E15" s="16" t="s">
        <v>33</v>
      </c>
      <c r="F15" s="16" t="s">
        <v>33</v>
      </c>
      <c r="G15" s="16" t="s">
        <v>33</v>
      </c>
      <c r="H15" s="16" t="s">
        <v>33</v>
      </c>
      <c r="I15" s="22"/>
      <c r="J15" s="28" t="s">
        <v>72</v>
      </c>
      <c r="K15" s="39"/>
      <c r="L15" s="125" t="s">
        <v>33</v>
      </c>
      <c r="M15" s="125"/>
      <c r="N15" s="117" t="s">
        <v>33</v>
      </c>
      <c r="O15" s="117"/>
      <c r="P15" s="117" t="s">
        <v>33</v>
      </c>
      <c r="Q15" s="117"/>
      <c r="R15" s="126" t="s">
        <v>33</v>
      </c>
      <c r="S15" s="126"/>
      <c r="T15" s="150" t="s">
        <v>550</v>
      </c>
      <c r="U15" s="150"/>
      <c r="V15" s="150"/>
      <c r="W15" s="150"/>
      <c r="X15" s="150"/>
      <c r="Y15" s="150"/>
      <c r="Z15" s="150"/>
      <c r="AA15" s="150"/>
      <c r="AB15" s="150"/>
      <c r="AC15" s="7"/>
      <c r="AD15" s="7"/>
      <c r="AE15" s="7"/>
      <c r="AF15" s="7"/>
    </row>
    <row r="16" spans="1:32" x14ac:dyDescent="0.2">
      <c r="A16" s="41" t="s">
        <v>73</v>
      </c>
      <c r="B16" s="16"/>
      <c r="C16" s="41" t="s">
        <v>73</v>
      </c>
      <c r="D16" s="16"/>
      <c r="E16" s="26"/>
      <c r="F16" s="26"/>
      <c r="G16" s="26"/>
      <c r="H16" s="26"/>
      <c r="I16" s="27" t="e">
        <f>{#DIV/0!}</f>
        <v>#DIV/0!</v>
      </c>
      <c r="J16" s="28" t="s">
        <v>74</v>
      </c>
      <c r="K16" s="35">
        <v>40770</v>
      </c>
      <c r="L16" s="120">
        <v>40770</v>
      </c>
      <c r="M16" s="120"/>
      <c r="N16" s="120">
        <v>40770</v>
      </c>
      <c r="O16" s="120"/>
      <c r="P16" s="121">
        <v>40770</v>
      </c>
      <c r="Q16" s="121"/>
      <c r="R16" s="122">
        <v>40770</v>
      </c>
      <c r="S16" s="122"/>
      <c r="T16" s="150"/>
      <c r="U16" s="150"/>
      <c r="V16" s="150"/>
      <c r="W16" s="150"/>
      <c r="X16" s="150"/>
      <c r="Y16" s="150"/>
      <c r="Z16" s="150"/>
      <c r="AA16" s="150"/>
      <c r="AB16" s="150"/>
      <c r="AC16" s="7"/>
      <c r="AD16" s="7"/>
      <c r="AE16" s="7"/>
      <c r="AF16" s="7"/>
    </row>
    <row r="17" spans="1:28" ht="15" customHeight="1" x14ac:dyDescent="0.2">
      <c r="A17" s="123" t="s">
        <v>75</v>
      </c>
      <c r="B17" s="123"/>
      <c r="C17" s="123" t="s">
        <v>75</v>
      </c>
      <c r="D17" s="123"/>
      <c r="E17" s="42">
        <v>0</v>
      </c>
      <c r="F17" s="42">
        <v>0</v>
      </c>
      <c r="G17" s="42">
        <v>0</v>
      </c>
      <c r="H17" s="42">
        <v>0</v>
      </c>
      <c r="I17" s="43">
        <v>0</v>
      </c>
      <c r="J17" s="28" t="s">
        <v>76</v>
      </c>
      <c r="K17" s="38"/>
      <c r="L17" s="113" t="s">
        <v>33</v>
      </c>
      <c r="M17" s="113"/>
      <c r="N17" s="114" t="s">
        <v>33</v>
      </c>
      <c r="O17" s="114"/>
      <c r="P17" s="115" t="s">
        <v>33</v>
      </c>
      <c r="Q17" s="115"/>
      <c r="R17" s="113" t="s">
        <v>33</v>
      </c>
      <c r="S17" s="113"/>
      <c r="T17" s="150"/>
      <c r="U17" s="150"/>
      <c r="V17" s="150"/>
      <c r="W17" s="150"/>
      <c r="X17" s="150"/>
      <c r="Y17" s="150"/>
      <c r="Z17" s="150"/>
      <c r="AA17" s="150"/>
      <c r="AB17" s="150"/>
    </row>
    <row r="18" spans="1:28" x14ac:dyDescent="0.2">
      <c r="A18" s="124" t="s">
        <v>77</v>
      </c>
      <c r="B18" s="124"/>
      <c r="C18" s="124" t="s">
        <v>77</v>
      </c>
      <c r="D18" s="124"/>
      <c r="E18" s="117" t="s">
        <v>44</v>
      </c>
      <c r="F18" s="117" t="s">
        <v>45</v>
      </c>
      <c r="G18" s="117" t="s">
        <v>46</v>
      </c>
      <c r="H18" s="117" t="s">
        <v>47</v>
      </c>
      <c r="I18" s="117" t="s">
        <v>42</v>
      </c>
      <c r="J18" s="39" t="s">
        <v>78</v>
      </c>
      <c r="K18" s="39"/>
      <c r="L18" s="118" t="s">
        <v>33</v>
      </c>
      <c r="M18" s="118"/>
      <c r="N18" s="117" t="s">
        <v>33</v>
      </c>
      <c r="O18" s="117"/>
      <c r="P18" s="119" t="s">
        <v>33</v>
      </c>
      <c r="Q18" s="119"/>
      <c r="R18" s="118" t="s">
        <v>33</v>
      </c>
      <c r="S18" s="118"/>
      <c r="T18" s="150"/>
      <c r="U18" s="150"/>
      <c r="V18" s="150"/>
      <c r="W18" s="150"/>
      <c r="X18" s="150"/>
      <c r="Y18" s="150"/>
      <c r="Z18" s="150"/>
      <c r="AA18" s="150"/>
      <c r="AB18" s="150"/>
    </row>
    <row r="19" spans="1:28" x14ac:dyDescent="0.2">
      <c r="A19" s="124"/>
      <c r="B19" s="124"/>
      <c r="C19" s="124"/>
      <c r="D19" s="124"/>
      <c r="E19" s="117"/>
      <c r="F19" s="117"/>
      <c r="G19" s="117"/>
      <c r="H19" s="117"/>
      <c r="I19" s="117"/>
      <c r="J19" s="39" t="s">
        <v>71</v>
      </c>
      <c r="K19" s="39"/>
      <c r="L19" s="118" t="s">
        <v>33</v>
      </c>
      <c r="M19" s="118"/>
      <c r="N19" s="117" t="s">
        <v>33</v>
      </c>
      <c r="O19" s="117"/>
      <c r="P19" s="119" t="s">
        <v>33</v>
      </c>
      <c r="Q19" s="119"/>
      <c r="R19" s="118" t="s">
        <v>33</v>
      </c>
      <c r="S19" s="118"/>
      <c r="T19" s="150"/>
      <c r="U19" s="150"/>
      <c r="V19" s="150"/>
      <c r="W19" s="150"/>
      <c r="X19" s="150"/>
      <c r="Y19" s="150"/>
      <c r="Z19" s="150"/>
      <c r="AA19" s="150"/>
      <c r="AB19" s="150"/>
    </row>
    <row r="20" spans="1:28" x14ac:dyDescent="0.2">
      <c r="A20" s="117" t="s">
        <v>79</v>
      </c>
      <c r="B20" s="117"/>
      <c r="C20" s="117" t="s">
        <v>79</v>
      </c>
      <c r="D20" s="117"/>
      <c r="E20" s="30" t="s">
        <v>203</v>
      </c>
      <c r="F20" s="30" t="s">
        <v>204</v>
      </c>
      <c r="G20" s="30" t="s">
        <v>33</v>
      </c>
      <c r="H20" s="30" t="s">
        <v>33</v>
      </c>
      <c r="I20" s="30" t="s">
        <v>33</v>
      </c>
      <c r="J20" s="28" t="s">
        <v>72</v>
      </c>
      <c r="K20" s="39"/>
      <c r="L20" s="118" t="s">
        <v>33</v>
      </c>
      <c r="M20" s="118"/>
      <c r="N20" s="117" t="s">
        <v>33</v>
      </c>
      <c r="O20" s="117"/>
      <c r="P20" s="119" t="s">
        <v>33</v>
      </c>
      <c r="Q20" s="119"/>
      <c r="R20" s="118" t="s">
        <v>33</v>
      </c>
      <c r="S20" s="118"/>
      <c r="T20" s="150"/>
      <c r="U20" s="150"/>
      <c r="V20" s="150"/>
      <c r="W20" s="150"/>
      <c r="X20" s="150"/>
      <c r="Y20" s="150"/>
      <c r="Z20" s="150"/>
      <c r="AA20" s="150"/>
      <c r="AB20" s="150"/>
    </row>
    <row r="21" spans="1:28" x14ac:dyDescent="0.2">
      <c r="A21" s="117" t="s">
        <v>50</v>
      </c>
      <c r="B21" s="117"/>
      <c r="C21" s="117" t="s">
        <v>50</v>
      </c>
      <c r="D21" s="117"/>
      <c r="E21" s="14" t="s">
        <v>33</v>
      </c>
      <c r="F21" s="14" t="s">
        <v>33</v>
      </c>
      <c r="G21" s="14" t="s">
        <v>33</v>
      </c>
      <c r="H21" s="14" t="s">
        <v>33</v>
      </c>
      <c r="I21" s="14" t="s">
        <v>33</v>
      </c>
      <c r="J21" s="44" t="s">
        <v>80</v>
      </c>
      <c r="K21" s="35">
        <v>40775</v>
      </c>
      <c r="L21" s="120">
        <v>40775</v>
      </c>
      <c r="M21" s="120"/>
      <c r="N21" s="120">
        <v>40775</v>
      </c>
      <c r="O21" s="120"/>
      <c r="P21" s="121">
        <v>40775</v>
      </c>
      <c r="Q21" s="121"/>
      <c r="R21" s="122">
        <v>40775</v>
      </c>
      <c r="S21" s="122"/>
      <c r="T21" s="150"/>
      <c r="U21" s="150"/>
      <c r="V21" s="150"/>
      <c r="W21" s="150"/>
      <c r="X21" s="150"/>
      <c r="Y21" s="150"/>
      <c r="Z21" s="150"/>
      <c r="AA21" s="150"/>
      <c r="AB21" s="150"/>
    </row>
    <row r="22" spans="1:28" x14ac:dyDescent="0.2">
      <c r="A22" s="117" t="s">
        <v>81</v>
      </c>
      <c r="B22" s="117"/>
      <c r="C22" s="117" t="s">
        <v>81</v>
      </c>
      <c r="D22" s="117"/>
      <c r="E22" s="14" t="s">
        <v>197</v>
      </c>
      <c r="F22" s="14" t="s">
        <v>197</v>
      </c>
      <c r="G22" s="14" t="s">
        <v>33</v>
      </c>
      <c r="H22" s="14" t="s">
        <v>33</v>
      </c>
      <c r="I22" s="33" t="s">
        <v>33</v>
      </c>
      <c r="J22" s="28" t="s">
        <v>82</v>
      </c>
      <c r="K22" s="38"/>
      <c r="L22" s="113" t="s">
        <v>33</v>
      </c>
      <c r="M22" s="113"/>
      <c r="N22" s="114" t="s">
        <v>33</v>
      </c>
      <c r="O22" s="114"/>
      <c r="P22" s="115" t="s">
        <v>33</v>
      </c>
      <c r="Q22" s="115"/>
      <c r="R22" s="113" t="s">
        <v>33</v>
      </c>
      <c r="S22" s="113"/>
      <c r="T22" s="150"/>
      <c r="U22" s="150"/>
      <c r="V22" s="150"/>
      <c r="W22" s="150"/>
      <c r="X22" s="150"/>
      <c r="Y22" s="150"/>
      <c r="Z22" s="150"/>
      <c r="AA22" s="150"/>
      <c r="AB22" s="150"/>
    </row>
    <row r="23" spans="1:28" x14ac:dyDescent="0.2">
      <c r="A23" s="117" t="s">
        <v>10</v>
      </c>
      <c r="B23" s="117"/>
      <c r="C23" s="117" t="s">
        <v>10</v>
      </c>
      <c r="D23" s="117"/>
      <c r="E23" s="14">
        <v>194726240</v>
      </c>
      <c r="F23" s="14">
        <v>185714519</v>
      </c>
      <c r="G23" s="14" t="s">
        <v>33</v>
      </c>
      <c r="H23" s="14" t="s">
        <v>33</v>
      </c>
      <c r="I23" s="33" t="s">
        <v>33</v>
      </c>
      <c r="J23" s="28" t="s">
        <v>83</v>
      </c>
      <c r="K23" s="38"/>
      <c r="L23" s="113" t="s">
        <v>33</v>
      </c>
      <c r="M23" s="113"/>
      <c r="N23" s="114" t="s">
        <v>33</v>
      </c>
      <c r="O23" s="114"/>
      <c r="P23" s="115" t="s">
        <v>33</v>
      </c>
      <c r="Q23" s="115"/>
      <c r="R23" s="113" t="s">
        <v>33</v>
      </c>
      <c r="S23" s="113"/>
      <c r="T23" s="150"/>
      <c r="U23" s="150"/>
      <c r="V23" s="150"/>
      <c r="W23" s="150"/>
      <c r="X23" s="150"/>
      <c r="Y23" s="150"/>
      <c r="Z23" s="150"/>
      <c r="AA23" s="150"/>
      <c r="AB23" s="150"/>
    </row>
    <row r="24" spans="1:28" x14ac:dyDescent="0.2">
      <c r="A24" s="117" t="s">
        <v>84</v>
      </c>
      <c r="B24" s="117"/>
      <c r="C24" s="117" t="s">
        <v>84</v>
      </c>
      <c r="D24" s="117"/>
      <c r="E24" s="14" t="s">
        <v>33</v>
      </c>
      <c r="F24" s="14" t="s">
        <v>33</v>
      </c>
      <c r="G24" s="14" t="s">
        <v>33</v>
      </c>
      <c r="H24" s="14" t="s">
        <v>33</v>
      </c>
      <c r="I24" s="33" t="s">
        <v>33</v>
      </c>
      <c r="J24" s="28" t="s">
        <v>71</v>
      </c>
      <c r="K24" s="39"/>
      <c r="L24" s="118" t="s">
        <v>33</v>
      </c>
      <c r="M24" s="118"/>
      <c r="N24" s="117" t="s">
        <v>33</v>
      </c>
      <c r="O24" s="117"/>
      <c r="P24" s="119" t="s">
        <v>33</v>
      </c>
      <c r="Q24" s="119"/>
      <c r="R24" s="118" t="s">
        <v>33</v>
      </c>
      <c r="S24" s="118"/>
      <c r="T24" s="150"/>
      <c r="U24" s="150"/>
      <c r="V24" s="150"/>
      <c r="W24" s="150"/>
      <c r="X24" s="150"/>
      <c r="Y24" s="150"/>
      <c r="Z24" s="150"/>
      <c r="AA24" s="150"/>
      <c r="AB24" s="150"/>
    </row>
    <row r="25" spans="1:28" x14ac:dyDescent="0.2">
      <c r="A25" s="117" t="s">
        <v>9</v>
      </c>
      <c r="B25" s="117"/>
      <c r="C25" s="117" t="s">
        <v>9</v>
      </c>
      <c r="D25" s="117"/>
      <c r="E25" s="14" t="s">
        <v>129</v>
      </c>
      <c r="F25" s="14" t="s">
        <v>117</v>
      </c>
      <c r="G25" s="14" t="s">
        <v>33</v>
      </c>
      <c r="H25" s="14" t="s">
        <v>33</v>
      </c>
      <c r="I25" s="33" t="s">
        <v>33</v>
      </c>
      <c r="J25" s="28" t="s">
        <v>72</v>
      </c>
      <c r="K25" s="39"/>
      <c r="L25" s="118" t="s">
        <v>33</v>
      </c>
      <c r="M25" s="118"/>
      <c r="N25" s="117" t="s">
        <v>33</v>
      </c>
      <c r="O25" s="117"/>
      <c r="P25" s="119" t="s">
        <v>33</v>
      </c>
      <c r="Q25" s="119"/>
      <c r="R25" s="118" t="s">
        <v>33</v>
      </c>
      <c r="S25" s="118"/>
      <c r="T25" s="150"/>
      <c r="U25" s="150"/>
      <c r="V25" s="150"/>
      <c r="W25" s="150"/>
      <c r="X25" s="150"/>
      <c r="Y25" s="150"/>
      <c r="Z25" s="150"/>
      <c r="AA25" s="150"/>
      <c r="AB25" s="150"/>
    </row>
    <row r="26" spans="1:28" x14ac:dyDescent="0.2">
      <c r="A26" s="112" t="s">
        <v>85</v>
      </c>
      <c r="B26" s="112"/>
      <c r="C26" s="112" t="s">
        <v>85</v>
      </c>
      <c r="D26" s="112"/>
      <c r="E26" s="14" t="s">
        <v>33</v>
      </c>
      <c r="F26" s="14" t="s">
        <v>33</v>
      </c>
      <c r="G26" s="14" t="s">
        <v>33</v>
      </c>
      <c r="H26" s="14" t="s">
        <v>33</v>
      </c>
      <c r="I26" s="33" t="s">
        <v>33</v>
      </c>
      <c r="J26" s="28" t="s">
        <v>86</v>
      </c>
      <c r="K26" s="38"/>
      <c r="L26" s="113" t="s">
        <v>33</v>
      </c>
      <c r="M26" s="113"/>
      <c r="N26" s="114" t="s">
        <v>33</v>
      </c>
      <c r="O26" s="114"/>
      <c r="P26" s="115" t="s">
        <v>33</v>
      </c>
      <c r="Q26" s="115"/>
      <c r="R26" s="113" t="s">
        <v>33</v>
      </c>
      <c r="S26" s="113"/>
      <c r="T26" s="150"/>
      <c r="U26" s="150"/>
      <c r="V26" s="150"/>
      <c r="W26" s="150"/>
      <c r="X26" s="150"/>
      <c r="Y26" s="150"/>
      <c r="Z26" s="150"/>
      <c r="AA26" s="150"/>
      <c r="AB26" s="150"/>
    </row>
    <row r="27" spans="1:28" x14ac:dyDescent="0.2">
      <c r="A27" s="116" t="s">
        <v>87</v>
      </c>
      <c r="B27" s="116"/>
      <c r="C27" s="116" t="s">
        <v>87</v>
      </c>
      <c r="D27" s="116"/>
      <c r="E27" s="14" t="s">
        <v>33</v>
      </c>
      <c r="F27" s="14" t="s">
        <v>33</v>
      </c>
      <c r="G27" s="14" t="s">
        <v>33</v>
      </c>
      <c r="H27" s="14" t="s">
        <v>33</v>
      </c>
      <c r="I27" s="33" t="s">
        <v>33</v>
      </c>
      <c r="J27" s="28" t="s">
        <v>88</v>
      </c>
      <c r="K27" s="38"/>
      <c r="L27" s="113" t="s">
        <v>33</v>
      </c>
      <c r="M27" s="113"/>
      <c r="N27" s="114" t="s">
        <v>33</v>
      </c>
      <c r="O27" s="114"/>
      <c r="P27" s="115" t="s">
        <v>33</v>
      </c>
      <c r="Q27" s="115"/>
      <c r="R27" s="113" t="s">
        <v>33</v>
      </c>
      <c r="S27" s="113"/>
      <c r="T27" s="150"/>
      <c r="U27" s="150"/>
      <c r="V27" s="150"/>
      <c r="W27" s="150"/>
      <c r="X27" s="150"/>
      <c r="Y27" s="150"/>
      <c r="Z27" s="150"/>
      <c r="AA27" s="150"/>
      <c r="AB27" s="150"/>
    </row>
  </sheetData>
  <mergeCells count="138">
    <mergeCell ref="K1:L1"/>
    <mergeCell ref="M1:Q1"/>
    <mergeCell ref="R1:S1"/>
    <mergeCell ref="T1:U1"/>
    <mergeCell ref="N2:O2"/>
    <mergeCell ref="S2:T2"/>
    <mergeCell ref="AA2:AB2"/>
    <mergeCell ref="N4:O4"/>
    <mergeCell ref="S4:T4"/>
    <mergeCell ref="AA4:AB4"/>
    <mergeCell ref="L6:M6"/>
    <mergeCell ref="N6:O6"/>
    <mergeCell ref="P6:Q6"/>
    <mergeCell ref="R6:S6"/>
    <mergeCell ref="U6:AB6"/>
    <mergeCell ref="L8:M8"/>
    <mergeCell ref="N8:O8"/>
    <mergeCell ref="P8:Q8"/>
    <mergeCell ref="R8:S8"/>
    <mergeCell ref="W8:Y8"/>
    <mergeCell ref="Z8:AB8"/>
    <mergeCell ref="L7:M7"/>
    <mergeCell ref="N7:O7"/>
    <mergeCell ref="P7:Q7"/>
    <mergeCell ref="R7:S7"/>
    <mergeCell ref="W7:Y7"/>
    <mergeCell ref="Z7:AB7"/>
    <mergeCell ref="L10:M10"/>
    <mergeCell ref="N10:O10"/>
    <mergeCell ref="P10:Q10"/>
    <mergeCell ref="R10:S10"/>
    <mergeCell ref="W10:Y10"/>
    <mergeCell ref="Z10:AB10"/>
    <mergeCell ref="L9:M9"/>
    <mergeCell ref="N9:O9"/>
    <mergeCell ref="P9:Q9"/>
    <mergeCell ref="R9:S9"/>
    <mergeCell ref="W9:Y9"/>
    <mergeCell ref="Z9:AB9"/>
    <mergeCell ref="L12:M12"/>
    <mergeCell ref="N12:O12"/>
    <mergeCell ref="P12:Q12"/>
    <mergeCell ref="R12:S12"/>
    <mergeCell ref="W12:Y12"/>
    <mergeCell ref="Z12:AB12"/>
    <mergeCell ref="L11:M11"/>
    <mergeCell ref="N11:O11"/>
    <mergeCell ref="P11:Q11"/>
    <mergeCell ref="R11:S11"/>
    <mergeCell ref="W11:Y11"/>
    <mergeCell ref="Z11:AB11"/>
    <mergeCell ref="L13:M13"/>
    <mergeCell ref="N13:O13"/>
    <mergeCell ref="P13:Q13"/>
    <mergeCell ref="R13:S13"/>
    <mergeCell ref="T13:AB14"/>
    <mergeCell ref="L14:M14"/>
    <mergeCell ref="N14:O14"/>
    <mergeCell ref="P14:Q14"/>
    <mergeCell ref="R14:S14"/>
    <mergeCell ref="N17:O17"/>
    <mergeCell ref="P17:Q17"/>
    <mergeCell ref="R17:S17"/>
    <mergeCell ref="L15:M15"/>
    <mergeCell ref="N15:O15"/>
    <mergeCell ref="P15:Q15"/>
    <mergeCell ref="R15:S15"/>
    <mergeCell ref="T15:AB27"/>
    <mergeCell ref="L16:M16"/>
    <mergeCell ref="N16:O16"/>
    <mergeCell ref="P16:Q16"/>
    <mergeCell ref="R16:S16"/>
    <mergeCell ref="N18:O18"/>
    <mergeCell ref="P18:Q18"/>
    <mergeCell ref="R18:S18"/>
    <mergeCell ref="N19:O19"/>
    <mergeCell ref="P19:Q19"/>
    <mergeCell ref="R19:S19"/>
    <mergeCell ref="A18:B19"/>
    <mergeCell ref="C18:D19"/>
    <mergeCell ref="E18:E19"/>
    <mergeCell ref="F18:F19"/>
    <mergeCell ref="G18:G19"/>
    <mergeCell ref="H18:H19"/>
    <mergeCell ref="A17:B17"/>
    <mergeCell ref="C17:D17"/>
    <mergeCell ref="L17:M17"/>
    <mergeCell ref="I18:I19"/>
    <mergeCell ref="L18:M18"/>
    <mergeCell ref="L19:M19"/>
    <mergeCell ref="A21:B21"/>
    <mergeCell ref="C21:D21"/>
    <mergeCell ref="L21:M21"/>
    <mergeCell ref="N21:O21"/>
    <mergeCell ref="P21:Q21"/>
    <mergeCell ref="R21:S21"/>
    <mergeCell ref="A20:B20"/>
    <mergeCell ref="C20:D20"/>
    <mergeCell ref="L20:M20"/>
    <mergeCell ref="N20:O20"/>
    <mergeCell ref="P20:Q20"/>
    <mergeCell ref="R20:S20"/>
    <mergeCell ref="A23:B23"/>
    <mergeCell ref="C23:D23"/>
    <mergeCell ref="L23:M23"/>
    <mergeCell ref="N23:O23"/>
    <mergeCell ref="P23:Q23"/>
    <mergeCell ref="R23:S23"/>
    <mergeCell ref="A22:B22"/>
    <mergeCell ref="C22:D22"/>
    <mergeCell ref="L22:M22"/>
    <mergeCell ref="N22:O22"/>
    <mergeCell ref="P22:Q22"/>
    <mergeCell ref="R22:S22"/>
    <mergeCell ref="A25:B25"/>
    <mergeCell ref="C25:D25"/>
    <mergeCell ref="L25:M25"/>
    <mergeCell ref="N25:O25"/>
    <mergeCell ref="P25:Q25"/>
    <mergeCell ref="R25:S25"/>
    <mergeCell ref="A24:B24"/>
    <mergeCell ref="C24:D24"/>
    <mergeCell ref="L24:M24"/>
    <mergeCell ref="N24:O24"/>
    <mergeCell ref="P24:Q24"/>
    <mergeCell ref="R24:S24"/>
    <mergeCell ref="A27:B27"/>
    <mergeCell ref="C27:D27"/>
    <mergeCell ref="L27:M27"/>
    <mergeCell ref="N27:O27"/>
    <mergeCell ref="P27:Q27"/>
    <mergeCell ref="R27:S27"/>
    <mergeCell ref="A26:B26"/>
    <mergeCell ref="C26:D26"/>
    <mergeCell ref="L26:M26"/>
    <mergeCell ref="N26:O26"/>
    <mergeCell ref="P26:Q26"/>
    <mergeCell ref="R26:S26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53</v>
      </c>
      <c r="E1" s="1" t="s">
        <v>2</v>
      </c>
      <c r="F1" s="2">
        <v>149</v>
      </c>
      <c r="G1" s="3" t="s">
        <v>3</v>
      </c>
      <c r="H1" s="2"/>
      <c r="I1" s="129" t="s">
        <v>4</v>
      </c>
      <c r="J1" s="129"/>
      <c r="K1" s="151" t="s">
        <v>551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552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zoomScale="70" zoomScaleNormal="70" workbookViewId="0"/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 t="s">
        <v>558</v>
      </c>
      <c r="E1" s="1" t="s">
        <v>2</v>
      </c>
      <c r="F1" s="2">
        <v>151</v>
      </c>
      <c r="G1" s="3" t="s">
        <v>3</v>
      </c>
      <c r="H1" s="2"/>
      <c r="I1" s="129" t="s">
        <v>4</v>
      </c>
      <c r="J1" s="129"/>
      <c r="K1" s="151" t="s">
        <v>559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  <c r="G5" s="14" t="s">
        <v>33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>
        <v>40756</v>
      </c>
      <c r="J8" s="133">
        <v>40756</v>
      </c>
      <c r="K8" s="133"/>
      <c r="L8" s="133">
        <v>40756</v>
      </c>
      <c r="M8" s="133"/>
      <c r="N8" s="133">
        <v>40756</v>
      </c>
      <c r="O8" s="133"/>
      <c r="P8" s="133">
        <v>40756</v>
      </c>
      <c r="Q8" s="133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 t="s">
        <v>33</v>
      </c>
      <c r="K9" s="130"/>
      <c r="L9" s="114" t="s">
        <v>33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560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33</v>
      </c>
      <c r="D20" s="30" t="s">
        <v>33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33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 t="s">
        <v>33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33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opLeftCell="G1" zoomScale="90" zoomScaleNormal="90" workbookViewId="0">
      <selection activeCell="R15" sqref="R15:Z27"/>
    </sheetView>
  </sheetViews>
  <sheetFormatPr defaultRowHeight="14.25" x14ac:dyDescent="0.2"/>
  <cols>
    <col min="1" max="1024" width="8.125" customWidth="1"/>
  </cols>
  <sheetData>
    <row r="1" spans="1:30" x14ac:dyDescent="0.2">
      <c r="A1" s="1" t="s">
        <v>0</v>
      </c>
      <c r="B1" s="2">
        <v>2016</v>
      </c>
      <c r="C1" s="1" t="s">
        <v>1</v>
      </c>
      <c r="D1" s="2">
        <v>47</v>
      </c>
      <c r="E1" s="1" t="s">
        <v>2</v>
      </c>
      <c r="F1" s="2">
        <v>152</v>
      </c>
      <c r="G1" s="3" t="s">
        <v>3</v>
      </c>
      <c r="H1" s="2"/>
      <c r="I1" s="129" t="s">
        <v>4</v>
      </c>
      <c r="J1" s="129"/>
      <c r="K1" s="151" t="s">
        <v>561</v>
      </c>
      <c r="L1" s="151"/>
      <c r="M1" s="151"/>
      <c r="N1" s="151"/>
      <c r="O1" s="151"/>
      <c r="P1" s="143" t="s">
        <v>5</v>
      </c>
      <c r="Q1" s="143"/>
      <c r="R1" s="152" t="s">
        <v>90</v>
      </c>
      <c r="S1" s="152"/>
      <c r="T1" s="5"/>
      <c r="U1" s="5"/>
      <c r="V1" s="5"/>
      <c r="W1" s="5"/>
      <c r="X1" s="5"/>
      <c r="Y1" s="5"/>
      <c r="Z1" s="6"/>
      <c r="AA1" s="7"/>
      <c r="AB1" s="7"/>
      <c r="AC1" s="7"/>
      <c r="AD1" s="7"/>
    </row>
    <row r="2" spans="1:30" ht="51" customHeight="1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  <c r="AA2" s="12" t="s">
        <v>29</v>
      </c>
      <c r="AB2" s="12" t="s">
        <v>30</v>
      </c>
      <c r="AC2" s="13" t="s">
        <v>31</v>
      </c>
      <c r="AD2" s="12" t="s">
        <v>32</v>
      </c>
    </row>
    <row r="3" spans="1:30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  <c r="AA3" s="7"/>
      <c r="AB3" s="7"/>
      <c r="AC3" s="7"/>
      <c r="AD3" s="7"/>
    </row>
    <row r="4" spans="1:30" ht="51" customHeight="1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  <c r="AA4" s="12" t="s">
        <v>29</v>
      </c>
      <c r="AB4" s="12" t="s">
        <v>30</v>
      </c>
      <c r="AC4" s="13" t="s">
        <v>31</v>
      </c>
      <c r="AD4" s="12" t="s">
        <v>32</v>
      </c>
    </row>
    <row r="5" spans="1:30" x14ac:dyDescent="0.2">
      <c r="A5" s="14" t="s">
        <v>33</v>
      </c>
      <c r="B5" s="46">
        <v>42582</v>
      </c>
      <c r="C5" s="14" t="s">
        <v>33</v>
      </c>
      <c r="D5" s="14" t="s">
        <v>33</v>
      </c>
      <c r="E5" s="14" t="s">
        <v>33</v>
      </c>
      <c r="F5" s="14" t="s">
        <v>527</v>
      </c>
      <c r="G5" s="14" t="s">
        <v>238</v>
      </c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  <c r="AA5" s="7"/>
      <c r="AB5" s="7"/>
      <c r="AC5" s="7"/>
      <c r="AD5" s="7"/>
    </row>
    <row r="6" spans="1:30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  <c r="AA6" s="7"/>
      <c r="AB6" s="7"/>
      <c r="AC6" s="7"/>
      <c r="AD6" s="7"/>
    </row>
    <row r="7" spans="1:30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  <c r="AA7" s="7"/>
      <c r="AB7" s="7"/>
      <c r="AC7" s="7"/>
      <c r="AD7" s="7"/>
    </row>
    <row r="8" spans="1:30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197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  <c r="AA8" s="7"/>
      <c r="AB8" s="7"/>
      <c r="AC8" s="7"/>
      <c r="AD8" s="7"/>
    </row>
    <row r="9" spans="1:30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782</v>
      </c>
      <c r="K9" s="130"/>
      <c r="L9" s="114">
        <v>626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  <c r="AA9" s="7"/>
      <c r="AB9" s="7"/>
      <c r="AC9" s="7"/>
      <c r="AD9" s="7"/>
    </row>
    <row r="10" spans="1:30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  <c r="AA10" s="7"/>
      <c r="AB10" s="7"/>
      <c r="AC10" s="7"/>
      <c r="AD10" s="7"/>
    </row>
    <row r="11" spans="1:30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  <c r="AA11" s="7"/>
      <c r="AB11" s="7"/>
      <c r="AC11" s="7"/>
      <c r="AD11" s="7"/>
    </row>
    <row r="12" spans="1:30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  <c r="AA12" s="7"/>
      <c r="AB12" s="7"/>
      <c r="AC12" s="7"/>
      <c r="AD12" s="7"/>
    </row>
    <row r="13" spans="1:30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  <c r="AA13" s="7"/>
      <c r="AB13" s="7"/>
      <c r="AC13" s="7"/>
      <c r="AD13" s="7"/>
    </row>
    <row r="14" spans="1:30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  <c r="AA14" s="7"/>
      <c r="AB14" s="7"/>
      <c r="AC14" s="7"/>
      <c r="AD14" s="7"/>
    </row>
    <row r="15" spans="1:30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568</v>
      </c>
      <c r="S15" s="150"/>
      <c r="T15" s="150"/>
      <c r="U15" s="150"/>
      <c r="V15" s="150"/>
      <c r="W15" s="150"/>
      <c r="X15" s="150"/>
      <c r="Y15" s="150"/>
      <c r="Z15" s="150"/>
      <c r="AA15" s="7"/>
      <c r="AB15" s="7"/>
      <c r="AC15" s="7"/>
      <c r="AD15" s="7"/>
    </row>
    <row r="16" spans="1:30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  <c r="AA16" s="7"/>
      <c r="AB16" s="7"/>
      <c r="AC16" s="7"/>
      <c r="AD16" s="7"/>
    </row>
    <row r="17" spans="1:26" ht="15" customHeight="1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182</v>
      </c>
      <c r="D20" s="30" t="s">
        <v>562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131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185702478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A17:B17"/>
    <mergeCell ref="J17:K17"/>
    <mergeCell ref="L17:M17"/>
    <mergeCell ref="N17:O17"/>
    <mergeCell ref="P17:Q17"/>
    <mergeCell ref="A18:B19"/>
    <mergeCell ref="C18:C19"/>
    <mergeCell ref="D18:D19"/>
    <mergeCell ref="E18:E19"/>
    <mergeCell ref="F18:F19"/>
    <mergeCell ref="G18:G19"/>
    <mergeCell ref="J18:K18"/>
    <mergeCell ref="L18:M18"/>
    <mergeCell ref="N18:O18"/>
    <mergeCell ref="P18:Q18"/>
    <mergeCell ref="J19:K19"/>
    <mergeCell ref="L19:M19"/>
    <mergeCell ref="N19:O19"/>
    <mergeCell ref="P19:Q19"/>
    <mergeCell ref="A20:B20"/>
    <mergeCell ref="J20:K20"/>
    <mergeCell ref="L20:M20"/>
    <mergeCell ref="N20:O20"/>
    <mergeCell ref="P20:Q20"/>
    <mergeCell ref="A21:B21"/>
    <mergeCell ref="J21:K21"/>
    <mergeCell ref="L21:M21"/>
    <mergeCell ref="N21:O21"/>
    <mergeCell ref="P21:Q21"/>
    <mergeCell ref="A22:B22"/>
    <mergeCell ref="J22:K22"/>
    <mergeCell ref="L22:M22"/>
    <mergeCell ref="N22:O22"/>
    <mergeCell ref="P22:Q22"/>
    <mergeCell ref="A23:B23"/>
    <mergeCell ref="J23:K23"/>
    <mergeCell ref="L23:M23"/>
    <mergeCell ref="N23:O23"/>
    <mergeCell ref="P23:Q23"/>
    <mergeCell ref="A24:B24"/>
    <mergeCell ref="J24:K24"/>
    <mergeCell ref="L24:M24"/>
    <mergeCell ref="N24:O24"/>
    <mergeCell ref="P24:Q24"/>
    <mergeCell ref="A25:B25"/>
    <mergeCell ref="J25:K25"/>
    <mergeCell ref="L25:M25"/>
    <mergeCell ref="N25:O25"/>
    <mergeCell ref="P25:Q25"/>
    <mergeCell ref="A26:B26"/>
    <mergeCell ref="J26:K26"/>
    <mergeCell ref="L26:M26"/>
    <mergeCell ref="N26:O26"/>
    <mergeCell ref="P26:Q26"/>
    <mergeCell ref="A27:B27"/>
    <mergeCell ref="J27:K27"/>
    <mergeCell ref="L27:M27"/>
    <mergeCell ref="N27:O27"/>
    <mergeCell ref="P27:Q27"/>
  </mergeCells>
  <pageMargins left="0.70000000000000007" right="0.70000000000000007" top="1.1437007874015745" bottom="1.1437007874015745" header="0.74999999999999989" footer="0.74999999999999989"/>
  <pageSetup fitToWidth="0" fitToHeight="0" orientation="portrait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tabSelected="1" topLeftCell="J1" workbookViewId="0">
      <selection activeCell="I17" sqref="I17"/>
    </sheetView>
  </sheetViews>
  <sheetFormatPr defaultRowHeight="14.25" x14ac:dyDescent="0.2"/>
  <sheetData>
    <row r="1" spans="1:26" x14ac:dyDescent="0.2">
      <c r="A1" s="1" t="s">
        <v>0</v>
      </c>
      <c r="B1" s="2">
        <v>2016</v>
      </c>
      <c r="C1" s="1" t="s">
        <v>1</v>
      </c>
      <c r="D1" s="2"/>
      <c r="E1" s="1" t="s">
        <v>2</v>
      </c>
      <c r="F1" s="2">
        <v>153</v>
      </c>
      <c r="G1" s="3" t="s">
        <v>3</v>
      </c>
      <c r="H1" s="2"/>
      <c r="I1" s="129" t="s">
        <v>4</v>
      </c>
      <c r="J1" s="129"/>
      <c r="K1" s="151" t="s">
        <v>563</v>
      </c>
      <c r="L1" s="151"/>
      <c r="M1" s="151"/>
      <c r="N1" s="151"/>
      <c r="O1" s="151"/>
      <c r="P1" s="143" t="s">
        <v>5</v>
      </c>
      <c r="Q1" s="143"/>
      <c r="R1" s="152" t="s">
        <v>148</v>
      </c>
      <c r="S1" s="152"/>
      <c r="T1" s="5"/>
      <c r="U1" s="5"/>
      <c r="V1" s="5"/>
      <c r="W1" s="5"/>
      <c r="X1" s="5"/>
      <c r="Y1" s="5"/>
      <c r="Z1" s="6"/>
    </row>
    <row r="2" spans="1:26" ht="25.5" x14ac:dyDescent="0.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145" t="s">
        <v>17</v>
      </c>
      <c r="M2" s="145"/>
      <c r="N2" s="9" t="s">
        <v>18</v>
      </c>
      <c r="O2" s="9" t="s">
        <v>19</v>
      </c>
      <c r="P2" s="9" t="s">
        <v>20</v>
      </c>
      <c r="Q2" s="145" t="s">
        <v>21</v>
      </c>
      <c r="R2" s="145"/>
      <c r="S2" s="10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23" t="s">
        <v>28</v>
      </c>
      <c r="Z2" s="123"/>
    </row>
    <row r="3" spans="1:26" x14ac:dyDescent="0.2">
      <c r="A3" s="14" t="s">
        <v>33</v>
      </c>
      <c r="B3" s="14" t="s">
        <v>33</v>
      </c>
      <c r="C3" s="14" t="s">
        <v>33</v>
      </c>
      <c r="D3" s="14" t="s">
        <v>33</v>
      </c>
      <c r="E3" s="14" t="s">
        <v>33</v>
      </c>
      <c r="F3" s="14" t="s">
        <v>33</v>
      </c>
      <c r="G3" s="14" t="s">
        <v>33</v>
      </c>
      <c r="H3" s="14" t="s">
        <v>33</v>
      </c>
      <c r="I3" s="14" t="s">
        <v>33</v>
      </c>
      <c r="J3" s="14" t="s">
        <v>33</v>
      </c>
      <c r="K3" s="14" t="s">
        <v>33</v>
      </c>
      <c r="L3" s="15" t="s">
        <v>33</v>
      </c>
      <c r="M3" s="15" t="s">
        <v>33</v>
      </c>
      <c r="N3" s="14" t="s">
        <v>33</v>
      </c>
      <c r="O3" s="14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6" t="s">
        <v>33</v>
      </c>
      <c r="U3" s="14" t="s">
        <v>33</v>
      </c>
      <c r="V3" s="14" t="s">
        <v>33</v>
      </c>
      <c r="W3" s="14" t="s">
        <v>33</v>
      </c>
      <c r="X3" s="16" t="s">
        <v>33</v>
      </c>
      <c r="Y3" s="17" t="s">
        <v>33</v>
      </c>
      <c r="Z3" s="17" t="s">
        <v>33</v>
      </c>
    </row>
    <row r="4" spans="1:26" ht="25.5" x14ac:dyDescent="0.2">
      <c r="A4" s="18" t="s">
        <v>34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35</v>
      </c>
      <c r="K4" s="10" t="s">
        <v>16</v>
      </c>
      <c r="L4" s="123" t="s">
        <v>17</v>
      </c>
      <c r="M4" s="123"/>
      <c r="N4" s="10" t="s">
        <v>18</v>
      </c>
      <c r="O4" s="10" t="s">
        <v>19</v>
      </c>
      <c r="P4" s="10" t="s">
        <v>20</v>
      </c>
      <c r="Q4" s="123" t="s">
        <v>21</v>
      </c>
      <c r="R4" s="123"/>
      <c r="S4" s="10" t="s">
        <v>22</v>
      </c>
      <c r="T4" s="10" t="s">
        <v>23</v>
      </c>
      <c r="U4" s="10" t="s">
        <v>36</v>
      </c>
      <c r="V4" s="10" t="s">
        <v>25</v>
      </c>
      <c r="W4" s="10" t="s">
        <v>26</v>
      </c>
      <c r="X4" s="10" t="s">
        <v>27</v>
      </c>
      <c r="Y4" s="146" t="s">
        <v>28</v>
      </c>
      <c r="Z4" s="146"/>
    </row>
    <row r="5" spans="1:26" x14ac:dyDescent="0.2">
      <c r="A5" s="14" t="s">
        <v>33</v>
      </c>
      <c r="B5" s="46">
        <v>42582</v>
      </c>
      <c r="C5" s="14" t="s">
        <v>33</v>
      </c>
      <c r="D5" s="14" t="s">
        <v>33</v>
      </c>
      <c r="E5" s="14" t="s">
        <v>33</v>
      </c>
      <c r="F5" s="14"/>
      <c r="G5" s="14"/>
      <c r="H5" s="14" t="s">
        <v>33</v>
      </c>
      <c r="I5" s="19" t="s">
        <v>33</v>
      </c>
      <c r="J5" s="19" t="s">
        <v>33</v>
      </c>
      <c r="K5" s="19" t="s">
        <v>33</v>
      </c>
      <c r="L5" s="20" t="s">
        <v>33</v>
      </c>
      <c r="M5" s="20" t="s">
        <v>33</v>
      </c>
      <c r="N5" s="19" t="s">
        <v>33</v>
      </c>
      <c r="O5" s="19" t="s">
        <v>33</v>
      </c>
      <c r="P5" s="21" t="s">
        <v>33</v>
      </c>
      <c r="Q5" s="21" t="s">
        <v>33</v>
      </c>
      <c r="R5" s="16" t="s">
        <v>33</v>
      </c>
      <c r="S5" s="16" t="s">
        <v>33</v>
      </c>
      <c r="T5" s="16" t="s">
        <v>33</v>
      </c>
      <c r="U5" s="14" t="s">
        <v>33</v>
      </c>
      <c r="V5" s="14" t="s">
        <v>33</v>
      </c>
      <c r="W5" s="14" t="s">
        <v>33</v>
      </c>
      <c r="X5" s="16" t="s">
        <v>33</v>
      </c>
      <c r="Y5" s="16" t="s">
        <v>33</v>
      </c>
      <c r="Z5" s="16" t="s">
        <v>33</v>
      </c>
    </row>
    <row r="6" spans="1:26" x14ac:dyDescent="0.2">
      <c r="A6" s="4" t="s">
        <v>37</v>
      </c>
      <c r="B6" s="10" t="s">
        <v>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3" t="s">
        <v>43</v>
      </c>
      <c r="I6" s="22" t="s">
        <v>7</v>
      </c>
      <c r="J6" s="117" t="s">
        <v>44</v>
      </c>
      <c r="K6" s="117"/>
      <c r="L6" s="117" t="s">
        <v>45</v>
      </c>
      <c r="M6" s="117"/>
      <c r="N6" s="117" t="s">
        <v>46</v>
      </c>
      <c r="O6" s="117"/>
      <c r="P6" s="117" t="s">
        <v>47</v>
      </c>
      <c r="Q6" s="117"/>
      <c r="R6" s="24"/>
      <c r="S6" s="136" t="s">
        <v>48</v>
      </c>
      <c r="T6" s="136"/>
      <c r="U6" s="136"/>
      <c r="V6" s="136"/>
      <c r="W6" s="136"/>
      <c r="X6" s="136"/>
      <c r="Y6" s="136"/>
      <c r="Z6" s="136"/>
    </row>
    <row r="7" spans="1:26" x14ac:dyDescent="0.2">
      <c r="A7" s="25" t="s">
        <v>49</v>
      </c>
      <c r="B7" s="16"/>
      <c r="C7" s="26"/>
      <c r="D7" s="26"/>
      <c r="E7" s="26"/>
      <c r="F7" s="26"/>
      <c r="G7" s="27" t="e">
        <f>{#DIV/0!}</f>
        <v>#DIV/0!</v>
      </c>
      <c r="H7" s="28" t="s">
        <v>50</v>
      </c>
      <c r="I7" s="29"/>
      <c r="J7" s="137" t="s">
        <v>33</v>
      </c>
      <c r="K7" s="137"/>
      <c r="L7" s="138" t="s">
        <v>33</v>
      </c>
      <c r="M7" s="138"/>
      <c r="N7" s="138" t="s">
        <v>33</v>
      </c>
      <c r="O7" s="138"/>
      <c r="P7" s="139" t="s">
        <v>33</v>
      </c>
      <c r="Q7" s="139"/>
      <c r="R7" s="31" t="s">
        <v>51</v>
      </c>
      <c r="S7" s="32"/>
      <c r="T7" s="33" t="s">
        <v>33</v>
      </c>
      <c r="U7" s="140" t="s">
        <v>52</v>
      </c>
      <c r="V7" s="140"/>
      <c r="W7" s="140"/>
      <c r="X7" s="141" t="s">
        <v>33</v>
      </c>
      <c r="Y7" s="141"/>
      <c r="Z7" s="141"/>
    </row>
    <row r="8" spans="1:26" x14ac:dyDescent="0.2">
      <c r="A8" s="34" t="s">
        <v>53</v>
      </c>
      <c r="B8" s="16" t="s">
        <v>33</v>
      </c>
      <c r="C8" s="16" t="s">
        <v>33</v>
      </c>
      <c r="D8" s="16" t="s">
        <v>33</v>
      </c>
      <c r="E8" s="16" t="s">
        <v>33</v>
      </c>
      <c r="F8" s="16" t="s">
        <v>33</v>
      </c>
      <c r="G8" s="22"/>
      <c r="H8" s="28" t="s">
        <v>54</v>
      </c>
      <c r="I8" s="35" t="s">
        <v>197</v>
      </c>
      <c r="J8" s="142"/>
      <c r="K8" s="142"/>
      <c r="L8" s="142"/>
      <c r="M8" s="142"/>
      <c r="N8" s="142"/>
      <c r="O8" s="142"/>
      <c r="P8" s="142"/>
      <c r="Q8" s="142"/>
      <c r="R8" s="36" t="s">
        <v>55</v>
      </c>
      <c r="S8" s="37"/>
      <c r="T8" s="33" t="s">
        <v>33</v>
      </c>
      <c r="U8" s="134" t="s">
        <v>56</v>
      </c>
      <c r="V8" s="134"/>
      <c r="W8" s="134"/>
      <c r="X8" s="135" t="s">
        <v>33</v>
      </c>
      <c r="Y8" s="135"/>
      <c r="Z8" s="135"/>
    </row>
    <row r="9" spans="1:26" x14ac:dyDescent="0.2">
      <c r="A9" s="34" t="s">
        <v>53</v>
      </c>
      <c r="B9" s="16" t="s">
        <v>33</v>
      </c>
      <c r="C9" s="16" t="s">
        <v>33</v>
      </c>
      <c r="D9" s="16" t="s">
        <v>33</v>
      </c>
      <c r="E9" s="16" t="s">
        <v>33</v>
      </c>
      <c r="F9" s="16" t="s">
        <v>33</v>
      </c>
      <c r="G9" s="22"/>
      <c r="H9" s="28" t="s">
        <v>57</v>
      </c>
      <c r="I9" s="38"/>
      <c r="J9" s="130">
        <v>782</v>
      </c>
      <c r="K9" s="130"/>
      <c r="L9" s="114">
        <v>626</v>
      </c>
      <c r="M9" s="114"/>
      <c r="N9" s="114" t="s">
        <v>33</v>
      </c>
      <c r="O9" s="114"/>
      <c r="P9" s="113" t="s">
        <v>33</v>
      </c>
      <c r="Q9" s="113"/>
      <c r="R9" s="36" t="s">
        <v>58</v>
      </c>
      <c r="S9" s="37"/>
      <c r="T9" s="33" t="s">
        <v>33</v>
      </c>
      <c r="U9" s="134" t="s">
        <v>59</v>
      </c>
      <c r="V9" s="134"/>
      <c r="W9" s="134"/>
      <c r="X9" s="135" t="s">
        <v>33</v>
      </c>
      <c r="Y9" s="135"/>
      <c r="Z9" s="135"/>
    </row>
    <row r="10" spans="1:26" x14ac:dyDescent="0.2">
      <c r="A10" s="34" t="s">
        <v>53</v>
      </c>
      <c r="B10" s="16" t="s">
        <v>33</v>
      </c>
      <c r="C10" s="16" t="s">
        <v>33</v>
      </c>
      <c r="D10" s="16" t="s">
        <v>33</v>
      </c>
      <c r="E10" s="16" t="s">
        <v>33</v>
      </c>
      <c r="F10" s="16" t="s">
        <v>33</v>
      </c>
      <c r="G10" s="22"/>
      <c r="H10" s="28" t="s">
        <v>60</v>
      </c>
      <c r="I10" s="39"/>
      <c r="J10" s="125" t="s">
        <v>33</v>
      </c>
      <c r="K10" s="125"/>
      <c r="L10" s="117" t="s">
        <v>33</v>
      </c>
      <c r="M10" s="117"/>
      <c r="N10" s="117" t="s">
        <v>33</v>
      </c>
      <c r="O10" s="117"/>
      <c r="P10" s="118" t="s">
        <v>33</v>
      </c>
      <c r="Q10" s="118"/>
      <c r="R10" s="36" t="s">
        <v>61</v>
      </c>
      <c r="S10" s="37"/>
      <c r="T10" s="33" t="s">
        <v>33</v>
      </c>
      <c r="U10" s="134" t="s">
        <v>62</v>
      </c>
      <c r="V10" s="134"/>
      <c r="W10" s="134"/>
      <c r="X10" s="135" t="s">
        <v>33</v>
      </c>
      <c r="Y10" s="135"/>
      <c r="Z10" s="135"/>
    </row>
    <row r="11" spans="1:26" x14ac:dyDescent="0.2">
      <c r="A11" s="34" t="s">
        <v>53</v>
      </c>
      <c r="B11" s="16" t="s">
        <v>33</v>
      </c>
      <c r="C11" s="16" t="s">
        <v>33</v>
      </c>
      <c r="D11" s="16" t="s">
        <v>33</v>
      </c>
      <c r="E11" s="16" t="s">
        <v>33</v>
      </c>
      <c r="F11" s="16" t="s">
        <v>33</v>
      </c>
      <c r="G11" s="22"/>
      <c r="H11" s="28" t="s">
        <v>63</v>
      </c>
      <c r="I11" s="35">
        <v>40767</v>
      </c>
      <c r="J11" s="133">
        <v>40767</v>
      </c>
      <c r="K11" s="133"/>
      <c r="L11" s="133">
        <v>40767</v>
      </c>
      <c r="M11" s="133"/>
      <c r="N11" s="133">
        <v>40767</v>
      </c>
      <c r="O11" s="133"/>
      <c r="P11" s="122">
        <v>40767</v>
      </c>
      <c r="Q11" s="122"/>
      <c r="R11" s="36" t="s">
        <v>64</v>
      </c>
      <c r="S11" s="37"/>
      <c r="T11" s="33" t="s">
        <v>33</v>
      </c>
      <c r="U11" s="134" t="s">
        <v>65</v>
      </c>
      <c r="V11" s="134"/>
      <c r="W11" s="134"/>
      <c r="X11" s="135" t="s">
        <v>33</v>
      </c>
      <c r="Y11" s="135"/>
      <c r="Z11" s="135"/>
    </row>
    <row r="12" spans="1:26" x14ac:dyDescent="0.2">
      <c r="A12" s="34" t="s">
        <v>53</v>
      </c>
      <c r="B12" s="16" t="s">
        <v>33</v>
      </c>
      <c r="C12" s="16" t="s">
        <v>33</v>
      </c>
      <c r="D12" s="16" t="s">
        <v>33</v>
      </c>
      <c r="E12" s="16" t="s">
        <v>33</v>
      </c>
      <c r="F12" s="16" t="s">
        <v>33</v>
      </c>
      <c r="G12" s="22"/>
      <c r="H12" s="28" t="s">
        <v>66</v>
      </c>
      <c r="I12" s="38"/>
      <c r="J12" s="130" t="s">
        <v>33</v>
      </c>
      <c r="K12" s="130"/>
      <c r="L12" s="114" t="s">
        <v>33</v>
      </c>
      <c r="M12" s="114"/>
      <c r="N12" s="114" t="s">
        <v>33</v>
      </c>
      <c r="O12" s="114"/>
      <c r="P12" s="113" t="s">
        <v>33</v>
      </c>
      <c r="Q12" s="113"/>
      <c r="R12" s="36" t="s">
        <v>67</v>
      </c>
      <c r="S12" s="37"/>
      <c r="T12" s="40" t="s">
        <v>33</v>
      </c>
      <c r="U12" s="131" t="s">
        <v>68</v>
      </c>
      <c r="V12" s="131"/>
      <c r="W12" s="131"/>
      <c r="X12" s="132" t="s">
        <v>33</v>
      </c>
      <c r="Y12" s="132"/>
      <c r="Z12" s="132"/>
    </row>
    <row r="13" spans="1:26" x14ac:dyDescent="0.2">
      <c r="A13" s="34" t="s">
        <v>53</v>
      </c>
      <c r="B13" s="16" t="s">
        <v>33</v>
      </c>
      <c r="C13" s="16" t="s">
        <v>33</v>
      </c>
      <c r="D13" s="16" t="s">
        <v>33</v>
      </c>
      <c r="E13" s="16" t="s">
        <v>33</v>
      </c>
      <c r="F13" s="16" t="s">
        <v>33</v>
      </c>
      <c r="G13" s="22"/>
      <c r="H13" s="28" t="s">
        <v>69</v>
      </c>
      <c r="I13" s="39"/>
      <c r="J13" s="125" t="s">
        <v>33</v>
      </c>
      <c r="K13" s="125"/>
      <c r="L13" s="117" t="s">
        <v>33</v>
      </c>
      <c r="M13" s="117"/>
      <c r="N13" s="117" t="s">
        <v>33</v>
      </c>
      <c r="O13" s="117"/>
      <c r="P13" s="128" t="s">
        <v>33</v>
      </c>
      <c r="Q13" s="128"/>
      <c r="R13" s="129" t="s">
        <v>70</v>
      </c>
      <c r="S13" s="129"/>
      <c r="T13" s="129"/>
      <c r="U13" s="129"/>
      <c r="V13" s="129"/>
      <c r="W13" s="129"/>
      <c r="X13" s="129"/>
      <c r="Y13" s="129"/>
      <c r="Z13" s="129"/>
    </row>
    <row r="14" spans="1:26" x14ac:dyDescent="0.2">
      <c r="A14" s="34" t="s">
        <v>53</v>
      </c>
      <c r="B14" s="16" t="s">
        <v>33</v>
      </c>
      <c r="C14" s="16" t="s">
        <v>33</v>
      </c>
      <c r="D14" s="16" t="s">
        <v>33</v>
      </c>
      <c r="E14" s="16" t="s">
        <v>33</v>
      </c>
      <c r="F14" s="16" t="s">
        <v>33</v>
      </c>
      <c r="G14" s="22"/>
      <c r="H14" s="28" t="s">
        <v>71</v>
      </c>
      <c r="I14" s="39"/>
      <c r="J14" s="125" t="s">
        <v>33</v>
      </c>
      <c r="K14" s="125"/>
      <c r="L14" s="117" t="s">
        <v>33</v>
      </c>
      <c r="M14" s="117"/>
      <c r="N14" s="117" t="s">
        <v>33</v>
      </c>
      <c r="O14" s="117"/>
      <c r="P14" s="128" t="s">
        <v>33</v>
      </c>
      <c r="Q14" s="128"/>
      <c r="R14" s="129"/>
      <c r="S14" s="129"/>
      <c r="T14" s="129"/>
      <c r="U14" s="129"/>
      <c r="V14" s="129"/>
      <c r="W14" s="129"/>
      <c r="X14" s="129"/>
      <c r="Y14" s="129"/>
      <c r="Z14" s="129"/>
    </row>
    <row r="15" spans="1:26" x14ac:dyDescent="0.2">
      <c r="A15" s="34" t="s">
        <v>53</v>
      </c>
      <c r="B15" s="16" t="s">
        <v>33</v>
      </c>
      <c r="C15" s="16" t="s">
        <v>33</v>
      </c>
      <c r="D15" s="16" t="s">
        <v>33</v>
      </c>
      <c r="E15" s="16" t="s">
        <v>33</v>
      </c>
      <c r="F15" s="16" t="s">
        <v>33</v>
      </c>
      <c r="G15" s="22"/>
      <c r="H15" s="28" t="s">
        <v>72</v>
      </c>
      <c r="I15" s="39"/>
      <c r="J15" s="125" t="s">
        <v>33</v>
      </c>
      <c r="K15" s="125"/>
      <c r="L15" s="117" t="s">
        <v>33</v>
      </c>
      <c r="M15" s="117"/>
      <c r="N15" s="117" t="s">
        <v>33</v>
      </c>
      <c r="O15" s="117"/>
      <c r="P15" s="126" t="s">
        <v>33</v>
      </c>
      <c r="Q15" s="126"/>
      <c r="R15" s="150" t="s">
        <v>564</v>
      </c>
      <c r="S15" s="150"/>
      <c r="T15" s="150"/>
      <c r="U15" s="150"/>
      <c r="V15" s="150"/>
      <c r="W15" s="150"/>
      <c r="X15" s="150"/>
      <c r="Y15" s="150"/>
      <c r="Z15" s="150"/>
    </row>
    <row r="16" spans="1:26" x14ac:dyDescent="0.2">
      <c r="A16" s="41" t="s">
        <v>73</v>
      </c>
      <c r="B16" s="16"/>
      <c r="C16" s="26"/>
      <c r="D16" s="26"/>
      <c r="E16" s="26"/>
      <c r="F16" s="26"/>
      <c r="G16" s="27" t="e">
        <f>{#DIV/0!}</f>
        <v>#DIV/0!</v>
      </c>
      <c r="H16" s="28" t="s">
        <v>74</v>
      </c>
      <c r="I16" s="35">
        <v>40770</v>
      </c>
      <c r="J16" s="120">
        <v>40770</v>
      </c>
      <c r="K16" s="120"/>
      <c r="L16" s="120">
        <v>40770</v>
      </c>
      <c r="M16" s="120"/>
      <c r="N16" s="121">
        <v>40770</v>
      </c>
      <c r="O16" s="121"/>
      <c r="P16" s="122">
        <v>40770</v>
      </c>
      <c r="Q16" s="122"/>
      <c r="R16" s="150"/>
      <c r="S16" s="150"/>
      <c r="T16" s="150"/>
      <c r="U16" s="150"/>
      <c r="V16" s="150"/>
      <c r="W16" s="150"/>
      <c r="X16" s="150"/>
      <c r="Y16" s="150"/>
      <c r="Z16" s="150"/>
    </row>
    <row r="17" spans="1:26" x14ac:dyDescent="0.2">
      <c r="A17" s="123" t="s">
        <v>75</v>
      </c>
      <c r="B17" s="123"/>
      <c r="C17" s="42">
        <v>0</v>
      </c>
      <c r="D17" s="42">
        <v>0</v>
      </c>
      <c r="E17" s="42">
        <v>0</v>
      </c>
      <c r="F17" s="42">
        <v>0</v>
      </c>
      <c r="G17" s="43">
        <v>0</v>
      </c>
      <c r="H17" s="28" t="s">
        <v>76</v>
      </c>
      <c r="I17" s="38"/>
      <c r="J17" s="113" t="s">
        <v>33</v>
      </c>
      <c r="K17" s="113"/>
      <c r="L17" s="114" t="s">
        <v>33</v>
      </c>
      <c r="M17" s="114"/>
      <c r="N17" s="115" t="s">
        <v>33</v>
      </c>
      <c r="O17" s="115"/>
      <c r="P17" s="113" t="s">
        <v>33</v>
      </c>
      <c r="Q17" s="113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x14ac:dyDescent="0.2">
      <c r="A18" s="124" t="s">
        <v>77</v>
      </c>
      <c r="B18" s="124"/>
      <c r="C18" s="117" t="s">
        <v>44</v>
      </c>
      <c r="D18" s="117" t="s">
        <v>45</v>
      </c>
      <c r="E18" s="117" t="s">
        <v>46</v>
      </c>
      <c r="F18" s="117" t="s">
        <v>47</v>
      </c>
      <c r="G18" s="117" t="s">
        <v>42</v>
      </c>
      <c r="H18" s="39" t="s">
        <v>78</v>
      </c>
      <c r="I18" s="39"/>
      <c r="J18" s="118" t="s">
        <v>33</v>
      </c>
      <c r="K18" s="118"/>
      <c r="L18" s="117" t="s">
        <v>33</v>
      </c>
      <c r="M18" s="117"/>
      <c r="N18" s="119" t="s">
        <v>33</v>
      </c>
      <c r="O18" s="119"/>
      <c r="P18" s="118" t="s">
        <v>33</v>
      </c>
      <c r="Q18" s="118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x14ac:dyDescent="0.2">
      <c r="A19" s="124"/>
      <c r="B19" s="124"/>
      <c r="C19" s="117"/>
      <c r="D19" s="117"/>
      <c r="E19" s="117"/>
      <c r="F19" s="117"/>
      <c r="G19" s="117"/>
      <c r="H19" s="39" t="s">
        <v>71</v>
      </c>
      <c r="I19" s="39"/>
      <c r="J19" s="118" t="s">
        <v>33</v>
      </c>
      <c r="K19" s="118"/>
      <c r="L19" s="117" t="s">
        <v>33</v>
      </c>
      <c r="M19" s="117"/>
      <c r="N19" s="119" t="s">
        <v>33</v>
      </c>
      <c r="O19" s="119"/>
      <c r="P19" s="118" t="s">
        <v>33</v>
      </c>
      <c r="Q19" s="118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x14ac:dyDescent="0.2">
      <c r="A20" s="117" t="s">
        <v>79</v>
      </c>
      <c r="B20" s="117"/>
      <c r="C20" s="30" t="s">
        <v>182</v>
      </c>
      <c r="D20" s="30" t="s">
        <v>562</v>
      </c>
      <c r="E20" s="30" t="s">
        <v>33</v>
      </c>
      <c r="F20" s="30" t="s">
        <v>33</v>
      </c>
      <c r="G20" s="30" t="s">
        <v>33</v>
      </c>
      <c r="H20" s="28" t="s">
        <v>72</v>
      </c>
      <c r="I20" s="39"/>
      <c r="J20" s="118" t="s">
        <v>33</v>
      </c>
      <c r="K20" s="118"/>
      <c r="L20" s="117" t="s">
        <v>33</v>
      </c>
      <c r="M20" s="117"/>
      <c r="N20" s="119" t="s">
        <v>33</v>
      </c>
      <c r="O20" s="119"/>
      <c r="P20" s="118" t="s">
        <v>33</v>
      </c>
      <c r="Q20" s="118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x14ac:dyDescent="0.2">
      <c r="A21" s="117" t="s">
        <v>50</v>
      </c>
      <c r="B21" s="117"/>
      <c r="C21" s="14" t="s">
        <v>33</v>
      </c>
      <c r="D21" s="14" t="s">
        <v>33</v>
      </c>
      <c r="E21" s="14" t="s">
        <v>33</v>
      </c>
      <c r="F21" s="14" t="s">
        <v>33</v>
      </c>
      <c r="G21" s="14" t="s">
        <v>33</v>
      </c>
      <c r="H21" s="44" t="s">
        <v>80</v>
      </c>
      <c r="I21" s="35">
        <v>40775</v>
      </c>
      <c r="J21" s="120">
        <v>40775</v>
      </c>
      <c r="K21" s="120"/>
      <c r="L21" s="120">
        <v>40775</v>
      </c>
      <c r="M21" s="120"/>
      <c r="N21" s="121">
        <v>40775</v>
      </c>
      <c r="O21" s="121"/>
      <c r="P21" s="122">
        <v>40775</v>
      </c>
      <c r="Q21" s="122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x14ac:dyDescent="0.2">
      <c r="A22" s="117" t="s">
        <v>81</v>
      </c>
      <c r="B22" s="117"/>
      <c r="C22" s="14" t="s">
        <v>131</v>
      </c>
      <c r="D22" s="14" t="s">
        <v>33</v>
      </c>
      <c r="E22" s="14" t="s">
        <v>33</v>
      </c>
      <c r="F22" s="14" t="s">
        <v>33</v>
      </c>
      <c r="G22" s="33" t="s">
        <v>33</v>
      </c>
      <c r="H22" s="28" t="s">
        <v>82</v>
      </c>
      <c r="I22" s="38"/>
      <c r="J22" s="113" t="s">
        <v>33</v>
      </c>
      <c r="K22" s="113"/>
      <c r="L22" s="114" t="s">
        <v>33</v>
      </c>
      <c r="M22" s="114"/>
      <c r="N22" s="115" t="s">
        <v>33</v>
      </c>
      <c r="O22" s="115"/>
      <c r="P22" s="113" t="s">
        <v>33</v>
      </c>
      <c r="Q22" s="113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x14ac:dyDescent="0.2">
      <c r="A23" s="117" t="s">
        <v>10</v>
      </c>
      <c r="B23" s="117"/>
      <c r="C23" s="14">
        <v>185702478</v>
      </c>
      <c r="D23" s="14" t="s">
        <v>33</v>
      </c>
      <c r="E23" s="14" t="s">
        <v>33</v>
      </c>
      <c r="F23" s="14" t="s">
        <v>33</v>
      </c>
      <c r="G23" s="33" t="s">
        <v>33</v>
      </c>
      <c r="H23" s="28" t="s">
        <v>83</v>
      </c>
      <c r="I23" s="38"/>
      <c r="J23" s="113" t="s">
        <v>33</v>
      </c>
      <c r="K23" s="113"/>
      <c r="L23" s="114" t="s">
        <v>33</v>
      </c>
      <c r="M23" s="114"/>
      <c r="N23" s="115" t="s">
        <v>33</v>
      </c>
      <c r="O23" s="115"/>
      <c r="P23" s="113" t="s">
        <v>33</v>
      </c>
      <c r="Q23" s="113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x14ac:dyDescent="0.2">
      <c r="A24" s="117" t="s">
        <v>84</v>
      </c>
      <c r="B24" s="117"/>
      <c r="C24" s="14" t="s">
        <v>33</v>
      </c>
      <c r="D24" s="14" t="s">
        <v>33</v>
      </c>
      <c r="E24" s="14" t="s">
        <v>33</v>
      </c>
      <c r="F24" s="14" t="s">
        <v>33</v>
      </c>
      <c r="G24" s="33" t="s">
        <v>33</v>
      </c>
      <c r="H24" s="28" t="s">
        <v>71</v>
      </c>
      <c r="I24" s="39"/>
      <c r="J24" s="118" t="s">
        <v>33</v>
      </c>
      <c r="K24" s="118"/>
      <c r="L24" s="117" t="s">
        <v>33</v>
      </c>
      <c r="M24" s="117"/>
      <c r="N24" s="119" t="s">
        <v>33</v>
      </c>
      <c r="O24" s="119"/>
      <c r="P24" s="118" t="s">
        <v>33</v>
      </c>
      <c r="Q24" s="118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x14ac:dyDescent="0.2">
      <c r="A25" s="117" t="s">
        <v>9</v>
      </c>
      <c r="B25" s="117"/>
      <c r="C25" s="14" t="s">
        <v>117</v>
      </c>
      <c r="D25" s="14" t="s">
        <v>33</v>
      </c>
      <c r="E25" s="14" t="s">
        <v>33</v>
      </c>
      <c r="F25" s="14" t="s">
        <v>33</v>
      </c>
      <c r="G25" s="33" t="s">
        <v>33</v>
      </c>
      <c r="H25" s="28" t="s">
        <v>72</v>
      </c>
      <c r="I25" s="39"/>
      <c r="J25" s="118" t="s">
        <v>33</v>
      </c>
      <c r="K25" s="118"/>
      <c r="L25" s="117" t="s">
        <v>33</v>
      </c>
      <c r="M25" s="117"/>
      <c r="N25" s="119" t="s">
        <v>33</v>
      </c>
      <c r="O25" s="119"/>
      <c r="P25" s="118" t="s">
        <v>33</v>
      </c>
      <c r="Q25" s="118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x14ac:dyDescent="0.2">
      <c r="A26" s="112" t="s">
        <v>85</v>
      </c>
      <c r="B26" s="112"/>
      <c r="C26" s="14" t="s">
        <v>33</v>
      </c>
      <c r="D26" s="14" t="s">
        <v>33</v>
      </c>
      <c r="E26" s="14" t="s">
        <v>33</v>
      </c>
      <c r="F26" s="14" t="s">
        <v>33</v>
      </c>
      <c r="G26" s="33" t="s">
        <v>33</v>
      </c>
      <c r="H26" s="28" t="s">
        <v>86</v>
      </c>
      <c r="I26" s="38"/>
      <c r="J26" s="113" t="s">
        <v>33</v>
      </c>
      <c r="K26" s="113"/>
      <c r="L26" s="114" t="s">
        <v>33</v>
      </c>
      <c r="M26" s="114"/>
      <c r="N26" s="115" t="s">
        <v>33</v>
      </c>
      <c r="O26" s="115"/>
      <c r="P26" s="113" t="s">
        <v>33</v>
      </c>
      <c r="Q26" s="113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x14ac:dyDescent="0.2">
      <c r="A27" s="116" t="s">
        <v>87</v>
      </c>
      <c r="B27" s="116"/>
      <c r="C27" s="14" t="s">
        <v>33</v>
      </c>
      <c r="D27" s="14" t="s">
        <v>33</v>
      </c>
      <c r="E27" s="14" t="s">
        <v>33</v>
      </c>
      <c r="F27" s="14" t="s">
        <v>33</v>
      </c>
      <c r="G27" s="33" t="s">
        <v>33</v>
      </c>
      <c r="H27" s="28" t="s">
        <v>88</v>
      </c>
      <c r="I27" s="38"/>
      <c r="J27" s="113" t="s">
        <v>33</v>
      </c>
      <c r="K27" s="113"/>
      <c r="L27" s="114" t="s">
        <v>33</v>
      </c>
      <c r="M27" s="114"/>
      <c r="N27" s="115" t="s">
        <v>33</v>
      </c>
      <c r="O27" s="115"/>
      <c r="P27" s="113" t="s">
        <v>33</v>
      </c>
      <c r="Q27" s="113"/>
      <c r="R27" s="150"/>
      <c r="S27" s="150"/>
      <c r="T27" s="150"/>
      <c r="U27" s="150"/>
      <c r="V27" s="150"/>
      <c r="W27" s="150"/>
      <c r="X27" s="150"/>
      <c r="Y27" s="150"/>
      <c r="Z27" s="150"/>
    </row>
  </sheetData>
  <mergeCells count="128">
    <mergeCell ref="I1:J1"/>
    <mergeCell ref="K1:O1"/>
    <mergeCell ref="P1:Q1"/>
    <mergeCell ref="R1:S1"/>
    <mergeCell ref="L2:M2"/>
    <mergeCell ref="Q2:R2"/>
    <mergeCell ref="Y2:Z2"/>
    <mergeCell ref="L4:M4"/>
    <mergeCell ref="Q4:R4"/>
    <mergeCell ref="Y4:Z4"/>
    <mergeCell ref="J6:K6"/>
    <mergeCell ref="L6:M6"/>
    <mergeCell ref="N6:O6"/>
    <mergeCell ref="P6:Q6"/>
    <mergeCell ref="S6:Z6"/>
    <mergeCell ref="J8:K8"/>
    <mergeCell ref="L8:M8"/>
    <mergeCell ref="N8:O8"/>
    <mergeCell ref="P8:Q8"/>
    <mergeCell ref="U8:W8"/>
    <mergeCell ref="X8:Z8"/>
    <mergeCell ref="J7:K7"/>
    <mergeCell ref="L7:M7"/>
    <mergeCell ref="N7:O7"/>
    <mergeCell ref="P7:Q7"/>
    <mergeCell ref="U7:W7"/>
    <mergeCell ref="X7:Z7"/>
    <mergeCell ref="J10:K10"/>
    <mergeCell ref="L10:M10"/>
    <mergeCell ref="N10:O10"/>
    <mergeCell ref="P10:Q10"/>
    <mergeCell ref="U10:W10"/>
    <mergeCell ref="X10:Z10"/>
    <mergeCell ref="J9:K9"/>
    <mergeCell ref="L9:M9"/>
    <mergeCell ref="N9:O9"/>
    <mergeCell ref="P9:Q9"/>
    <mergeCell ref="U9:W9"/>
    <mergeCell ref="X9:Z9"/>
    <mergeCell ref="J12:K12"/>
    <mergeCell ref="L12:M12"/>
    <mergeCell ref="N12:O12"/>
    <mergeCell ref="P12:Q12"/>
    <mergeCell ref="U12:W12"/>
    <mergeCell ref="X12:Z12"/>
    <mergeCell ref="J11:K11"/>
    <mergeCell ref="L11:M11"/>
    <mergeCell ref="N11:O11"/>
    <mergeCell ref="P11:Q11"/>
    <mergeCell ref="U11:W11"/>
    <mergeCell ref="X11:Z11"/>
    <mergeCell ref="J13:K13"/>
    <mergeCell ref="L13:M13"/>
    <mergeCell ref="N13:O13"/>
    <mergeCell ref="P13:Q13"/>
    <mergeCell ref="R13:Z14"/>
    <mergeCell ref="J14:K14"/>
    <mergeCell ref="L14:M14"/>
    <mergeCell ref="N14:O14"/>
    <mergeCell ref="P14:Q14"/>
    <mergeCell ref="J15:K15"/>
    <mergeCell ref="L15:M15"/>
    <mergeCell ref="N15:O15"/>
    <mergeCell ref="P15:Q15"/>
    <mergeCell ref="R15:Z27"/>
    <mergeCell ref="J16:K16"/>
    <mergeCell ref="L16:M16"/>
    <mergeCell ref="N16:O16"/>
    <mergeCell ref="P16:Q16"/>
    <mergeCell ref="J17:K17"/>
    <mergeCell ref="L17:M17"/>
    <mergeCell ref="N17:O17"/>
    <mergeCell ref="P17:Q17"/>
    <mergeCell ref="J22:K22"/>
    <mergeCell ref="L22:M22"/>
    <mergeCell ref="N22:O22"/>
    <mergeCell ref="P22:Q22"/>
    <mergeCell ref="N27:O27"/>
    <mergeCell ref="P27:Q27"/>
    <mergeCell ref="P25:Q25"/>
    <mergeCell ref="J26:K26"/>
    <mergeCell ref="L26:M26"/>
    <mergeCell ref="N26:O26"/>
    <mergeCell ref="P26:Q26"/>
    <mergeCell ref="P18:Q18"/>
    <mergeCell ref="J19:K19"/>
    <mergeCell ref="N21:O21"/>
    <mergeCell ref="P21:Q21"/>
    <mergeCell ref="L19:M19"/>
    <mergeCell ref="N19:O19"/>
    <mergeCell ref="P19:Q19"/>
    <mergeCell ref="J20:K20"/>
    <mergeCell ref="L20:M20"/>
    <mergeCell ref="N20:O20"/>
    <mergeCell ref="P20:Q20"/>
    <mergeCell ref="A17:B17"/>
    <mergeCell ref="A18:B19"/>
    <mergeCell ref="C18:C19"/>
    <mergeCell ref="D18:D19"/>
    <mergeCell ref="E18:E19"/>
    <mergeCell ref="A20:B20"/>
    <mergeCell ref="J25:K25"/>
    <mergeCell ref="L25:M25"/>
    <mergeCell ref="N25:O25"/>
    <mergeCell ref="J23:K23"/>
    <mergeCell ref="L23:M23"/>
    <mergeCell ref="N23:O23"/>
    <mergeCell ref="F18:F19"/>
    <mergeCell ref="G18:G19"/>
    <mergeCell ref="J18:K18"/>
    <mergeCell ref="L18:M18"/>
    <mergeCell ref="N18:O18"/>
    <mergeCell ref="P23:Q23"/>
    <mergeCell ref="J24:K24"/>
    <mergeCell ref="L24:M24"/>
    <mergeCell ref="N24:O24"/>
    <mergeCell ref="P24:Q24"/>
    <mergeCell ref="A27:B27"/>
    <mergeCell ref="A21:B21"/>
    <mergeCell ref="A22:B22"/>
    <mergeCell ref="A23:B23"/>
    <mergeCell ref="A24:B24"/>
    <mergeCell ref="A25:B25"/>
    <mergeCell ref="A26:B26"/>
    <mergeCell ref="J27:K27"/>
    <mergeCell ref="L27:M27"/>
    <mergeCell ref="J21:K21"/>
    <mergeCell ref="L21:M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5638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152</vt:i4>
      </vt:variant>
    </vt:vector>
  </HeadingPairs>
  <TitlesOfParts>
    <vt:vector size="152" baseType="lpstr">
      <vt:lpstr>ex</vt:lpstr>
      <vt:lpstr>Site1</vt:lpstr>
      <vt:lpstr>Site2</vt:lpstr>
      <vt:lpstr>Site3</vt:lpstr>
      <vt:lpstr>Site4</vt:lpstr>
      <vt:lpstr>Site5</vt:lpstr>
      <vt:lpstr>Site6</vt:lpstr>
      <vt:lpstr>Site7</vt:lpstr>
      <vt:lpstr>Site8</vt:lpstr>
      <vt:lpstr>Site9</vt:lpstr>
      <vt:lpstr>Site 10</vt:lpstr>
      <vt:lpstr>Site11</vt:lpstr>
      <vt:lpstr>Site12</vt:lpstr>
      <vt:lpstr>Site13</vt:lpstr>
      <vt:lpstr>Site14</vt:lpstr>
      <vt:lpstr>Site15</vt:lpstr>
      <vt:lpstr>Site16</vt:lpstr>
      <vt:lpstr>Site17</vt:lpstr>
      <vt:lpstr>Site18</vt:lpstr>
      <vt:lpstr>Site19</vt:lpstr>
      <vt:lpstr>Site 20</vt:lpstr>
      <vt:lpstr>Site21</vt:lpstr>
      <vt:lpstr>Site 22</vt:lpstr>
      <vt:lpstr>Site23</vt:lpstr>
      <vt:lpstr>Site 24</vt:lpstr>
      <vt:lpstr>Site25</vt:lpstr>
      <vt:lpstr>Site26</vt:lpstr>
      <vt:lpstr>Site27</vt:lpstr>
      <vt:lpstr>Site28</vt:lpstr>
      <vt:lpstr>Site29</vt:lpstr>
      <vt:lpstr>Site 30</vt:lpstr>
      <vt:lpstr>Site31</vt:lpstr>
      <vt:lpstr>Site32</vt:lpstr>
      <vt:lpstr>Site33</vt:lpstr>
      <vt:lpstr>Site34</vt:lpstr>
      <vt:lpstr>Site35</vt:lpstr>
      <vt:lpstr>Site36</vt:lpstr>
      <vt:lpstr>Site 37</vt:lpstr>
      <vt:lpstr>Site38</vt:lpstr>
      <vt:lpstr>Site39</vt:lpstr>
      <vt:lpstr>Site 40</vt:lpstr>
      <vt:lpstr>Site41</vt:lpstr>
      <vt:lpstr>Site42</vt:lpstr>
      <vt:lpstr>Site43</vt:lpstr>
      <vt:lpstr>Site 44</vt:lpstr>
      <vt:lpstr>Site45</vt:lpstr>
      <vt:lpstr>Site46</vt:lpstr>
      <vt:lpstr>Site47</vt:lpstr>
      <vt:lpstr>Site48</vt:lpstr>
      <vt:lpstr>Site49</vt:lpstr>
      <vt:lpstr>Site50</vt:lpstr>
      <vt:lpstr>Site 51</vt:lpstr>
      <vt:lpstr>Site52</vt:lpstr>
      <vt:lpstr>Site53</vt:lpstr>
      <vt:lpstr>Site54</vt:lpstr>
      <vt:lpstr>Site55</vt:lpstr>
      <vt:lpstr>Site56</vt:lpstr>
      <vt:lpstr>Site57</vt:lpstr>
      <vt:lpstr>Site58</vt:lpstr>
      <vt:lpstr>Site59</vt:lpstr>
      <vt:lpstr>Site60</vt:lpstr>
      <vt:lpstr>Site61</vt:lpstr>
      <vt:lpstr>Site62</vt:lpstr>
      <vt:lpstr>Site63</vt:lpstr>
      <vt:lpstr>Site64</vt:lpstr>
      <vt:lpstr>Site65</vt:lpstr>
      <vt:lpstr>Site66</vt:lpstr>
      <vt:lpstr>Site67</vt:lpstr>
      <vt:lpstr>Site68</vt:lpstr>
      <vt:lpstr>Site69</vt:lpstr>
      <vt:lpstr>Site70</vt:lpstr>
      <vt:lpstr>Site71</vt:lpstr>
      <vt:lpstr>Site72</vt:lpstr>
      <vt:lpstr>Site73</vt:lpstr>
      <vt:lpstr>Site74</vt:lpstr>
      <vt:lpstr>Site75</vt:lpstr>
      <vt:lpstr>Site 76 </vt:lpstr>
      <vt:lpstr>Site77</vt:lpstr>
      <vt:lpstr>Site78</vt:lpstr>
      <vt:lpstr>Site79</vt:lpstr>
      <vt:lpstr>Site80</vt:lpstr>
      <vt:lpstr>Site81</vt:lpstr>
      <vt:lpstr>Site82</vt:lpstr>
      <vt:lpstr>Site83</vt:lpstr>
      <vt:lpstr>Site84</vt:lpstr>
      <vt:lpstr>Site85</vt:lpstr>
      <vt:lpstr>Site86</vt:lpstr>
      <vt:lpstr>Site87</vt:lpstr>
      <vt:lpstr>Site88</vt:lpstr>
      <vt:lpstr>Site89</vt:lpstr>
      <vt:lpstr>Site90</vt:lpstr>
      <vt:lpstr>Site91</vt:lpstr>
      <vt:lpstr>Site92</vt:lpstr>
      <vt:lpstr>Site93</vt:lpstr>
      <vt:lpstr>Site94</vt:lpstr>
      <vt:lpstr>Site95</vt:lpstr>
      <vt:lpstr>Site96</vt:lpstr>
      <vt:lpstr>Site97</vt:lpstr>
      <vt:lpstr>Site98</vt:lpstr>
      <vt:lpstr>Site99</vt:lpstr>
      <vt:lpstr>Site100</vt:lpstr>
      <vt:lpstr>Site101</vt:lpstr>
      <vt:lpstr>Site102</vt:lpstr>
      <vt:lpstr>Site103</vt:lpstr>
      <vt:lpstr>Site104</vt:lpstr>
      <vt:lpstr>Site 105</vt:lpstr>
      <vt:lpstr>Site106</vt:lpstr>
      <vt:lpstr>Site107</vt:lpstr>
      <vt:lpstr>Site108</vt:lpstr>
      <vt:lpstr>Site109</vt:lpstr>
      <vt:lpstr>Site110</vt:lpstr>
      <vt:lpstr>Site111</vt:lpstr>
      <vt:lpstr>Site112</vt:lpstr>
      <vt:lpstr>Site113</vt:lpstr>
      <vt:lpstr>Site114</vt:lpstr>
      <vt:lpstr>Site115</vt:lpstr>
      <vt:lpstr>Site116</vt:lpstr>
      <vt:lpstr>Site117</vt:lpstr>
      <vt:lpstr>Site118</vt:lpstr>
      <vt:lpstr>Site119</vt:lpstr>
      <vt:lpstr>Site120</vt:lpstr>
      <vt:lpstr>Site121</vt:lpstr>
      <vt:lpstr>Site122</vt:lpstr>
      <vt:lpstr>Site123</vt:lpstr>
      <vt:lpstr>Site125</vt:lpstr>
      <vt:lpstr>Site126</vt:lpstr>
      <vt:lpstr>Site127</vt:lpstr>
      <vt:lpstr>Site 128</vt:lpstr>
      <vt:lpstr>Site 129</vt:lpstr>
      <vt:lpstr>Site 130</vt:lpstr>
      <vt:lpstr>Site 131</vt:lpstr>
      <vt:lpstr>Site 132</vt:lpstr>
      <vt:lpstr>Site133</vt:lpstr>
      <vt:lpstr>Site 134</vt:lpstr>
      <vt:lpstr>Site 135</vt:lpstr>
      <vt:lpstr>Site 136</vt:lpstr>
      <vt:lpstr>Site 137</vt:lpstr>
      <vt:lpstr>Site 138</vt:lpstr>
      <vt:lpstr>Site 139</vt:lpstr>
      <vt:lpstr>Site 140</vt:lpstr>
      <vt:lpstr>Site 141</vt:lpstr>
      <vt:lpstr>Site 142</vt:lpstr>
      <vt:lpstr>Site 143</vt:lpstr>
      <vt:lpstr>Site 144</vt:lpstr>
      <vt:lpstr>Site 145</vt:lpstr>
      <vt:lpstr>Site 146</vt:lpstr>
      <vt:lpstr>Site 147</vt:lpstr>
      <vt:lpstr>Site 148</vt:lpstr>
      <vt:lpstr>Site 149</vt:lpstr>
      <vt:lpstr>Site 151</vt:lpstr>
      <vt:lpstr>Site 152</vt:lpstr>
      <vt:lpstr>Site 153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</dc:creator>
  <cp:lastModifiedBy>Mathieu</cp:lastModifiedBy>
  <cp:revision>54</cp:revision>
  <dcterms:created xsi:type="dcterms:W3CDTF">2016-08-23T21:40:03Z</dcterms:created>
  <dcterms:modified xsi:type="dcterms:W3CDTF">2016-09-01T15:47:53Z</dcterms:modified>
</cp:coreProperties>
</file>